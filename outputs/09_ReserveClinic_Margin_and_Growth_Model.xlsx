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_Me" sheetId="1" state="visible" r:id="rId3"/>
    <sheet name="Assumptions" sheetId="2" state="visible" r:id="rId4"/>
    <sheet name="Summary" sheetId="3" state="visible" r:id="rId5"/>
    <sheet name="Unit_Economics" sheetId="4" state="visible" r:id="rId6"/>
    <sheet name="Sensitivity" sheetId="5" state="visible" r:id="rId7"/>
    <sheet name="Partner_Economics" sheetId="6" state="visible" r:id="rId8"/>
    <sheet name="Provider_Diligence" sheetId="7" state="visible" r:id="rId9"/>
    <sheet name="Benchmarks" sheetId="8" state="visible" r:id="rId10"/>
    <sheet name="Paid_Media" sheetId="9" state="visible" r:id="rId11"/>
    <sheet name="Model_Conservative" sheetId="10" state="visible" r:id="rId12"/>
    <sheet name="Model_Baseline" sheetId="11" state="visible" r:id="rId13"/>
    <sheet name="Model_Aggressive" sheetId="12" state="visible" r:id="rId14"/>
    <sheet name="Model_No_Partner"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<sst xmlns="http://schemas.openxmlformats.org/spreadsheetml/2006/main" count="1956" uniqueCount="822">
  <si>
    <t xml:space="preserve">Reserve Clinic - Margin and Growth Model</t>
  </si>
  <si>
    <t xml:space="preserve">What this is</t>
  </si>
  <si>
    <t xml:space="preserve">A driver-based 36-month model of a two-line peptide and supplement business: a non-prescription supplement line that can trade in all fifty states, and a prescription telehealth line fulfilled by 503A and 503B pharmacies whose state footprint expands over time. It is built for the specific operating structure the project owner described, including a turnkey compliance-and-fulfilment provider at a flat $600 per month. Paid media is modelled as three separately-priced tiers rather than one blended number, because that is the mechanism by which a brand partner's audience lowers acquisition cost. Four columns: Conservative, Baseline, Aggressive, and Baseline with no brand partner at all.</t>
  </si>
  <si>
    <t xml:space="preserve">What it is not</t>
  </si>
  <si>
    <t xml:space="preserve">Not a forecast, not a valuation, and not legal, medical, tax or investment advice. The outputs follow arithmetically from the drivers on the Assumptions sheet. Change a driver and the answer changes. Several of the most consequential drivers rest on analyst assumptions rather than measurements, and those are labelled Low confidence with a stated validation method.</t>
  </si>
  <si>
    <t xml:space="preserve">Status of the people named</t>
  </si>
  <si>
    <t xml:space="preserve">The proposed brand partner and the proposed medical co-founder are treated strictly as proposed. No public evidence connects either to this venture, no agreement exists, and nothing in this workbook is an offer or implies endorsement, ownership or authorisation. Partner compensation figures are illustrative arithmetic, not terms.</t>
  </si>
  <si>
    <t xml:space="preserve">Colour key</t>
  </si>
  <si>
    <t xml:space="preserve">Blue = editable input, on the Assumptions sheet only; bold blue in the last column marks a driver the no-partner case overrides. Black = formula. Green = link to another sheet. Yellow fill = high-sensitivity driver: get these wrong and the answer changes materially. Grey fill = the no-partner comparison column. Peach fill = a caution the reader should not skip.</t>
  </si>
  <si>
    <t xml:space="preserve">Sheet order</t>
  </si>
  <si>
    <t xml:space="preserve">Summary reads the four columns side by side. Unit_Economics shows where margin comes from per order and per member-month. Paid_Media explains the three ad tiers and what the structure does and does not claim. Sensitivity holds four grids: prescription LTV:CAC by churn and CAC, partner-driven sessions by reach and click-through, blended gross margin by COGS and pharmacy cost, and paid CAC by spend level with and without the partner. Partner_Economics is illustrative deal arithmetic. Provider_Diligence is the twenty questions to answer in writing before signing. Benchmarks is the evidence. Assumptions holds every input. The four Model_ sheets are the monthly grids.</t>
  </si>
  <si>
    <t xml:space="preserve">What the fourth column is for</t>
  </si>
  <si>
    <t xml:space="preserve">Model_No_Partner is the same business with no brand partner. Organic search, pricing, cost structure, the provider, the team plan and the whole operating base are held identical; only the four things the partnership actually supplies differ, namely the partner's own social traffic, the branded-search and engagement-retargeting inventory that traffic creates, the creative lift on cold prospecting, and the partner's compensation. It exists so that the partnership's contribution is a number rather than an assertion. Holding organic and press identical understates rather than flatters the partnership.</t>
  </si>
  <si>
    <t xml:space="preserve">On the claim that a celebrity buys a better CAC</t>
  </si>
  <si>
    <t xml:space="preserve">The model does not assume it. It derives it, through three mechanisms with explicit ceilings, and then applies an incrementality haircut to the two warm tiers because the evidence demands one: holdout tests show only 25-30% of retargeting conversions are incremental. Sensitivity grid 4 is the like-for-like answer, holding everything else equal. Two results matter. Blended CAC RISES with spend in every scenario, because of the auction; any model where it falls with scale has no competition in it. And the partnership's advantage is largest on the first tranche of spend and narrows as budget grows, which is an argument for spending into it early rather than trickling it.</t>
  </si>
  <si>
    <t xml:space="preserve">The four things most likely to be wrong</t>
  </si>
  <si>
    <t xml:space="preserve">1. Audience conversion. Reach per post and click-through are multiplied together and neither is measured; Sensitivity grid 2 shows the spread. 2. The partner-creative cost discount. No study quantifying celebrity or recognisable-face advertising lift was retrievable (B20); the supporting evidence is only general. A creative A/B test with and without the partner in month one is how this stops being an assumption. 3. Prescription retention. Benchmark B17 puts real-world discontinuation near 65% at twelve months; Sensitivity grid 1 shows that above roughly 15% monthly churn the prescription line does not pay for its own acquisition at any plausible CAC. 4. The provider's scope. A $600 flat fee is roughly one fifth of the low end of published market pricing for comparable turnkey telehealth infrastructure, so the model assumes it covers software and administration only and carries every variable cost separately.</t>
  </si>
  <si>
    <t xml:space="preserve">Structural limits the model encodes deliberately</t>
  </si>
  <si>
    <t xml:space="preserve">Fifty-state coverage applies to the non-prescription line only. The prescription line ramps from 26-45% of the US population at launch to a 70-88% ceiling, because asynchronous-prescribing rules, corporate-practice-of-medicine limits and the section 503A(b)(3) five percent interstate distribution cap all constrain it. FDA's compounding memorandum-of-understanding index currently lists three MOUs, all suspended, and FDA has repeatedly deferred enforcement of the five percent limit pending rulemaking. Deferred enforcement is discretionary and revocable. Every one of these areas needs qualified counsel: FDA and pharmacy regulatory, corporate practice of medicine, healthcare privacy, advertising and endorsement, consumer protection and auto-renewal, and intellectual property.</t>
  </si>
  <si>
    <t xml:space="preserve">Prepared</t>
  </si>
  <si>
    <t xml:space="preserve">2026-09-18. Rebuild with: python3 build/build_margin_model.py outputs/09_ReserveClinic_Margin_and_Growth_Model.xlsx, then recalculate with LibreOffice, then python3 build/extract_margin_values.py and python3 build/build_margin_proposal.py.</t>
  </si>
  <si>
    <t xml:space="preserve">Reserve Clinic - Margin and Growth Model: Assumptions</t>
  </si>
  <si>
    <t xml:space="preserve">Blue cells are the only inputs. Four scenario columns drive Model_Conservative, Model_Baseline, Model_Aggressive and Model_No_Partner. The fourth column equals Baseline on every driver except the ones the brand partnership actually supplies (shown in bold); it exists so the partnership's contribution can be read as a number. Yellow fill marks high-sensitivity drivers. Prepared 2026-09-18. Proposed concept: the brand partner's and the medical co-founder's participation is unverified and subject to definitive agreements. Not legal, medical, tax or investment advice.</t>
  </si>
  <si>
    <t xml:space="preserve">Key</t>
  </si>
  <si>
    <t xml:space="preserve">Driver</t>
  </si>
  <si>
    <t xml:space="preserve">Unit</t>
  </si>
  <si>
    <t xml:space="preserve">Conservative</t>
  </si>
  <si>
    <t xml:space="preserve">Baseline</t>
  </si>
  <si>
    <t xml:space="preserve">Aggressive</t>
  </si>
  <si>
    <t xml:space="preserve">Baseline, no partner</t>
  </si>
  <si>
    <t xml:space="preserve">Rationale / source</t>
  </si>
  <si>
    <t xml:space="preserve">Confidence</t>
  </si>
  <si>
    <t xml:space="preserve">Sensitivity</t>
  </si>
  <si>
    <t xml:space="preserve">Validation method</t>
  </si>
  <si>
    <t xml:space="preserve">Timing and sequencing</t>
  </si>
  <si>
    <t xml:space="preserve">nonrx_launch</t>
  </si>
  <si>
    <t xml:space="preserve">Non-prescription line goes live (model month)</t>
  </si>
  <si>
    <t xml:space="preserve">month</t>
  </si>
  <si>
    <t xml:space="preserve">Supplement line needs only manufacturing, label/claims review and a storefront. Conservative allows one month of slippage on label review.</t>
  </si>
  <si>
    <t xml:space="preserve">High</t>
  </si>
  <si>
    <t xml:space="preserve">Medium</t>
  </si>
  <si>
    <t xml:space="preserve">Phase exit checklist</t>
  </si>
  <si>
    <t xml:space="preserve">rx_launch</t>
  </si>
  <si>
    <t xml:space="preserve">Prescription telehealth line goes live (model month)</t>
  </si>
  <si>
    <t xml:space="preserve">Requires the provider agreement, physician entity, pharmacy contracts, LegitScript certification and a state-by-state licensure map. Benchmark B10, B11.</t>
  </si>
  <si>
    <t xml:space="preserve">Counsel and provider go-live sign-off</t>
  </si>
  <si>
    <t xml:space="preserve">Audience engine (the proposed brand partner's reach)</t>
  </si>
  <si>
    <t xml:space="preserve">followers</t>
  </si>
  <si>
    <t xml:space="preserve">Proposed brand partner Instagram followers</t>
  </si>
  <si>
    <t xml:space="preserve">#</t>
  </si>
  <si>
    <t xml:space="preserve">Third-party trackers report 27,410,219 as of June 2026 (range 27.0M-28.3M). Benchmark B16. Held constant across scenarios because it is measured, not chosen. NOT an audited or first-party figure.</t>
  </si>
  <si>
    <t xml:space="preserve">First-party creator analytics export</t>
  </si>
  <si>
    <t xml:space="preserve">posts_per_month</t>
  </si>
  <si>
    <t xml:space="preserve">Brand posts per month by the partner (feed plus reels)</t>
  </si>
  <si>
    <t xml:space="preserve">A contract deliverable, not a market variable. Set to whatever the agreement actually obliges.</t>
  </si>
  <si>
    <t xml:space="preserve">n/a</t>
  </si>
  <si>
    <t xml:space="preserve">Signed content schedule</t>
  </si>
  <si>
    <t xml:space="preserve">reach_pct</t>
  </si>
  <si>
    <t xml:space="preserve">Reach per brand post as a share of followers</t>
  </si>
  <si>
    <t xml:space="preserve">%</t>
  </si>
  <si>
    <t xml:space="preserve">Analyst assumption bounded by benchmark B15: the 10M-plus tier averages ~1.77% ENGAGEMENT; reach exceeds engagement but organic reach at this tier is heavily throttled and branded content more so. Reels reach higher than static.</t>
  </si>
  <si>
    <t xml:space="preserve">Low</t>
  </si>
  <si>
    <t xml:space="preserve">Creator-account reach data, first 60 days</t>
  </si>
  <si>
    <t xml:space="preserve">ctr_reach</t>
  </si>
  <si>
    <t xml:space="preserve">Click-through to site per reached impression</t>
  </si>
  <si>
    <t xml:space="preserve">Analyst assumption. No tier-level link-click benchmark was retrievable (benchmark B15 notes this gap). This is the single least-evidenced driver in the model.</t>
  </si>
  <si>
    <t xml:space="preserve">UTM-tagged link data, first 30 days</t>
  </si>
  <si>
    <t xml:space="preserve">attn_decay</t>
  </si>
  <si>
    <t xml:space="preserve">Monthly decay of partner-driven traffic toward a floor</t>
  </si>
  <si>
    <t xml:space="preserve">Analyst assumption. Celebrity launch demand spikes then settles; benchmark B14 notes IM8's founders deliberately did not rely on fame for durability.</t>
  </si>
  <si>
    <t xml:space="preserve">Cohort traffic by source, monthly</t>
  </si>
  <si>
    <t xml:space="preserve">attn_floor</t>
  </si>
  <si>
    <t xml:space="preserve">Floor for partner-driven traffic as a share of the launch peak</t>
  </si>
  <si>
    <t xml:space="preserve">Analyst assumption. Represents the durable follower demand that persists after novelty.</t>
  </si>
  <si>
    <t xml:space="preserve">launch_spike</t>
  </si>
  <si>
    <t xml:space="preserve">Launch-month multiplier on partner-driven traffic</t>
  </si>
  <si>
    <t xml:space="preserve">x</t>
  </si>
  <si>
    <t xml:space="preserve">Announcement window concentrates attention. Analyst assumption.</t>
  </si>
  <si>
    <t xml:space="preserve">Launch-week analytics</t>
  </si>
  <si>
    <t xml:space="preserve">Other traffic</t>
  </si>
  <si>
    <t xml:space="preserve">organic_m1</t>
  </si>
  <si>
    <t xml:space="preserve">Organic and direct sessions, month 1</t>
  </si>
  <si>
    <t xml:space="preserve">sessions</t>
  </si>
  <si>
    <t xml:space="preserve">New domain with an editorial library. Analyst assumption.</t>
  </si>
  <si>
    <t xml:space="preserve">GA4 after month 1</t>
  </si>
  <si>
    <t xml:space="preserve">organic_growth</t>
  </si>
  <si>
    <t xml:space="preserve">Organic monthly growth rate</t>
  </si>
  <si>
    <t xml:space="preserve">Content-led SEO compounding from a small base. Analyst inference.</t>
  </si>
  <si>
    <t xml:space="preserve">Search Console trend</t>
  </si>
  <si>
    <t xml:space="preserve">organic_cap</t>
  </si>
  <si>
    <t xml:space="preserve">Organic and direct sessions ceiling</t>
  </si>
  <si>
    <t xml:space="preserve">Caps compounding; category search demand is finite. Analyst inference.</t>
  </si>
  <si>
    <t xml:space="preserve">Search Console</t>
  </si>
  <si>
    <t xml:space="preserve">paid_pre</t>
  </si>
  <si>
    <t xml:space="preserve">Paid media per month before the non-Rx launch</t>
  </si>
  <si>
    <t xml:space="preserve">$</t>
  </si>
  <si>
    <t xml:space="preserve">Waitlist and audience building only.</t>
  </si>
  <si>
    <t xml:space="preserve">Budget actuals</t>
  </si>
  <si>
    <t xml:space="preserve">paid_floor</t>
  </si>
  <si>
    <t xml:space="preserve">Minimum paid media per month after launch</t>
  </si>
  <si>
    <t xml:space="preserve">Keeps a spend floor while revenue is small.</t>
  </si>
  <si>
    <t xml:space="preserve">paid_pct</t>
  </si>
  <si>
    <t xml:space="preserve">Paid media as a share of prior-month net revenue</t>
  </si>
  <si>
    <t xml:space="preserve">Benchmark B02: the closest listed telehealth comparable ran marketing at 35-40% of revenue. A celebrity-led brand should sit WELL below that, because the point of the partnership is that owned audience substitutes for bought audience; if this driver has to rise toward 35% the partnership is not working. Prior-month basis avoids a circular reference.</t>
  </si>
  <si>
    <t xml:space="preserve">Monthly payback review</t>
  </si>
  <si>
    <t xml:space="preserve">launch_push</t>
  </si>
  <si>
    <t xml:space="preserve">One-time launch marketing and PR, non-Rx launch month</t>
  </si>
  <si>
    <t xml:space="preserve">Announcement window spend: PR, production, seeding, paid amplification. Concentrated in a single month by design.</t>
  </si>
  <si>
    <t xml:space="preserve">Agency scopes</t>
  </si>
  <si>
    <t xml:space="preserve">paid_cap</t>
  </si>
  <si>
    <t xml:space="preserve">Maximum paid media per month</t>
  </si>
  <si>
    <t xml:space="preserve">A budget ceiling and a backstop. Diminishing returns and the fulfilment capacity ramp now do most of the work of bounding growth, so this is set high enough that the percent-of-revenue rule governs rather than the cap. At the Aggressive ceiling it is roughly 27% of revenue at scale, in line with benchmark B02.</t>
  </si>
  <si>
    <t xml:space="preserve">Board-approved budget</t>
  </si>
  <si>
    <t xml:space="preserve">paid_elast</t>
  </si>
  <si>
    <t xml:space="preserve">Paid response elasticity (sessions per marginal dollar)</t>
  </si>
  <si>
    <t xml:space="preserve">Diminishing returns on the cold prospecting tier. Sessions scale as (spend / reference spend) raised to this power, so at ten times the reference the effective cost per session rises about 1.8x at 0.75. Below 1.0 is the whole point: auction competition and audience exhaustion mean the second million never buys what the first did. Analyst assumption, standard media-mix practice.</t>
  </si>
  <si>
    <t xml:space="preserve">Marginal CAC by spend decile</t>
  </si>
  <si>
    <t xml:space="preserve">Targeted paid media, tier 1: branded and intent search (harvests demand the partner creates)</t>
  </si>
  <si>
    <t xml:space="preserve">bsearch_per_reach</t>
  </si>
  <si>
    <t xml:space="preserve">Branded searches generated per reached impression</t>
  </si>
  <si>
    <t xml:space="preserve">Each brand post sends some viewers to a search engine rather than to the link. Analyst assumption; no tier-level benchmark was retrievable. This is the mechanism by which celebrity promotion creates cheap paid inventory rather than just free traffic.</t>
  </si>
  <si>
    <t xml:space="preserve">Branded-query volume in Search Console and Google Ads</t>
  </si>
  <si>
    <t xml:space="preserve">bsearch_organic_factor</t>
  </si>
  <si>
    <t xml:space="preserve">Branded and intent searches per organic session</t>
  </si>
  <si>
    <t xml:space="preserve">Baseline brand-name and category-intent search that exists independently of the partner. Analyst assumption.</t>
  </si>
  <si>
    <t xml:space="preserve">bsearch_capture</t>
  </si>
  <si>
    <t xml:space="preserve">Share of available branded and intent search bought</t>
  </si>
  <si>
    <t xml:space="preserve">You cannot buy every query, and you should not: some arrive free through organic listings. Analyst assumption.</t>
  </si>
  <si>
    <t xml:space="preserve">Impression share in Google Ads</t>
  </si>
  <si>
    <t xml:space="preserve">cps_search</t>
  </si>
  <si>
    <t xml:space="preserve">Cost per session, branded and intent search</t>
  </si>
  <si>
    <t xml:space="preserve">Branded queries are the cheapest paid inventory a brand owns because it faces little auction competition on its own name. Analyst assumption anchored to health-category CPC proxies.</t>
  </si>
  <si>
    <t xml:space="preserve">Google Ads cost per click</t>
  </si>
  <si>
    <t xml:space="preserve">conv_mult_search</t>
  </si>
  <si>
    <t xml:space="preserve">Conversion multiplier, branded and intent search</t>
  </si>
  <si>
    <t xml:space="preserve">High-intent traffic converts well above the site average. Analyst assumption; no branded-search multiplier benchmark was retrievable (B19 notes the gap).</t>
  </si>
  <si>
    <t xml:space="preserve">Conversion rate by channel</t>
  </si>
  <si>
    <t xml:space="preserve">search_increment</t>
  </si>
  <si>
    <t xml:space="preserve">Share of branded-search conversions that are incremental</t>
  </si>
  <si>
    <t xml:space="preserve">THE HONEST HAIRCUT. Paying for a query you would rank for organically buys a click you already had. Benchmark B19 makes the same point about retargeting. Without this factor the model would double-count the partner's organic traffic and the paid search that harvests it.</t>
  </si>
  <si>
    <t xml:space="preserve">Paid-search holdout or geo test</t>
  </si>
  <si>
    <t xml:space="preserve">Targeted paid media, tier 2: retargeting site visitors and the partner's engagers</t>
  </si>
  <si>
    <t xml:space="preserve">retarget_pool_sessions</t>
  </si>
  <si>
    <t xml:space="preserve">Share of prior-month sessions addressable for retargeting</t>
  </si>
  <si>
    <t xml:space="preserve">Cookie and consent loss, app-tracking opt-outs and platform matching all shrink the pool. Analyst assumption.</t>
  </si>
  <si>
    <t xml:space="preserve">Custom-audience sizes in the ad platforms</t>
  </si>
  <si>
    <t xml:space="preserve">retarget_pool_engagers</t>
  </si>
  <si>
    <t xml:space="preserve">Partner-post engagers addressable per reached impression</t>
  </si>
  <si>
    <t xml:space="preserve">People who engaged with a brand post can be retargeted from the platform's engagement audience. This is the second mechanism by which the partnership creates cheap, warm ad inventory. Analyst assumption bounded by benchmark B15: the 10M-plus tier averages about 1.77% engagement.</t>
  </si>
  <si>
    <t xml:space="preserve">Engagement-audience size in Meta</t>
  </si>
  <si>
    <t xml:space="preserve">retarget_freq</t>
  </si>
  <si>
    <t xml:space="preserve">Sessions bought per addressable pool member per month</t>
  </si>
  <si>
    <t xml:space="preserve">How hard the warm pool is worked before fatigue. Analyst assumption.</t>
  </si>
  <si>
    <t xml:space="preserve">Frequency and pool-decay reports</t>
  </si>
  <si>
    <t xml:space="preserve">cps_retarget</t>
  </si>
  <si>
    <t xml:space="preserve">Cost per session, retargeting</t>
  </si>
  <si>
    <t xml:space="preserve">Warm audiences cost less per click than cold. Benchmark B19: retargeting CPA runs 40-70% below cold acquisition.</t>
  </si>
  <si>
    <t xml:space="preserve">Ad platform reports</t>
  </si>
  <si>
    <t xml:space="preserve">conv_mult_retarget</t>
  </si>
  <si>
    <t xml:space="preserve">Conversion multiplier, retargeting</t>
  </si>
  <si>
    <t xml:space="preserve">Benchmark B19: retargeting ROAS averages about 4.2x against 1.5-3x for cold prospecting, roughly 71% higher.</t>
  </si>
  <si>
    <t xml:space="preserve">retarget_increment</t>
  </si>
  <si>
    <t xml:space="preserve">Share of retargeting conversions that are incremental</t>
  </si>
  <si>
    <t xml:space="preserve">THE SECOND HONEST HAIRCUT, and the one most often ignored. Benchmark B19: holdout tests show true incremental lift of 25-30%, meaning up to 75% of retargeting conversions would have happened anyway. Retargeting mostly harvests demand that the partner's organic posts and the prospecting tier already created.</t>
  </si>
  <si>
    <t xml:space="preserve">Retargeting holdout test, month 2 onward</t>
  </si>
  <si>
    <t xml:space="preserve">Targeted paid media, tier 3: cold prospecting with partner creative</t>
  </si>
  <si>
    <t xml:space="preserve">cps_prospect</t>
  </si>
  <si>
    <t xml:space="preserve">Cost per session, cold prospecting, generic creative</t>
  </si>
  <si>
    <t xml:space="preserve">Health and wellness CPC proxies; restricted-category ad review raises cost. LegitScript certification is a precondition for scaled healthcare advertising (benchmark B10). Instagram feed ad click-through commonly 0.22-0.88% (B20).</t>
  </si>
  <si>
    <t xml:space="preserve">creative_disc</t>
  </si>
  <si>
    <t xml:space="preserve">Cost-per-session discount from partner creative</t>
  </si>
  <si>
    <t xml:space="preserve">A recognisable face and partner-voiced video should raise click-through and so lower cost per session. NO celebrity-specific benchmark was retrievable; the supporting evidence is only general (video creative 30-50% higher click-through, faces in visuals recommended) per B20. Treat as an analyst assumption, and note that using the partner's likeness in PAID media needs broader licensing than organic posting and faces additional health-category ad review.</t>
  </si>
  <si>
    <t xml:space="preserve">Creative A/B test with and without the partner, month 1</t>
  </si>
  <si>
    <t xml:space="preserve">conv_mult_prospect</t>
  </si>
  <si>
    <t xml:space="preserve">Conversion multiplier, cold prospecting</t>
  </si>
  <si>
    <t xml:space="preserve">The reference tier. Held at 1.0 by definition so the other multipliers are read relative to cold traffic.</t>
  </si>
  <si>
    <t xml:space="preserve">conv_mult_partner_organic</t>
  </si>
  <si>
    <t xml:space="preserve">Conversion multiplier, the partner's own organic traffic</t>
  </si>
  <si>
    <t xml:space="preserve">Followers arriving from a brand post are warmer than cold prospects but colder than someone searching the brand by name. Analyst assumption.</t>
  </si>
  <si>
    <t xml:space="preserve">rx_celeb_factor</t>
  </si>
  <si>
    <t xml:space="preserve">Prescription-intent factor on partner-driven and cold-prospecting traffic</t>
  </si>
  <si>
    <t xml:space="preserve">A follower who clicks a supplement post is much less likely to start a prescription consult than someone who searched for peptide therapy. The partner also cannot promote compounded prescription products, so prescription intent has to come from search, organic content and on-site cross-sell rather than from partner creative. Analyst assumption.</t>
  </si>
  <si>
    <t xml:space="preserve">Quiz-start rate by traffic source</t>
  </si>
  <si>
    <t xml:space="preserve">Non-prescription line: funnel and pricing</t>
  </si>
  <si>
    <t xml:space="preserve">cap_m1</t>
  </si>
  <si>
    <t xml:space="preserve">Orders the supply chain can ship in the first live month</t>
  </si>
  <si>
    <t xml:space="preserve">Manufacturing minimum order quantities, batch lead times, label print runs and 3PL onboarding all gate the first months. Demand above this ceiling is treated as LOST, not backlogged, which is the conservative treatment. Analyst assumption; replace with the contract manufacturer's actual run schedule.</t>
  </si>
  <si>
    <t xml:space="preserve">Manufacturer run schedule and 3PL onboarding plan</t>
  </si>
  <si>
    <t xml:space="preserve">cap_growth</t>
  </si>
  <si>
    <t xml:space="preserve">Monthly growth in shippable capacity</t>
  </si>
  <si>
    <t xml:space="preserve">How fast production and fulfilment can be scaled. Binds hard in the first year of the Aggressive case and stops binding thereafter. Analyst assumption.</t>
  </si>
  <si>
    <t xml:space="preserve">Purchase-order lead times</t>
  </si>
  <si>
    <t xml:space="preserve">shop_conv</t>
  </si>
  <si>
    <t xml:space="preserve">Order conversion rate, all sessions</t>
  </si>
  <si>
    <t xml:space="preserve">DTC supplement conversion commonly 0.5-1.5%; a warm follower audience should sit at the top of or above that band, but benchmark B15 warns mega-tier audiences convert worse than their reach implies.</t>
  </si>
  <si>
    <t xml:space="preserve">Shopify analytics</t>
  </si>
  <si>
    <t xml:space="preserve">nonrx_aov</t>
  </si>
  <si>
    <t xml:space="preserve">Average order value</t>
  </si>
  <si>
    <t xml:space="preserve">Above the $30-65 monthly band in benchmark B06, reflecting a premium multi-product basket. Requires validation.</t>
  </si>
  <si>
    <t xml:space="preserve">sub_attach</t>
  </si>
  <si>
    <t xml:space="preserve">Share of new customers taking a subscription</t>
  </si>
  <si>
    <t xml:space="preserve">Subscribe-and-save attach on consumables. Analyst assumption.</t>
  </si>
  <si>
    <t xml:space="preserve">Subscription app data</t>
  </si>
  <si>
    <t xml:space="preserve">sub_churn</t>
  </si>
  <si>
    <t xml:space="preserve">Monthly subscription churn</t>
  </si>
  <si>
    <t xml:space="preserve">Benchmark B05: 4-7% monthly well run, 8-12% category average, 12-20% churning in month one alone.</t>
  </si>
  <si>
    <t xml:space="preserve">Cohort analysis</t>
  </si>
  <si>
    <t xml:space="preserve">onetime_repeat</t>
  </si>
  <si>
    <t xml:space="preserve">Monthly reorder rate of one-time buyers</t>
  </si>
  <si>
    <t xml:space="preserve">Approximation: applied to the prior month's one-time cohort only, which understates a long tail and is deliberately conservative.</t>
  </si>
  <si>
    <t xml:space="preserve">Non-prescription line: cost of revenue</t>
  </si>
  <si>
    <t xml:space="preserve">nonrx_cogs_pct</t>
  </si>
  <si>
    <t xml:space="preserve">Landed product COGS as a share of retail</t>
  </si>
  <si>
    <t xml:space="preserve">Benchmark B03: landed COGS 20-30% of retail for DTC supplements, giving 70-80% product gross margin.</t>
  </si>
  <si>
    <t xml:space="preserve">Contract manufacturer quotes</t>
  </si>
  <si>
    <t xml:space="preserve">nonrx_fulfil</t>
  </si>
  <si>
    <t xml:space="preserve">Pick, pack and ship per order (ambient)</t>
  </si>
  <si>
    <t xml:space="preserve">3PL pick-pack plus domestic parcel. Ambient, not cold chain.</t>
  </si>
  <si>
    <t xml:space="preserve">3PL quotes</t>
  </si>
  <si>
    <t xml:space="preserve">Prescription line: funnel</t>
  </si>
  <si>
    <t xml:space="preserve">rx_intent</t>
  </si>
  <si>
    <t xml:space="preserve">Eligibility-quiz start rate, all sessions</t>
  </si>
  <si>
    <t xml:space="preserve">Analyst assumption. Prescription intent is a small slice of brand traffic.</t>
  </si>
  <si>
    <t xml:space="preserve">Analytics</t>
  </si>
  <si>
    <t xml:space="preserve">quiz_complete</t>
  </si>
  <si>
    <t xml:space="preserve">Quiz completion rate</t>
  </si>
  <si>
    <t xml:space="preserve">One-question-per-screen intake typically 55-75%.</t>
  </si>
  <si>
    <t xml:space="preserve">eligible_rate</t>
  </si>
  <si>
    <t xml:space="preserve">Share of completions with a clinically eligible outcome</t>
  </si>
  <si>
    <t xml:space="preserve">Red-flag screening removes a material share. Never a target; a safety control.</t>
  </si>
  <si>
    <t xml:space="preserve">Medical director audit</t>
  </si>
  <si>
    <t xml:space="preserve">state_cov_launch</t>
  </si>
  <si>
    <t xml:space="preserve">US population covered by served states at Rx launch</t>
  </si>
  <si>
    <t xml:space="preserve">Licensure, asynchronous-prescribing rules and corporate-practice-of-medicine limits gate this. Fifty-state prescription coverage is NOT available on day one.</t>
  </si>
  <si>
    <t xml:space="preserve">State readiness tracker</t>
  </si>
  <si>
    <t xml:space="preserve">state_cov_step</t>
  </si>
  <si>
    <t xml:space="preserve">Monthly increase in covered population</t>
  </si>
  <si>
    <t xml:space="preserve">Tranche-based state expansion.</t>
  </si>
  <si>
    <t xml:space="preserve">state_cov_cap</t>
  </si>
  <si>
    <t xml:space="preserve">Maximum covered population</t>
  </si>
  <si>
    <t xml:space="preserve">Some states stay excluded on asynchronous or CPOM grounds.</t>
  </si>
  <si>
    <t xml:space="preserve">Counsel memo</t>
  </si>
  <si>
    <t xml:space="preserve">intake_submit</t>
  </si>
  <si>
    <t xml:space="preserve">Intake submission rate, eligible to intake</t>
  </si>
  <si>
    <t xml:space="preserve">Identity verification and consent friction.</t>
  </si>
  <si>
    <t xml:space="preserve">consult_complete</t>
  </si>
  <si>
    <t xml:space="preserve">Consult completion rate</t>
  </si>
  <si>
    <t xml:space="preserve">Asynchronous review completes above video.</t>
  </si>
  <si>
    <t xml:space="preserve">EHR data</t>
  </si>
  <si>
    <t xml:space="preserve">rx_rate</t>
  </si>
  <si>
    <t xml:space="preserve">Clinician prescribing rate</t>
  </si>
  <si>
    <t xml:space="preserve">A clinical decision, never a target. Observed telehealth ranges 50-70%. Monitored solely for safety and for evidence of undue influence.</t>
  </si>
  <si>
    <t xml:space="preserve">Independent medical audit</t>
  </si>
  <si>
    <t xml:space="preserve">enroll_rate</t>
  </si>
  <si>
    <t xml:space="preserve">Paid enrolment rate after a prescription is issued</t>
  </si>
  <si>
    <t xml:space="preserve">Price friction at the plan step; all-in pricing shown before intake improves this.</t>
  </si>
  <si>
    <t xml:space="preserve">rx_churn</t>
  </si>
  <si>
    <t xml:space="preserve">Monthly churn, prescription programmes</t>
  </si>
  <si>
    <t xml:space="preserve">Benchmark B17: ~65% discontinuation within 12 months in the comparable telehealth population, 84.4% by 24 months. THE most damaging driver if wrong.</t>
  </si>
  <si>
    <t xml:space="preserve">Cohort analysis, monthly</t>
  </si>
  <si>
    <t xml:space="preserve">Prescription line: pricing</t>
  </si>
  <si>
    <t xml:space="preserve">rx_price</t>
  </si>
  <si>
    <t xml:space="preserve">Programme price per member-month, blended</t>
  </si>
  <si>
    <t xml:space="preserve">Benchmark B07: sermorelin $96-199 telehealth, tissue protocols $100-300, stacks $80-180, combinations $350-600.</t>
  </si>
  <si>
    <t xml:space="preserve">Van Westendorp plus live price tests</t>
  </si>
  <si>
    <t xml:space="preserve">consult_fee</t>
  </si>
  <si>
    <t xml:space="preserve">Consultation fee charged at intake</t>
  </si>
  <si>
    <t xml:space="preserve">Benchmark B08: asynchronous visits price at $15-40 commonly, up to $60 for longer reviews. Charged whether or not a prescription follows; refunded if screened ineligible.</t>
  </si>
  <si>
    <t xml:space="preserve">Pricing test</t>
  </si>
  <si>
    <t xml:space="preserve">Prescription line: cost of revenue</t>
  </si>
  <si>
    <t xml:space="preserve">pharm_cost</t>
  </si>
  <si>
    <t xml:space="preserve">Pharmacy medication cost per member-month</t>
  </si>
  <si>
    <t xml:space="preserve">503A compounded peptide cost to a telehealth sponsor, volume-tiered. Not independently verified; obtain a written tiered schedule.</t>
  </si>
  <si>
    <t xml:space="preserve">Pharmacy contract schedule</t>
  </si>
  <si>
    <t xml:space="preserve">consult_cost</t>
  </si>
  <si>
    <t xml:space="preserve">Clinician cost per completed consult</t>
  </si>
  <si>
    <t xml:space="preserve">Benchmark B08 cites provider time around $30 per programme plus platform and support. One-time at enrolment.</t>
  </si>
  <si>
    <t xml:space="preserve">Provider network contract</t>
  </si>
  <si>
    <t xml:space="preserve">refill_cost</t>
  </si>
  <si>
    <t xml:space="preserve">Clinician cost per active member-month (monitoring and refill review)</t>
  </si>
  <si>
    <t xml:space="preserve">Recurring clinical review. Must be paid per unit of clinical work, never as a share of revenue.</t>
  </si>
  <si>
    <t xml:space="preserve">coldchain_ship</t>
  </si>
  <si>
    <t xml:space="preserve">Cold-chain fulfilment and shipping per fill</t>
  </si>
  <si>
    <t xml:space="preserve">Benchmark B09: $1.95 base pack rate plus cold storage, insulated mailers, gel packs and a 2-day temperature-controlled lane. The pack rate alone is NOT the landed cost.</t>
  </si>
  <si>
    <t xml:space="preserve">Pharmacy and carrier quotes</t>
  </si>
  <si>
    <t xml:space="preserve">rx_support</t>
  </si>
  <si>
    <t xml:space="preserve">Non-clinical support cost per active member-month</t>
  </si>
  <si>
    <t xml:space="preserve">Tooling plus staffed support per member.</t>
  </si>
  <si>
    <t xml:space="preserve">Support actuals</t>
  </si>
  <si>
    <t xml:space="preserve">Shared cost of revenue</t>
  </si>
  <si>
    <t xml:space="preserve">pay_fee</t>
  </si>
  <si>
    <t xml:space="preserve">Payment processing</t>
  </si>
  <si>
    <t xml:space="preserve">Card fees 2.7-3.2%. Healthcare and supplement merchants are frequently underwritten as elevated risk, which raises the rate and makes LegitScript certification close to a prerequisite (benchmark B10).</t>
  </si>
  <si>
    <t xml:space="preserve">Processor statements</t>
  </si>
  <si>
    <t xml:space="preserve">refund_pct</t>
  </si>
  <si>
    <t xml:space="preserve">Refunds and chargebacks</t>
  </si>
  <si>
    <t xml:space="preserve">2-5% typical. Auto-renewal programmes attract chargebacks; ROSCA-compliant cancellation reduces them.</t>
  </si>
  <si>
    <t xml:space="preserve">Finance actuals</t>
  </si>
  <si>
    <t xml:space="preserve">Operating expenses</t>
  </si>
  <si>
    <t xml:space="preserve">provider_fee</t>
  </si>
  <si>
    <t xml:space="preserve">Turnkey compliance and fulfilment provider, flat fee</t>
  </si>
  <si>
    <t xml:space="preserve">As specified by the project owner. Modelled as a PLATFORM fee only. Published market pricing for comparable turnkey telehealth infrastructure is $3,000-6,000/month plus $5,000-10,000 onboarding plus per-consult fees (benchmark B11), so a $600 fee is very unlikely to absorb medication, per-consult, cold-chain or processing costs. Those are carried separately above. See the Provider_Diligence sheet.</t>
  </si>
  <si>
    <t xml:space="preserve">Executed agreement and fee schedule</t>
  </si>
  <si>
    <t xml:space="preserve">cert_cost</t>
  </si>
  <si>
    <t xml:space="preserve">Certification and registrations per month</t>
  </si>
  <si>
    <t xml:space="preserve">Benchmark B10: ~$3,125 year one and ~$2,150/yr thereafter per site for LegitScript, plus state registrations and renewals; amortised monthly.</t>
  </si>
  <si>
    <t xml:space="preserve">Live fee schedule</t>
  </si>
  <si>
    <t xml:space="preserve">team_pre</t>
  </si>
  <si>
    <t xml:space="preserve">Team per month before the non-Rx launch</t>
  </si>
  <si>
    <t xml:space="preserve">Founder or GM plus fractional operations and contract creative. Small because the provider carries clinical and fulfilment operations. The Conservative column is deliberately a LEAN operator, not a normal operator with weak demand, so that the Conservative outcome reflects demand risk rather than an arbitrary spending choice.</t>
  </si>
  <si>
    <t xml:space="preserve">Hiring plan</t>
  </si>
  <si>
    <t xml:space="preserve">team_p1</t>
  </si>
  <si>
    <t xml:space="preserve">Team per month, non-Rx launch through month 12</t>
  </si>
  <si>
    <t xml:space="preserve">Adds brand, retention, support oversight and a compliance lead.</t>
  </si>
  <si>
    <t xml:space="preserve">team_p2</t>
  </si>
  <si>
    <t xml:space="preserve">Team per month, months 13-24</t>
  </si>
  <si>
    <t xml:space="preserve">Scales with order volume and state count, but stays small relative to revenue because the provider carries clinical operations and fulfilment. A brand at this revenue running team above roughly 15% of net revenue has rebuilt in-house what it is already paying the provider for.</t>
  </si>
  <si>
    <t xml:space="preserve">team_p3</t>
  </si>
  <si>
    <t xml:space="preserve">Team per month, months 25-36</t>
  </si>
  <si>
    <t xml:space="preserve">team_pct_floor</t>
  </si>
  <si>
    <t xml:space="preserve">Team cost floor as a share of net revenue</t>
  </si>
  <si>
    <t xml:space="preserve">Flat headcount steps are the classic way a model overstates profitability at scale: a brand doing tens of millions a month cannot be run by the team that ran it at one million. Team cost is therefore the GREATER of the step above and this share of revenue. It does not bind at Conservative or Baseline volumes; it binds hard in the Aggressive case, which is the point.</t>
  </si>
  <si>
    <t xml:space="preserve">Headcount plan against revenue per employee</t>
  </si>
  <si>
    <t xml:space="preserve">creative_pct_floor</t>
  </si>
  <si>
    <t xml:space="preserve">Creative and content floor as a share of net revenue</t>
  </si>
  <si>
    <t xml:space="preserve">Same correction applied to production. Creative volume has to grow with spend or the ads fatigue; 2-3% of revenue is a modest allowance for a brand whose whole acquisition model is creative-led.</t>
  </si>
  <si>
    <t xml:space="preserve">Agency scopes against spend</t>
  </si>
  <si>
    <t xml:space="preserve">tech_pct_floor</t>
  </si>
  <si>
    <t xml:space="preserve">Technology floor as a share of net revenue</t>
  </si>
  <si>
    <t xml:space="preserve">Storefront, subscription, support, data and consent tooling all price on volume. Flat SaaS line items stop being flat.</t>
  </si>
  <si>
    <t xml:space="preserve">Vendor invoices against order volume</t>
  </si>
  <si>
    <t xml:space="preserve">med_lead</t>
  </si>
  <si>
    <t xml:space="preserve">Medical director and clinical oversight per month</t>
  </si>
  <si>
    <t xml:space="preserve">Fractional medical director retainer. Compensation must never vary with prescription volume or revenue.</t>
  </si>
  <si>
    <t xml:space="preserve">Executed agreement</t>
  </si>
  <si>
    <t xml:space="preserve">tech</t>
  </si>
  <si>
    <t xml:space="preserve">Technology and software per month</t>
  </si>
  <si>
    <t xml:space="preserve">Storefront, subscription management, analytics, consent management, CRM, helpdesk. Separate from the provider fee.</t>
  </si>
  <si>
    <t xml:space="preserve">Vendor invoices</t>
  </si>
  <si>
    <t xml:space="preserve">legal_p0</t>
  </si>
  <si>
    <t xml:space="preserve">Legal and regulatory per month, months 1-4</t>
  </si>
  <si>
    <t xml:space="preserve">Entity structure and MSO or friendly-PC review, provider agreement review, formulary eligibility opinion, claims and label review, endorsement and disclosure protocol, trademark, privacy. Front-loaded deliberately.</t>
  </si>
  <si>
    <t xml:space="preserve">Counsel estimates</t>
  </si>
  <si>
    <t xml:space="preserve">legal_ongoing</t>
  </si>
  <si>
    <t xml:space="preserve">Legal and compliance per month thereafter</t>
  </si>
  <si>
    <t xml:space="preserve">Ongoing claims review, state expansion opinions, FDA list monitoring, contract maintenance.</t>
  </si>
  <si>
    <t xml:space="preserve">insurance</t>
  </si>
  <si>
    <t xml:space="preserve">Insurance per month from the non-Rx launch</t>
  </si>
  <si>
    <t xml:space="preserve">Product liability, professional, cyber and D&amp;O. A vendor contract does not transfer the brand's own liability.</t>
  </si>
  <si>
    <t xml:space="preserve">Broker quotes</t>
  </si>
  <si>
    <t xml:space="preserve">creative</t>
  </si>
  <si>
    <t xml:space="preserve">Creative, content and organic social per month</t>
  </si>
  <si>
    <t xml:space="preserve">Production the brand controls, distinct from paid media and from partner compensation.</t>
  </si>
  <si>
    <t xml:space="preserve">Agency quotes</t>
  </si>
  <si>
    <t xml:space="preserve">Proposed brand-partner economics (hypothetical; no terms offered or accepted)</t>
  </si>
  <si>
    <t xml:space="preserve">partner_cash</t>
  </si>
  <si>
    <t xml:space="preserve">Partner cash retainer per month from the non-Rx launch</t>
  </si>
  <si>
    <t xml:space="preserve">Illustrative only. Structure, amount and mix are entirely unnegotiated. Conservative case models an equity-only deal with no cash retainer.</t>
  </si>
  <si>
    <t xml:space="preserve">Negotiation</t>
  </si>
  <si>
    <t xml:space="preserve">partner_royalty</t>
  </si>
  <si>
    <t xml:space="preserve">Partner royalty on net revenue</t>
  </si>
  <si>
    <t xml:space="preserve">Illustrative. Consumer-brand licensing royalties commonly 3-10%. Held flat across scenarios so the scenarios isolate business performance rather than deal terms.</t>
  </si>
  <si>
    <t xml:space="preserve">partner_equity</t>
  </si>
  <si>
    <t xml:space="preserve">Partner equity, fully diluted (reference only)</t>
  </si>
  <si>
    <t xml:space="preserve">Illustrative. Non-cash; shown on the Partner_Economics sheet for reference and NOT charged to EBITDA.</t>
  </si>
  <si>
    <t xml:space="preserve">Working capital</t>
  </si>
  <si>
    <t xml:space="preserve">inv_months</t>
  </si>
  <si>
    <t xml:space="preserve">Non-Rx inventory held, in months of COGS</t>
  </si>
  <si>
    <t xml:space="preserve">months</t>
  </si>
  <si>
    <t xml:space="preserve">Supplement manufacturing runs have long lead times and minimum order quantities, so inventory is the main working-capital draw. The Rx line carries no inventory; the pharmacy does.</t>
  </si>
  <si>
    <t xml:space="preserve">Purchase orders</t>
  </si>
  <si>
    <t xml:space="preserve">Reserve Clinic - Margin and Growth Summary</t>
  </si>
  <si>
    <t xml:space="preserve">All figures are model outputs, not forecasts. They follow arithmetically from the drivers on Assumptions. Read them as a band produced by a stated set of assumptions, each of which is listed with its confidence and its validation method. Proposed concept; partner participation unverified.</t>
  </si>
  <si>
    <t xml:space="preserve">Metric</t>
  </si>
  <si>
    <t xml:space="preserve">Net revenue, year 1</t>
  </si>
  <si>
    <t xml:space="preserve">Net revenue, year 2</t>
  </si>
  <si>
    <t xml:space="preserve">Net revenue, year 3</t>
  </si>
  <si>
    <t xml:space="preserve">Net revenue, 36-month total</t>
  </si>
  <si>
    <t xml:space="preserve">Gross profit, year 3</t>
  </si>
  <si>
    <t xml:space="preserve">Blended gross margin, year 1</t>
  </si>
  <si>
    <t xml:space="preserve">Blended gross margin, year 3</t>
  </si>
  <si>
    <t xml:space="preserve">Non-Rx gross margin, year 3</t>
  </si>
  <si>
    <t xml:space="preserve">Rx gross margin, year 3</t>
  </si>
  <si>
    <t xml:space="preserve">EBITDA, year 1</t>
  </si>
  <si>
    <t xml:space="preserve">EBITDA, year 2</t>
  </si>
  <si>
    <t xml:space="preserve">EBITDA, year 3</t>
  </si>
  <si>
    <t xml:space="preserve">EBITDA margin, year 3</t>
  </si>
  <si>
    <t xml:space="preserve">EBITDA, 36-month total</t>
  </si>
  <si>
    <t xml:space="preserve">First EBITDA-positive month</t>
  </si>
  <si>
    <t xml:space="preserve">Peak cumulative cash deficit</t>
  </si>
  <si>
    <t xml:space="preserve">Capital required (deficit plus 30% buffer)</t>
  </si>
  <si>
    <t xml:space="preserve">Cumulative cash at month 36</t>
  </si>
  <si>
    <t xml:space="preserve">Active subscribers at month 36 (non-Rx)</t>
  </si>
  <si>
    <t xml:space="preserve">Active programme members at month 36 (Rx)</t>
  </si>
  <si>
    <t xml:space="preserve">Non-Rx share of year-3 net revenue</t>
  </si>
  <si>
    <t xml:space="preserve">Rx contribution per member-month</t>
  </si>
  <si>
    <t xml:space="preserve">Rx gross LTV</t>
  </si>
  <si>
    <t xml:space="preserve">Non-Rx contribution per order</t>
  </si>
  <si>
    <t xml:space="preserve">Non-Rx subscriber gross LTV</t>
  </si>
  <si>
    <t xml:space="preserve">Blended CAC, year 3 average</t>
  </si>
  <si>
    <t xml:space="preserve">Non-Rx LTV:CAC, year 3</t>
  </si>
  <si>
    <t xml:space="preserve">Unit economics: where the margin actually comes from</t>
  </si>
  <si>
    <t xml:space="preserve">Two separate businesses with very different shapes. The non-prescription line is a high-margin consumer product that can trade in all fifty states. The prescription line carries medication, clinician and cold-chain cost on every single fill, so its margin is structurally lower and its retention risk structurally higher.</t>
  </si>
  <si>
    <t xml:space="preserve">A. Non-prescription order (one shipment)</t>
  </si>
  <si>
    <t xml:space="preserve">Line item</t>
  </si>
  <si>
    <t xml:space="preserve">less refunds and chargebacks</t>
  </si>
  <si>
    <t xml:space="preserve">Net revenue per order</t>
  </si>
  <si>
    <t xml:space="preserve">less landed product COGS</t>
  </si>
  <si>
    <t xml:space="preserve">less pick, pack and ship</t>
  </si>
  <si>
    <t xml:space="preserve">less payment processing</t>
  </si>
  <si>
    <t xml:space="preserve">Contribution per order</t>
  </si>
  <si>
    <t xml:space="preserve">Contribution margin</t>
  </si>
  <si>
    <t xml:space="preserve">Implied subscriber life</t>
  </si>
  <si>
    <t xml:space="preserve">Subscriber gross LTV</t>
  </si>
  <si>
    <t xml:space="preserve">B. Prescription programme member (steady-state month)</t>
  </si>
  <si>
    <t xml:space="preserve">Programme price per member-month</t>
  </si>
  <si>
    <t xml:space="preserve">Net revenue per member-month</t>
  </si>
  <si>
    <t xml:space="preserve">less pharmacy medication cost</t>
  </si>
  <si>
    <t xml:space="preserve">less clinician monitoring and refill review</t>
  </si>
  <si>
    <t xml:space="preserve">less cold-chain fulfilment and shipping</t>
  </si>
  <si>
    <t xml:space="preserve">less non-clinical support</t>
  </si>
  <si>
    <t xml:space="preserve">Contribution per member-month</t>
  </si>
  <si>
    <t xml:space="preserve">Monthly churn</t>
  </si>
  <si>
    <t xml:space="preserve">Implied member life, months</t>
  </si>
  <si>
    <t xml:space="preserve">Member gross LTV</t>
  </si>
  <si>
    <t xml:space="preserve">C. Prescription enrolment (one-time, at intake)</t>
  </si>
  <si>
    <t xml:space="preserve">Consultation fee charged</t>
  </si>
  <si>
    <t xml:space="preserve">less clinician cost per completed consult</t>
  </si>
  <si>
    <t xml:space="preserve">Net on the consultation step</t>
  </si>
  <si>
    <t xml:space="preserve">Consults per enrolled member (1 / enrolment rate)</t>
  </si>
  <si>
    <t xml:space="preserve">Consultation-step cost carried per enrolled member</t>
  </si>
  <si>
    <t xml:space="preserve">D. What the flat $600/month provider fee changes, and what it does not</t>
  </si>
  <si>
    <t xml:space="preserve">The flat fee removes most FIXED operating cost from the model. It does not remove VARIABLE cost. Medication, per-consult clinician time, cold-chain shipping and card processing all scale with every order and every fill, and they are carried as separate drivers above.</t>
  </si>
  <si>
    <t xml:space="preserve">Published pricing for comparable turnkey telehealth infrastructure is $3,000-6,000 per month by tier, plus $5,000-10,000 onboarding, plus per-consult fees (benchmark B11). A $600 flat fee sits at roughly one fifth of the low end of that range.</t>
  </si>
  <si>
    <t xml:space="preserve">Read that two ways. Either the fee genuinely covers only software and compliance administration, which is the assumption used here and is the safe way to model it, or the scope is narrower than expected. Both readings lead to the same action: get the fee schedule in writing and confirm line by line what is and is not included.</t>
  </si>
  <si>
    <t xml:space="preserve">A vendor contract does not transfer the brand's own legal exposure. The brand remains responsible for its own advertising claims, its own endorsement disclosures, its own auto-renewal terms and its own privacy practices, whoever operates the platform.</t>
  </si>
  <si>
    <t xml:space="preserve">At $600 per month the provider has no economic stake in volume. That is good for margin and bad for alignment: nothing in the fee structure funds the provider's scaling, so capacity, turnaround time and service levels need to be contractual rather than assumed.</t>
  </si>
  <si>
    <t xml:space="preserve">Sensitivity: which assumptions actually decide the outcome</t>
  </si>
  <si>
    <t xml:space="preserve">Closed-form grids computed from the Baseline column of Assumptions, so they recalculate with the rest of the workbook rather than needing a what-if table. Change the Baseline inputs and these move.</t>
  </si>
  <si>
    <t xml:space="preserve">Grid 1. Prescription LTV:CAC by monthly churn and blended CAC</t>
  </si>
  <si>
    <t xml:space="preserve">Rx contribution per member-month (Baseline drivers)</t>
  </si>
  <si>
    <t xml:space="preserve">Below 3.0x the programme does not pay for its own acquisition. Cells at or above 3.0x are viable.</t>
  </si>
  <si>
    <t xml:space="preserve">Monthly churn \ CAC</t>
  </si>
  <si>
    <t xml:space="preserve">Baseline churn is 11.0%. Benchmark B17 puts real-world discontinuation near 65% at 12 months, which is roughly 8.4% monthly, and 84.4% at 24 months, roughly 7.4% monthly. Churn worse than about 15% monthly makes the prescription line unviable at any plausible CAC.</t>
  </si>
  <si>
    <t xml:space="preserve">Grid 2. Month-12 partner-driven sessions by reach per post and click-through</t>
  </si>
  <si>
    <t xml:space="preserve">These two drivers are the least evidenced in the model and they multiply, so the band they produce is wide by construction.</t>
  </si>
  <si>
    <t xml:space="preserve">Reach % \ CTR</t>
  </si>
  <si>
    <t xml:space="preserve">Grid 3. Year-3 blended gross margin by non-Rx COGS share and pharmacy cost per member-month</t>
  </si>
  <si>
    <t xml:space="preserve">Approximated at the Baseline year-3 revenue mix so the grid is readable. Non-Rx share of year-3 net revenue is taken from the Summary sheet.</t>
  </si>
  <si>
    <t xml:space="preserve">Non-Rx share of year-3 net revenue (Baseline)</t>
  </si>
  <si>
    <t xml:space="preserve">Non-Rx COGS % \ pharmacy $/mm</t>
  </si>
  <si>
    <t xml:space="preserve">Grid 4. Paid CAC by monthly spend, with and without the brand partner</t>
  </si>
  <si>
    <t xml:space="preserve">The like-for-like answer to whether the partnership buys a better CAC. Both columns use identical Baseline drivers, identical prices and identical conversion rates. They differ only in the audience conditions of month 24: partner impressions, and the warm pools those impressions create. Read down: CAC rises with spend in both cases, because of the auction. Read across: at every spend level the partner column is cheaper, and the gap is what the partnership is actually buying.</t>
  </si>
  <si>
    <t xml:space="preserve">Monthly paid spend</t>
  </si>
  <si>
    <t xml:space="preserve">Paid CAC, with partner</t>
  </si>
  <si>
    <t xml:space="preserve">Paid CAC, no partner</t>
  </si>
  <si>
    <t xml:space="preserve">CAC advantage</t>
  </si>
  <si>
    <t xml:space="preserve">Advantage %</t>
  </si>
  <si>
    <t xml:space="preserve">Note the shape. The advantage is largest at low spend, where the partner's cheap warm inventory is a big share of a small budget, and it narrows as budget grows and cold prospecting dominates. That is the correct reading of a celebrity partnership: it is a strong subsidy on the first tranche of spend, not a permanent discount on all of it.</t>
  </si>
  <si>
    <t xml:space="preserve">Proposed brand-partner economics - illustrative only</t>
  </si>
  <si>
    <t xml:space="preserve">No terms have been offered, negotiated or accepted. Nothing on this sheet is an offer. The structure below exists so the conversation can start from arithmetic instead of adjectives. The equity figures use an illustrative revenue multiple and are NOT a valuation; a valuation requires an actual process.</t>
  </si>
  <si>
    <t xml:space="preserve">Illustrative revenue multiple on year-3 net revenue</t>
  </si>
  <si>
    <t xml:space="preserve">Editable. DTC and telehealth multiples move with growth, margin and rate cycles; 2-5x net revenue is a commonly quoted range for profitable consumer health at scale. Not a valuation.</t>
  </si>
  <si>
    <t xml:space="preserve">Item</t>
  </si>
  <si>
    <t xml:space="preserve">Cash retainer over 36 months</t>
  </si>
  <si>
    <t xml:space="preserve">Royalty over 36 months</t>
  </si>
  <si>
    <t xml:space="preserve">Total cash to partner over 36 months</t>
  </si>
  <si>
    <t xml:space="preserve">Royalty in year 3 alone</t>
  </si>
  <si>
    <t xml:space="preserve">Partner equity, fully diluted</t>
  </si>
  <si>
    <t xml:space="preserve">Illustrative equity value at year-3 revenue multiple</t>
  </si>
  <si>
    <t xml:space="preserve">Total illustrative 36-month partner value</t>
  </si>
  <si>
    <t xml:space="preserve">Partner cash as a share of 36-month net revenue</t>
  </si>
  <si>
    <t xml:space="preserve">Constraints that shape any deal here</t>
  </si>
  <si>
    <t xml:space="preserve">The partner can promote the brand and the non-prescription line. The partner should not promote specific compounded prescription drugs. 503A compounders operate under advertising and promotion limits, prescription-drug advertising carries its own disclosure requirements, and celebrity promotion of a prescription product invites exactly the scrutiny a new brand cannot absorb. Separating what is promotable from what is prescribable is a design requirement, not a preference.</t>
  </si>
  <si>
    <t xml:space="preserve">Every paid or equity-holding endorsement needs a clear and conspicuous disclosure of the material connection, on every post and in every format, under the FTC Endorsement Guides. A founder's equity stake is a material connection. Earlier research in this project found the proposed partner named on the FTC's September 2017 list of influencers sent warning letters about undisclosed endorsements, which makes disclosure discipline a specific and personal risk here rather than a generic one.</t>
  </si>
  <si>
    <t xml:space="preserve">Compensation to the medical entity and to clinicians must never vary with prescription volume, programme enrolments or revenue. Partner compensation may be tied to revenue; clinical compensation may not. Keeping those two facts in separate contracts is the point of the structure.</t>
  </si>
  <si>
    <t xml:space="preserve">A prior or concurrent promotion of a competing weight-management or GLP-1 product may create a category-exclusivity conflict. Earlier research in this project flagged a possible prior GLP-1-adjacent promotion; brand and paid status were not verified. Resolve it in diligence before any announcement.</t>
  </si>
  <si>
    <t xml:space="preserve">Nothing here is an offer, and nothing here should be shared as though terms exist. Until definitive agreements are signed the brand is a proposed concept and the partner's role is proposed.</t>
  </si>
  <si>
    <t xml:space="preserve">Turnkey provider at $600/month - what to confirm before signing</t>
  </si>
  <si>
    <t xml:space="preserve">The whole model rests on this vendor. At this fee the vendor carries no volume risk, so scope has to be contractual. Every row is a question to put in writing; the Why column says what breaks in the model if the answer is not what you expect.</t>
  </si>
  <si>
    <t xml:space="preserve">Question to put in writing</t>
  </si>
  <si>
    <t xml:space="preserve">Why it matters to the model</t>
  </si>
  <si>
    <t xml:space="preserve">Status</t>
  </si>
  <si>
    <t xml:space="preserve">Does the $600 include per-consult clinician fees, or are those billed separately per visit?</t>
  </si>
  <si>
    <t xml:space="preserve">The model assumes separately, at $32-45 per completed consult. If included, Rx gross margin improves by roughly the consult cost divided by enrolments. If excluded and higher than assumed, enrolment economics compress.</t>
  </si>
  <si>
    <t xml:space="preserve">Open</t>
  </si>
  <si>
    <t xml:space="preserve">Does the $600 include medication cost, or does the pharmacy bill per fill?</t>
  </si>
  <si>
    <t xml:space="preserve">The model assumes the pharmacy bills per fill at $75-105 per member-month. This is the largest single variable cost in the Rx line; a written tiered schedule is essential.</t>
  </si>
  <si>
    <t xml:space="preserve">Does the $600 include cold-chain shipping and packaging, or is that billed per shipment?</t>
  </si>
  <si>
    <t xml:space="preserve">The model assumes per shipment at $15-22. Benchmark B09 shows a $1.95 pack rate is only the pack step, not the landed temperature-controlled cost.</t>
  </si>
  <si>
    <t xml:space="preserve">Is payment processing inside the fee, and at what rate and risk classification?</t>
  </si>
  <si>
    <t xml:space="preserve">The model carries 2.7-3.2% separately. Healthcare and supplement merchants are frequently underwritten as elevated risk.</t>
  </si>
  <si>
    <t xml:space="preserve">Which specific pharmacies fulfil, under which licences, and in which states?</t>
  </si>
  <si>
    <t xml:space="preserve">Drives the state-coverage ramp, which is the gate on the whole Rx funnel. Name the pharmacies; do not accept a count.</t>
  </si>
  <si>
    <t xml:space="preserve">For each pharmacy: 503A, 503B, or both, and which is used for which product?</t>
  </si>
  <si>
    <t xml:space="preserve">503A compounds pursuant to individual patient prescriptions. 503B outsourcing facilities are built for non-patient-specific office stock. They are not interchangeable for a consumer-direct model, and assuming they are is a common and expensive error.</t>
  </si>
  <si>
    <t xml:space="preserve">How does the arrangement handle interstate distribution limits for 503A pharmacies?</t>
  </si>
  <si>
    <t xml:space="preserve">Section 503A(b)(3) caps interstate distribution of compounded drugs at 5% of total prescription orders unless the pharmacy's state has signed the FDA memorandum of understanding. FDA's compounding MOU index currently lists only three MOUs, all suspended, and FDA has repeatedly deferred enforcement of the 5% limit pending rulemaking. Deferred enforcement is discretionary and revocable, so a national single-pharmacy Rx model is a policy bet, not a settled structure.</t>
  </si>
  <si>
    <t xml:space="preserve">Which peptides are on the current FDA 503A Category 1 bulks list, as of the signing date?</t>
  </si>
  <si>
    <t xml:space="preserve">Determines the formulary. Benchmark B18: FDA removed 12 peptides from Category 2 in April 2026, the PCAC met in July 2026 on three more and will meet again before the end of February 2027 on five others. The list moves; the contract should require the provider to track it.</t>
  </si>
  <si>
    <t xml:space="preserve">Is any product 'essentially a copy' of an approved drug?</t>
  </si>
  <si>
    <t xml:space="preserve">Section 503A limits compounding of drugs that are essentially copies of commercially available products. This is where compounded-GLP-1 programmes have drawn enforcement.</t>
  </si>
  <si>
    <t xml:space="preserve">Who holds the LegitScript healthcare merchant certification, and for which website?</t>
  </si>
  <si>
    <t xml:space="preserve">Certification is site-specific and gates healthcare advertising across Google, Meta, Microsoft and TikTok. If it is the provider's certification on the provider's domain, the brand's own site may not be covered. No certification means no scaled paid acquisition, which removes most of the paid-traffic line from the model.</t>
  </si>
  <si>
    <t xml:space="preserve">What is the legal structure: MSO and friendly-PC, and who owns the physician entity?</t>
  </si>
  <si>
    <t xml:space="preserve">Corporate-practice-of-medicine rules in many states bar a non-physician company from owning a medical practice or splitting professional fees. Get the structure opinion, not a reassurance.</t>
  </si>
  <si>
    <t xml:space="preserve">How are clinicians compensated, and does any element vary with prescribing or revenue?</t>
  </si>
  <si>
    <t xml:space="preserve">Any volume- or revenue-linked clinical compensation is a fee-splitting and kickback problem and undermines the clinical-independence position the whole model depends on.</t>
  </si>
  <si>
    <t xml:space="preserve">Who owns the patient relationship, the medical records and the customer data on exit?</t>
  </si>
  <si>
    <t xml:space="preserve">Determines whether the brand has an asset or a rental. Ask for the data-portability and records-transfer terms in the termination clause.</t>
  </si>
  <si>
    <t xml:space="preserve">Who is the named party on advertising claims, and who indemnifies whom?</t>
  </si>
  <si>
    <t xml:space="preserve">A vendor contract does not transfer the brand's own advertising liability. Read the indemnity in both directions and check the cap against the insurance limits.</t>
  </si>
  <si>
    <t xml:space="preserve">What are the service levels: consult turnaround, fill turnaround, ship-by, support response?</t>
  </si>
  <si>
    <t xml:space="preserve">At a flat fee the provider has no economic incentive to scale with you. Without contractual service levels, growth degrades the customer experience exactly when volume arrives.</t>
  </si>
  <si>
    <t xml:space="preserve">What are the capacity ceilings, and what happens when the brand exceeds them?</t>
  </si>
  <si>
    <t xml:space="preserve">The aggressive scenario implies order volumes that a $600/month arrangement is unlikely to have been sized for. Get the ceiling in writing and the repricing mechanism with it.</t>
  </si>
  <si>
    <t xml:space="preserve">What are the termination terms, notice period and post-termination continuity of care?</t>
  </si>
  <si>
    <t xml:space="preserve">Members on active prescription programmes cannot simply be dropped. Continuity-of-care obligations survive the contract and belong in the plan.</t>
  </si>
  <si>
    <t xml:space="preserve">What insurance does the provider carry, at what limits, and is the brand an additional insured?</t>
  </si>
  <si>
    <t xml:space="preserve">Determines the real gap the brand's own product-liability, professional and cyber cover has to fill.</t>
  </si>
  <si>
    <t xml:space="preserve">Has the provider or any affiliated pharmacy or clinician been subject to FDA, DEA, state board or FTC action?</t>
  </si>
  <si>
    <t xml:space="preserve">Basic counterparty diligence. A provider's enforcement history becomes the brand's reputational problem on day one.</t>
  </si>
  <si>
    <t xml:space="preserve">Auto-renewal mechanics: consent capture, renewal reminders, cancellation path, and who is liable?</t>
  </si>
  <si>
    <t xml:space="preserve">ROSCA and state auto-renewal laws are the most common source of consumer-protection claims in subscription health. The cancellation path must be as easy as the sign-up path, and the brand is liable for it whoever built it.</t>
  </si>
  <si>
    <t xml:space="preserve">Benchmarks behind the drivers</t>
  </si>
  <si>
    <t xml:space="preserve">Third-party unless marked as an analyst assumption. Figures were taken from search-result summaries during a session in which direct page loads were restricted; load-bearing figures were corroborated across two independent queries. Ranges are ranges, not measurements.</t>
  </si>
  <si>
    <t xml:space="preserve">ID</t>
  </si>
  <si>
    <t xml:space="preserve">Topic</t>
  </si>
  <si>
    <t xml:space="preserve">Finding</t>
  </si>
  <si>
    <t xml:space="preserve">How it is used</t>
  </si>
  <si>
    <t xml:space="preserve">Sources</t>
  </si>
  <si>
    <t xml:space="preserve">B01</t>
  </si>
  <si>
    <t xml:space="preserve">Public telehealth gross margin (closest listed comparable)</t>
  </si>
  <si>
    <t xml:space="preserve">Hims &amp; Hers gross margin 74% FY2025 vs 79% FY2024; 65% in Q1 2026 and 63.8% in Q2 2026. Decline attributed to weight-loss offerings with shorter shipping cadences and higher fulfilment costs, plus international mix.</t>
  </si>
  <si>
    <t xml:space="preserve">Ceiling reference for a telehealth blended gross margin. Reserve Clinic's Rx line is modelled well below this because it carries cold-chain shipping on every fill.</t>
  </si>
  <si>
    <t xml:space="preserve">High (company-reported)</t>
  </si>
  <si>
    <t xml:space="preserve">https://investors.hims.com/news/news-details/2026/Hims--Hers-Health-Inc--Reports-Fourth-Quarter-and-Full-Year-2025-Financial-Results/default.aspx
https://www.sec.gov/Archives/edgar/data/1773751/000177375126000022/hims-20251231.htm</t>
  </si>
  <si>
    <t xml:space="preserve">B02</t>
  </si>
  <si>
    <t xml:space="preserve">Telehealth marketing intensity</t>
  </si>
  <si>
    <t xml:space="preserve">Hims &amp; Hers marketing expense was ~40% of revenue in Q2 2025 (down from ~46% a year earlier) and ~34.8% of revenue in Q2 2026 ($262.2M on $753.2M).</t>
  </si>
  <si>
    <t xml:space="preserve">Anchors the paid-media-as-percent-of-revenue driver (25-32% by scenario). A celebrity-led brand should sit below this, not above, or the audience is not doing any work.</t>
  </si>
  <si>
    <t xml:space="preserve">https://www.sec.gov/Archives/edgar/data/0001773751/000177375126000161/hims-20260630x8xkearningsr.htm
https://finance.yahoo.com/markets/stocks/articles/hims-hers-stock-plunges-post-171900613.html</t>
  </si>
  <si>
    <t xml:space="preserve">B03</t>
  </si>
  <si>
    <t xml:space="preserve">DTC supplement gross margin and landed COGS</t>
  </si>
  <si>
    <t xml:space="preserve">Landed COGS (materials, packaging, manufacturing, inbound freight, duties) typically 20-30% of retail for a DTC supplement, producing 70-80% gross margin. Target range cited as 60-80%. Public DTC median gross margin ~57% for non-food categories. Per-unit COGS $3-15 depending on dosage form and volume.</t>
  </si>
  <si>
    <t xml:space="preserve">Non-Rx line COGS driver set at 22-30% of retail.</t>
  </si>
  <si>
    <t xml:space="preserve">Medium (aggregator/advisory sources, not audited)</t>
  </si>
  <si>
    <t xml:space="preserve">https://eightx.co/blog/supplements-brand-unit-economics
https://commercecatalyst.ai/benchmarks/supplements/
https://eightx.co/blog/average-dtc-gross-margin-public-companies
https://inventoryready.com/guides/supplement-pricing-strategy</t>
  </si>
  <si>
    <t xml:space="preserve">B04</t>
  </si>
  <si>
    <t xml:space="preserve">DTC supplement CAC</t>
  </si>
  <si>
    <t xml:space="preserve">CAC $45-80 for supplements per triangulated industry estimates; $53-91 across ecommerce categories generally.</t>
  </si>
  <si>
    <t xml:space="preserve">Sanity band for the computed blended CAC output. The model derives CAC rather than assuming it.</t>
  </si>
  <si>
    <t xml:space="preserve">https://commercecatalyst.ai/benchmarks/supplements/
https://foundrycro.com/blog/dtc-supplements-marketing-benchmarks-2026/</t>
  </si>
  <si>
    <t xml:space="preserve">B05</t>
  </si>
  <si>
    <t xml:space="preserve">Supplement subscription churn</t>
  </si>
  <si>
    <t xml:space="preserve">4-7% monthly when well run; 8-12% at health-and-wellness category average; 12-20% of subscribers churn in month 1 alone. Below 5% strong, below 4% top-tier, sustained above 10% a retention emergency.</t>
  </si>
  <si>
    <t xml:space="preserve">Non-Rx subscription churn driver 5.5-9% monthly by scenario.</t>
  </si>
  <si>
    <t xml:space="preserve">https://eightx.co/blog/supplement-subscription-churn-rate-benchmark
https://eightx.co/blog/average-subscription-churn-rate-by-category
https://eightx.co/blog/supplements-subscription-economics</t>
  </si>
  <si>
    <t xml:space="preserve">B06</t>
  </si>
  <si>
    <t xml:space="preserve">Supplement AOV, LTV and LTV:CAC</t>
  </si>
  <si>
    <t xml:space="preserve">AOV $30-65 monthly with 12-month LTV $300-600 (Recharge benchmarks cited). At 8% monthly churn a $40 subscriber at 55% margin returns ~$275 LTV. Healthy LTV:CAC 3.5:1 to 6:1, with 3:1 the floor.</t>
  </si>
  <si>
    <t xml:space="preserve">Non-Rx AOV driver $68-88 (premium positioning above the cited band) and the 3.0x LTV:CAC gate.</t>
  </si>
  <si>
    <t xml:space="preserve">https://eightx.co/blog/supplements-subscription-economics
https://www.retentionlab.ai/blog/good-ltv-dtc-benchmarks-2026
https://commercecatalyst.ai/benchmarks/supplements/</t>
  </si>
  <si>
    <t xml:space="preserve">B07</t>
  </si>
  <si>
    <t xml:space="preserve">Compounded peptide programme pricing, US, 2026</t>
  </si>
  <si>
    <t xml:space="preserve">Sermorelin $96-199/mo via telehealth, $200-400/mo in-clinic. BPC-157 or TB-500 tissue protocols $100-300/mo. CJC-1295/ipamorelin stack $80-180/mo. Sermorelin plus CJC-1295 combination protocols $350-600/mo.</t>
  </si>
  <si>
    <t xml:space="preserve">Rx programme price driver $199-299 per member-month, blended across protocols.</t>
  </si>
  <si>
    <t xml:space="preserve">Medium (marketing pages and category guides, not a price survey)</t>
  </si>
  <si>
    <t xml:space="preserve">https://healingmaps.com/sermorelin-cost-guide/
https://peptidenewsdigest.org/pricing/peptides/
https://www.peptidemark.com/news/peptide-therapy-cost-breakdown-2026
https://healingmaps.com/peptide-telehealth/</t>
  </si>
  <si>
    <t xml:space="preserve">B08</t>
  </si>
  <si>
    <t xml:space="preserve">Asynchronous consult cost and price</t>
  </si>
  <si>
    <t xml:space="preserve">Asynchronous e-visits price at roughly $15-40 to the patient; raw median prices $20 (5-10 min) to $60 (21+ min). From the operator side a cited COGS breakdown is provider time $30, platform $10, support $10 per ongoing-care programme. Synchronous video $50-100.</t>
  </si>
  <si>
    <t xml:space="preserve">Clinician cost per completed consult driver $32-45, and consult fee charged $49-79.</t>
  </si>
  <si>
    <t xml:space="preserve">https://bask.health/blog/pricing-for-telemedicine-services
https://www.ncbi.nlm.nih.gov/books/NBK459384/
https://openmypro.com/cost/telehealth-visit-cost</t>
  </si>
  <si>
    <t xml:space="preserve">B09</t>
  </si>
  <si>
    <t xml:space="preserve">Cold-chain fulfilment cost for peptides</t>
  </si>
  <si>
    <t xml:space="preserve">Quoted base pack rate $1.95 per order plus $350/month cold storage for refrigerated peptide inventory; FedEx 2-Day temperature-controlled is the standard lane. Additional cost for insulated mailers, gel packs, refrigerated carrier surcharges. Most peptides require 2-8 C.</t>
  </si>
  <si>
    <t xml:space="preserve">Cold-chain shipping driver $15-22 per Rx fill, which is the pack rate plus the expedited insulated lane, not the pack rate alone.</t>
  </si>
  <si>
    <t xml:space="preserve">Medium (vendor marketing pages)</t>
  </si>
  <si>
    <t xml:space="preserve">https://rapidfulfillment.com/blogs/news/peptide-fulfillment-pricing
https://3plguys.com/articles/peptide-shipping-guide
https://amzprep.com/peptide-fulfilment-services/</t>
  </si>
  <si>
    <t xml:space="preserve">B10</t>
  </si>
  <si>
    <t xml:space="preserve">LegitScript healthcare merchant certification cost</t>
  </si>
  <si>
    <t xml:space="preserve">2025-2026 schedule cited as $975 application plus $2,150 annual per website; ~$3,125 year one for a single-site brand, ~$2,150/yr ongoing; expedited review ~$2,500 extra. It gates healthcare advertising on Google, Meta, Microsoft, TikTok, LinkedIn and Nextdoor, and is close to a prerequisite for card-not-present acceptance.</t>
  </si>
  <si>
    <t xml:space="preserve">Certification line in opex. Also a gating dependency for the paid-media plan: no certification, no paid healthcare advertising at scale.</t>
  </si>
  <si>
    <t xml:space="preserve">Medium (third-party summaries of a schedule that changes; confirm live)</t>
  </si>
  <si>
    <t xml:space="preserve">https://myorbithealth.com/blog/legitscript-certification-telehealth-guide
https://www.legitscript.com/certification/healthcare-certification/
https://www.2accept.net/blog/legitscript-certification-cost</t>
  </si>
  <si>
    <t xml:space="preserve">B11</t>
  </si>
  <si>
    <t xml:space="preserve">Market rate for turnkey white-label telehealth infrastructure</t>
  </si>
  <si>
    <t xml:space="preserve">One vendor's published pricing is $3,000-6,000 per month by plan tier plus a $5,000-10,000 one-time onboarding fee and separate per-consult fees, as of mid-2026. Other vendors advertise a flat monthly fee with zero revenue share including LegitScript and multi-pharmacy access; most gate pricing behind a demo. The category supplies licensed providers, HIPAA intake and EMR, e-prescribing, pharmacy fulfilment and the MSO / friendly-PC legal structure while the brand owns the customer.</t>
  </si>
  <si>
    <t xml:space="preserve">Directly relevant to the stated $600/month flat fee. The model treats $600 as a platform/SaaS fee only and carries per-consult, medication, shipping and processing costs separately, because a fee at one fifth of the low end of published market pricing is very unlikely to absorb per-unit variable costs.</t>
  </si>
  <si>
    <t xml:space="preserve">https://myorbithealth.com/blog/best-white-label-telehealth-platforms
https://cuvo.co/blog/best-white-label-telehealth-platforms
https://pharmabro.co/
https://thepharmacyhub.com/telehealth/
https://whitelabelmd.com/</t>
  </si>
  <si>
    <t xml:space="preserve">B12</t>
  </si>
  <si>
    <t xml:space="preserve">Category growth: peptide therapeutics (global)</t>
  </si>
  <si>
    <t xml:space="preserve">Global peptide therapeutics estimated ~$58B in 2026 (estimates range $54.6B to $164B depending on scope), reaching ~$83.6B by 2030 at a cited 11.2% CAGR; most firms project 5-8% CAGR, some 10.8% to 2036.</t>
  </si>
  <si>
    <t xml:space="preserve">Context only. This market is pharmaceutical-dominated and is NOT the addressable market for a cash-pay DTC brand. Shown in the proposal as context and labelled as such.</t>
  </si>
  <si>
    <t xml:space="preserve">Low (vendor market reports, wide disagreement)</t>
  </si>
  <si>
    <t xml:space="preserve">https://www.thebusinessresearchcompany.com/report/peptide-therapeutics-global-market-report
https://www.grandviewresearch.com/industry-analysis/peptide-therapeutics-market
https://www.precedenceresearch.com/peptide-therapeutics-market</t>
  </si>
  <si>
    <t xml:space="preserve">B13</t>
  </si>
  <si>
    <t xml:space="preserve">Category growth: dietary supplements</t>
  </si>
  <si>
    <t xml:space="preserve">Dietary supplements projected from ~$228.2B in 2026; nutritional supplements to ~$635.6B by 2030 at a cited 7.2% CAGR; dietary supplements cited at 7.2-9.5% CAGR depending on firm.</t>
  </si>
  <si>
    <t xml:space="preserve">Growth context for the non-Rx line, which is the line that can operate in all fifty states.</t>
  </si>
  <si>
    <t xml:space="preserve">Low (vendor market reports)</t>
  </si>
  <si>
    <t xml:space="preserve">https://www.grandviewresearch.com/industry-analysis/dietary-supplements-market-report
https://www.thebusinessresearchcompany.com/report/nutritional-supplements-global-market-report
https://www.fortunebusinessinsights.com/dietary-supplements-market-102082</t>
  </si>
  <si>
    <t xml:space="preserve">B14</t>
  </si>
  <si>
    <t xml:space="preserve">Celebrity-founded supplement brand outcomes (existence proof for the upside case)</t>
  </si>
  <si>
    <t xml:space="preserve">IM8, co-founded by David Beckham (~88M Instagram followers), reported $100M in 11 months and ~$120M ARR within the first year; its founders stated they deliberately did not lean on the fame but on product efficacy. Gruns reached profitability 14 months in with nine-figure ARR and a reported $500M valuation. For contrast, SHREDZ did $90k in its first year (2012) and $5M in 2013.</t>
  </si>
  <si>
    <t xml:space="preserve">Calibrates the aggressive scenario. It establishes the outcome is achievable but the spread between SHREDZ and IM8 is roughly three orders of magnitude, which is why the scenario band is wide.</t>
  </si>
  <si>
    <t xml:space="preserve">Medium (press reporting, self-reported revenue)</t>
  </si>
  <si>
    <t xml:space="preserve">https://www.entrepreneur.com/building-a-business/david-beckhams-supplement-brand-is-doing-10-million-a-month
https://www.inc.com/jennifer-conrad/gruns-follow-the-money/91181108
https://tnge.substack.com/p/the-supplement-brand-that-grows-faster-than-anyone-else</t>
  </si>
  <si>
    <t xml:space="preserve">B15</t>
  </si>
  <si>
    <t xml:space="preserve">Instagram performance at the 10M-plus follower tier</t>
  </si>
  <si>
    <t xml:space="preserve">Accounts above 10M followers average ~1.77% engagement, the lowest of any tier; accounts above 5M average ~1.97%, down ~24% year over year. Reels engagement averages ~3.8% and runs 3-5x static posts. Multiple sources note smaller creators convert to sales better than mega accounts despite lower reach.</t>
  </si>
  <si>
    <t xml:space="preserve">Constrains the audience-conversion drivers. Engagement is not reach and reach is not purchase; the model steps followers to impressions to sessions to orders with a separate, explicit rate at each step and a decay curve on attention.</t>
  </si>
  <si>
    <t xml:space="preserve">https://creatorflow.so/blog/instagram-engagement-rate/
https://nowadays.media/blog/influencer-engagement-rate-benchmarks-2026-by-platform-niche-follower-tier/
https://www.upgrow.com/blog/instagram-engagement-rate-statistics-2026-industry-follower-size</t>
  </si>
  <si>
    <t xml:space="preserve">B16</t>
  </si>
  <si>
    <t xml:space="preserve">Proposed brand partner audience size</t>
  </si>
  <si>
    <t xml:space="preserve">Scott Disick (@letthelordbewithyou) reported at 27,410,219 followers as of June 2026; other trackers report 27M to 28.3M. Counts vary by refresh time.</t>
  </si>
  <si>
    <t xml:space="preserve">Model input set to 27,400,000 and held constant across all three scenarios, because it is a measured quantity rather than a scenario choice. Audience quality, US share and health-category receptivity are NOT known and are handled by the reach and click-through drivers.</t>
  </si>
  <si>
    <t xml:space="preserve">Medium (third-party trackers; not an audited or first-party figure)</t>
  </si>
  <si>
    <t xml:space="preserve">https://hypeauditor.com/instagram/letthelordbewithyou/
https://socialblade.com/instagram/user/letthelordbewithyou
https://www.instagram.com/letthelordbewithyou/</t>
  </si>
  <si>
    <t xml:space="preserve">B17</t>
  </si>
  <si>
    <t xml:space="preserve">Prescription-programme retention reality check</t>
  </si>
  <si>
    <t xml:space="preserve">For the non-diabetic weight-loss population, discontinuation approaches 65% within the first year and 84.4% by 24 months. A real-world telehealth obesity provider reported programme retention of 78%, 63% and 58% at 3, 6 and 9 months. Commentary describes a 2026 'retention cliff' as the category's central problem.</t>
  </si>
  <si>
    <t xml:space="preserve">Rx churn driver 9.5-13% monthly. This is the single most damaging assumption if wrong, and it is flagged as such in the sensitivity analysis.</t>
  </si>
  <si>
    <t xml:space="preserve">Medium-High (peer-reviewed real-world evidence plus trade commentary)</t>
  </si>
  <si>
    <t xml:space="preserve">https://pmc.ncbi.nlm.nih.gov/articles/PMC11589532/
https://glp-1.reviews/glp-1-industry-secrets-revealed-what-2026-data-shows-about-telehealth-success-rates/</t>
  </si>
  <si>
    <t xml:space="preserve">B18</t>
  </si>
  <si>
    <t xml:space="preserve">503A bulk substances list movement on peptides, 2026</t>
  </si>
  <si>
    <t xml:space="preserve">On 15 April 2026 FDA removed 12 peptides from Category 2 of the 503A bulk drug substances list. First-batch substances under review include BPC-157, KPV, MOTS-c, Emideltide (DSIP), Epitalon, Semax and TB-500. The Pharmacy Compounding Advisory Committee met 23-24 July 2026 on Emideltide, Semax and Epitalon related substances, and FDA announced a further meeting before the end of February 2027 covering GHK-Cu, Melanotan II, Cathelicidin (LL-37), Dihexa acetate and PEG-MGF. Gonadorelin acetate has been added to Category 1. One category guide states CJC-1295 and ipamorelin 'returned to Category 1 in 2026'.</t>
  </si>
  <si>
    <t xml:space="preserve">Not a financial driver but the gate on which products the Rx line may legally carry. The formulary must be re-verified against the live FDA list before launch and re-verified on each PCAC action; the CJC-1295/ipamorelin claim in particular rests on a single secondary source and is NOT treated as established.</t>
  </si>
  <si>
    <t xml:space="preserve">Medium for the FDA actions, Low for the CJC-1295/ipamorelin Category 1 claim</t>
  </si>
  <si>
    <t xml:space="preserve">https://www.fda.gov/advisory-committees/advisory-committee-calendar/july-23-24-2026-meeting-pharmacy-compounding-advisory-committee-07232026
https://www.thefdalawblog.com/2026/04/fdas-peptide-rally-what-compounders-and-industry-need-to-know-post-1-of-2/
https://www.fagronacademy.us/blog/industry-update-503a-and-503b-bulks-lists-new-revisions</t>
  </si>
  <si>
    <t xml:space="preserve">B19</t>
  </si>
  <si>
    <t xml:space="preserve">Retargeting versus cold prospecting economics, and the incrementality problem</t>
  </si>
  <si>
    <t xml:space="preserve">Retargeting ROAS averages about 4.2x in 2026, roughly 71% above prospecting; benchmark ranges given as 3-5x for prospecting and 5-10x for retargeting, with cold Meta prospecting typically 1.5-3x and retargeting often clearing 5x. Cost per acquisition drops 40-70% on retargeting audiences versus cold, and retargeting campaigns are described as costing 60-70% less than prospecting. Returning customers show a 3-4x conversion multiplier. CRITICALLY, the same sources warn that retargeting looks efficient mainly because it harvests demand prospecting already created, that cutting prospecting starves it weeks later, and that up to 75% of retargeting conversions may be non-incremental, with holdout tests showing true incremental lift of only 25-30%.</t>
  </si>
  <si>
    <t xml:space="preserve">Sets cost per session and the conversion multiplier for the retargeting tier, AND sets the incrementality haircut driver (25-40% by scenario) applied to that tier's conversions. The haircut is the reason the model does not simply assume a better CAC: at the baseline 30% incrementality, retargeting's incremental CAC comes out roughly level with cold prospecting despite a much cheaper nominal CPA. The same logic sets a 35-55% incrementality haircut on paid branded search, which otherwise double-counts the partner's organic traffic.</t>
  </si>
  <si>
    <t xml:space="preserve">Medium for the nominal efficiency figures, Medium-High for the incrementality warning (holdout-test based)</t>
  </si>
  <si>
    <t xml:space="preserve">https://www.admetrics.io/post/retargeting-advertising-dtc-ecommerce-99811
https://mhigrowthengine.com/blog/prospecting-vs-retargeting-spend-ratio/
https://parahgroup.com/blogs/retargeting-vs-prospecting-which-brings-better-conversion-rates/
https://www.webtonic.io/blog/retargeting</t>
  </si>
  <si>
    <t xml:space="preserve">B20</t>
  </si>
  <si>
    <t xml:space="preserve">Paid social creative performance, and the absence of a celebrity-specific benchmark</t>
  </si>
  <si>
    <t xml:space="preserve">Facebook traffic campaigns average about 1.71% click-through across industries and lead campaigns about 2.59%; roughly 1% or better is a practical 2026 target for paid social. Instagram feed ads run 0.22-0.88% click-through and Stories ads 0.33-0.54%. On creative: video content is cited at 30-50% higher click-through, including faces in visuals is a recommended practice, and social proof is credited with 15-25% higher conversion. NO study focused specifically on celebrity or recognisable-face ad performance lift was retrievable.</t>
  </si>
  <si>
    <t xml:space="preserve">Sets cost per session on the cold prospecting tier. Also bounds the partner-creative cost-per-session discount driver (0.72-0.88), which is labelled a LOW-confidence analyst assumption precisely because no celebrity-specific lift benchmark exists. The model's validation method for it is a creative A/B test with and without the partner in month one.</t>
  </si>
  <si>
    <t xml:space="preserve">Medium for the general paid-social figures, None for celebrity-specific lift (no source found)</t>
  </si>
  <si>
    <t xml:space="preserve">https://www.theedigital.com/blog/facebook-ads-benchmarks
https://focus-digital.co/social-media-ads-ctr-benchmarks-2025/
https://www.adstellar.ai/blog/ad-creative-benchmarks-2026
https://www.triplewhale.com/blog/facebook-ads-benchmarks</t>
  </si>
  <si>
    <t xml:space="preserve">Not retrievable in this environment</t>
  </si>
  <si>
    <t xml:space="preserve">First-party analytics for any competitor (sessions, conversion rate, CAC, churn) — no traffic tool or ad library was reachable.</t>
  </si>
  <si>
    <t xml:space="preserve">Audited financials for any private peptide or celebrity supplement brand. IM8 and Gruns revenue figures are self-reported via press.</t>
  </si>
  <si>
    <t xml:space="preserve">Scott Disick's audience composition (US share, age, gender, health-category affinity) and any historical conversion performance on a paid endorsement.</t>
  </si>
  <si>
    <t xml:space="preserve">The identity, licences, contract terms, insurance, pharmacy network and LegitScript status of the $600/month provider — no provider was named.</t>
  </si>
  <si>
    <t xml:space="preserve">Any study quantifying the advertising performance lift from celebrity or recognisable-face creative. The creative-discount driver is an analyst assumption supported only by general findings on video and faces in visuals.</t>
  </si>
  <si>
    <t xml:space="preserve">A branded-search conversion-rate multiplier benchmark, and any benchmark for branded-search volume generated per unit of social reach. Both are analyst assumptions.</t>
  </si>
  <si>
    <t xml:space="preserve">Whether the proposed partner's likeness rights extend to paid media. Organic posting rights and paid-usage rights are separately licensed, and health-category ad review plus LegitScript certification gate the paid use regardless.</t>
  </si>
  <si>
    <t xml:space="preserve">Targeted paid media: three tiers, allocated cheapest first</t>
  </si>
  <si>
    <t xml:space="preserve">The brand partnership does not lower the cost of advertising by magic. It works through three specific, measurable mechanisms, and each one is a separate tier below with its own volume ceiling, its own cost per session, its own conversion rate and its own incrementality haircut. The budget is set as a share of the prior month's net revenue, then filled from the cheapest tier upward: search first, retargeting second, cold prospecting takes whatever is left.</t>
  </si>
  <si>
    <t xml:space="preserve">Tier</t>
  </si>
  <si>
    <t xml:space="preserve">What it is</t>
  </si>
  <si>
    <t xml:space="preserve">How the partnership creates it</t>
  </si>
  <si>
    <t xml:space="preserve">Volume ceiling</t>
  </si>
  <si>
    <t xml:space="preserve">Incrementality haircut</t>
  </si>
  <si>
    <t xml:space="preserve">1. Branded and intent search</t>
  </si>
  <si>
    <t xml:space="preserve">Paid search against the brand name and against category-intent queries. The cheapest inventory a brand owns, because it faces little auction competition on its own name.</t>
  </si>
  <si>
    <t xml:space="preserve">Every brand post sends some viewers to a search engine instead of to the link. That converts partner reach into cheap, high-intent paid inventory. Without the partner this tier is almost empty.</t>
  </si>
  <si>
    <t xml:space="preserve">Capped by the queries that actually exist: partner impressions times the branded-search rate, plus a baseline from organic, times the share you choose to buy.</t>
  </si>
  <si>
    <t xml:space="preserve">35-55% incremental. Paying for a query you would rank for organically buys a click you already had. Without this haircut the model would count the partner's organic traffic twice.</t>
  </si>
  <si>
    <t xml:space="preserve">2. Retargeting</t>
  </si>
  <si>
    <t xml:space="preserve">Site visitors plus the partner's post engagers, reached again through platform custom and engagement audiences.</t>
  </si>
  <si>
    <t xml:space="preserve">Anyone who engaged with a brand post enters the platform's engagement audience. The partner's reach therefore builds a large warm pool at no media cost.</t>
  </si>
  <si>
    <t xml:space="preserve">Capped by the pool: addressable share of prior-month sessions, plus engagers generated per partner impression, times how hard the pool can be worked before fatigue.</t>
  </si>
  <si>
    <t xml:space="preserve">25-40% incremental, and this is the number that matters most. Benchmark B19: holdout tests show true incremental lift of only 25-30%, so up to 75% of retargeting conversions would have happened anyway.</t>
  </si>
  <si>
    <t xml:space="preserve">3. Cold prospecting with partner creative</t>
  </si>
  <si>
    <t xml:space="preserve">Lookalike and broad audiences, run on creative featuring the partner.</t>
  </si>
  <si>
    <t xml:space="preserve">A recognisable face and partner-voiced video should raise click-through and so lower cost per session. This is the only tier where the partnership improves efficiency rather than creating volume.</t>
  </si>
  <si>
    <t xml:space="preserve">Effectively unlimited volume, but subject to diminishing returns: sessions scale as spend raised to the elasticity, so effective cost per session rises as spend grows.</t>
  </si>
  <si>
    <t xml:space="preserve">100%. Cold prospecting creates the demand the other two tiers harvest, which is exactly why it cannot be starved.</t>
  </si>
  <si>
    <t xml:space="preserve">What this structure does and does not claim</t>
  </si>
  <si>
    <t xml:space="preserve">IT DOES claim the partnership lowers blended acquisition cost AT A GIVEN LEVEL OF SPEND, because it shifts the mix toward cheap high-intent inventory and discounts the cold tier through better creative. The grid on the Sensitivity sheet measures exactly that, holding everything else equal.</t>
  </si>
  <si>
    <t xml:space="preserve">IT DOES NOT claim blended CAC falls as the business grows. It rises, in every scenario, because scale pushes spend further out on the diminishing-returns curve. A model showing CAC falling with scale is a model with no auction in it. The partnership's real benefit is that it raises the spend level at which CAC stays acceptable.</t>
  </si>
  <si>
    <t xml:space="preserve">IT DOES NOT take the widely quoted 40-70% retargeting CPA advantage at face value. After the incrementality haircut, retargeting's INCREMENTAL cost per customer comes out roughly level with cold prospecting at Baseline drivers. Run a holdout test in month two: if incrementality lands at the low end of the band, that budget belongs in prospecting instead.</t>
  </si>
  <si>
    <t xml:space="preserve">IT ASSUMES the partner's likeness can be used in paid media. Organic posting rights and paid-usage rights are licensed separately, and paid healthcare creative additionally faces platform ad review and needs LegitScript certification. Confirm both before building the paid plan around partner creative.</t>
  </si>
  <si>
    <t xml:space="preserve">IT EXCLUDES the prescription line from partner creative entirely. Compounded prescription products are not promoted by the partner, so prescription intent is weighted down on partner-driven and cold-prospecting traffic and comes instead from search, editorial content and on-site cross-sell.</t>
  </si>
  <si>
    <t xml:space="preserve">Reserve Clinic - Conservative scenario, months 1-36</t>
  </si>
  <si>
    <t xml:space="preserve">Every cell is a formula. Inputs live on Assumptions only. Green = link to Assumptions.</t>
  </si>
  <si>
    <t xml:space="preserve">Line</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</si>
  <si>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</si>
  <si>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</si>
  <si>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</si>
  <si>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</si>
  <si>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</si>
  <si>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</si>
  <si>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</si>
  <si>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</si>
  <si>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</si>
  <si>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</si>
  <si>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</si>
  <si>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</si>
  <si>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</si>
  <si>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</si>
  <si>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</si>
  <si>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</si>
  <si>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</si>
  <si>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</si>
  <si>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</si>
  <si>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</si>
  <si>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</si>
  <si>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</si>
  <si>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</si>
  <si>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</si>
  <si>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M25</t>
  </si>
  <si>
    <t xml:space="preserve">M26</t>
  </si>
  <si>
    <t xml:space="preserve">M27</t>
  </si>
  <si>
    <t xml:space="preserve">M28</t>
  </si>
  <si>
    <t xml:space="preserve">M29</t>
  </si>
  <si>
    <t xml:space="preserve">M30</t>
  </si>
  <si>
    <t xml:space="preserve">M31</t>
  </si>
  <si>
    <t xml:space="preserve">M32</t>
  </si>
  <si>
    <t xml:space="preserve">M33</t>
  </si>
  <si>
    <t xml:space="preserve">M34</t>
  </si>
  <si>
    <t xml:space="preserve">M35</t>
  </si>
  <si>
    <t xml:space="preserve">M36</t>
  </si>
  <si>
    <t xml:space="preserve">Total / final</t>
  </si>
  <si>
    <t xml:space="preserve">Month index</t>
  </si>
  <si>
    <t xml:space="preserve">Year</t>
  </si>
  <si>
    <t xml:space="preserve">Non-Rx line live (1/0)</t>
  </si>
  <si>
    <t xml:space="preserve">flag</t>
  </si>
  <si>
    <t xml:space="preserve">Rx line live (1/0)</t>
  </si>
  <si>
    <t xml:space="preserve">Months since non-Rx launch</t>
  </si>
  <si>
    <t xml:space="preserve">Partner-driven sessions at launch peak</t>
  </si>
  <si>
    <t xml:space="preserve">Attention index (decay toward floor)</t>
  </si>
  <si>
    <t xml:space="preserve">Partner-driven sessions</t>
  </si>
  <si>
    <t xml:space="preserve">Partner-post impressions reached</t>
  </si>
  <si>
    <t xml:space="preserve">impressions</t>
  </si>
  <si>
    <t xml:space="preserve">Organic and direct sessions</t>
  </si>
  <si>
    <t xml:space="preserve">Paid media budget</t>
  </si>
  <si>
    <t xml:space="preserve">Branded and intent sessions available to buy</t>
  </si>
  <si>
    <t xml:space="preserve">Spend, branded and intent search</t>
  </si>
  <si>
    <t xml:space="preserve">Sessions, branded and intent search</t>
  </si>
  <si>
    <t xml:space="preserve">Addressable retargeting pool</t>
  </si>
  <si>
    <t xml:space="preserve">Retargeting sessions available to buy</t>
  </si>
  <si>
    <t xml:space="preserve">Spend, retargeting</t>
  </si>
  <si>
    <t xml:space="preserve">Sessions, retargeting</t>
  </si>
  <si>
    <t xml:space="preserve">Spend, cold prospecting</t>
  </si>
  <si>
    <t xml:space="preserve">Sessions, cold prospecting (diminishing returns and creative lift applied)</t>
  </si>
  <si>
    <t xml:space="preserve">Paid media spend, all tiers</t>
  </si>
  <si>
    <t xml:space="preserve">Paid sessions, all tiers</t>
  </si>
  <si>
    <t xml:space="preserve">Blended effective cost per paid session</t>
  </si>
  <si>
    <t xml:space="preserve">Total sessions</t>
  </si>
  <si>
    <t xml:space="preserve">Shippable new-order capacity</t>
  </si>
  <si>
    <t xml:space="preserve">New non-Rx customer demand (conversion-weighted by source)</t>
  </si>
  <si>
    <t xml:space="preserve">New non-Rx customers served</t>
  </si>
  <si>
    <t xml:space="preserve">Demand lost to capacity</t>
  </si>
  <si>
    <t xml:space="preserve">New subscribers</t>
  </si>
  <si>
    <t xml:space="preserve">New one-time buyers</t>
  </si>
  <si>
    <t xml:space="preserve">Active subscribers (end of month)</t>
  </si>
  <si>
    <t xml:space="preserve">Subscribers churned</t>
  </si>
  <si>
    <t xml:space="preserve">Repeat orders from one-time buyers</t>
  </si>
  <si>
    <t xml:space="preserve">Non-Rx orders shipped</t>
  </si>
  <si>
    <t xml:space="preserve">Non-Rx gross revenue</t>
  </si>
  <si>
    <t xml:space="preserve">Non-Rx refunds and chargebacks</t>
  </si>
  <si>
    <t xml:space="preserve">Non-Rx net revenue</t>
  </si>
  <si>
    <t xml:space="preserve">Non-Rx product COGS</t>
  </si>
  <si>
    <t xml:space="preserve">Non-Rx pick, pack and ship</t>
  </si>
  <si>
    <t xml:space="preserve">Non-Rx payment processing</t>
  </si>
  <si>
    <t xml:space="preserve">Non-Rx gross profit</t>
  </si>
  <si>
    <t xml:space="preserve">Non-Rx gross margin</t>
  </si>
  <si>
    <t xml:space="preserve">US population covered by served states</t>
  </si>
  <si>
    <t xml:space="preserve">Prescription-intent-weighted sessions</t>
  </si>
  <si>
    <t xml:space="preserve">Eligibility quiz starts</t>
  </si>
  <si>
    <t xml:space="preserve">Quiz completions</t>
  </si>
  <si>
    <t xml:space="preserve">Eligible outcomes (clinical screen and state)</t>
  </si>
  <si>
    <t xml:space="preserve">Intakes submitted (consult fee charged)</t>
  </si>
  <si>
    <t xml:space="preserve">Consults completed</t>
  </si>
  <si>
    <t xml:space="preserve">Prescriptions issued (clinician decision)</t>
  </si>
  <si>
    <t xml:space="preserve">New paying programme members</t>
  </si>
  <si>
    <t xml:space="preserve">Active programme members (end of month)</t>
  </si>
  <si>
    <t xml:space="preserve">Programme members churned</t>
  </si>
  <si>
    <t xml:space="preserve">Programme subscription revenue</t>
  </si>
  <si>
    <t xml:space="preserve">Consultation fee revenue</t>
  </si>
  <si>
    <t xml:space="preserve">Rx gross revenue</t>
  </si>
  <si>
    <t xml:space="preserve">Rx refunds and chargebacks</t>
  </si>
  <si>
    <t xml:space="preserve">Rx net revenue</t>
  </si>
  <si>
    <t xml:space="preserve">Pharmacy medication cost</t>
  </si>
  <si>
    <t xml:space="preserve">Clinician cost, new consults</t>
  </si>
  <si>
    <t xml:space="preserve">Clinician cost, monitoring and refills</t>
  </si>
  <si>
    <t xml:space="preserve">Cold-chain fulfilment and shipping</t>
  </si>
  <si>
    <t xml:space="preserve">Rx support cost</t>
  </si>
  <si>
    <t xml:space="preserve">Rx payment processing</t>
  </si>
  <si>
    <t xml:space="preserve">Rx gross profit</t>
  </si>
  <si>
    <t xml:space="preserve">Rx gross margin</t>
  </si>
  <si>
    <t xml:space="preserve">TOTAL NET REVENUE</t>
  </si>
  <si>
    <t xml:space="preserve">TOTAL GROSS PROFIT</t>
  </si>
  <si>
    <t xml:space="preserve">Blended gross margin</t>
  </si>
  <si>
    <t xml:space="preserve">Provider flat fee</t>
  </si>
  <si>
    <t xml:space="preserve">Certification and registrations</t>
  </si>
  <si>
    <t xml:space="preserve">Team</t>
  </si>
  <si>
    <t xml:space="preserve">Medical director and clinical oversight</t>
  </si>
  <si>
    <t xml:space="preserve">Technology and software</t>
  </si>
  <si>
    <t xml:space="preserve">Legal, regulatory and compliance</t>
  </si>
  <si>
    <t xml:space="preserve">Insurance</t>
  </si>
  <si>
    <t xml:space="preserve">Creative and content</t>
  </si>
  <si>
    <t xml:space="preserve">Paid media</t>
  </si>
  <si>
    <t xml:space="preserve">One-time launch marketing and PR</t>
  </si>
  <si>
    <t xml:space="preserve">Partner cash retainer</t>
  </si>
  <si>
    <t xml:space="preserve">TOTAL OPERATING EXPENSE</t>
  </si>
  <si>
    <t xml:space="preserve">EBITDA</t>
  </si>
  <si>
    <t xml:space="preserve">EBITDA margin</t>
  </si>
  <si>
    <t xml:space="preserve">Non-Rx inventory balance</t>
  </si>
  <si>
    <t xml:space="preserve">Inventory investment (increase in stock)</t>
  </si>
  <si>
    <t xml:space="preserve">Net cash flow</t>
  </si>
  <si>
    <t xml:space="preserve">Cumulative cash flow</t>
  </si>
  <si>
    <t xml:space="preserve">Break-even helper (month if EBITDA positive, else 999)</t>
  </si>
  <si>
    <t xml:space="preserve">New customers, both lines</t>
  </si>
  <si>
    <t xml:space="preserve">Blended CAC (paid media plus creative)</t>
  </si>
  <si>
    <t xml:space="preserve">CAC, branded and intent search (incremental)</t>
  </si>
  <si>
    <t xml:space="preserve">CAC, retargeting (incremental)</t>
  </si>
  <si>
    <t xml:space="preserve">CAC, cold prospecting</t>
  </si>
  <si>
    <t xml:space="preserve">CAC, all paid tiers, non-Rx</t>
  </si>
  <si>
    <t xml:space="preserve">Months for a non-Rx subscriber to repay paid CAC</t>
  </si>
  <si>
    <t xml:space="preserve">Rx contribution per member-month, steady state</t>
  </si>
  <si>
    <t xml:space="preserve">Rx gross LTV (contribution / churn)</t>
  </si>
  <si>
    <t xml:space="preserve">Reserve Clinic - Baseline scenario, months 1-36</t>
  </si>
  <si>
    <t xml:space="preserve">Reserve Clinic - Aggressive scenario, months 1-36</t>
  </si>
  <si>
    <t xml:space="preserve">Reserve Clinic - No_Partner scenario, months 1-36</t>
  </si>
</sst>
</file>

<file path=xl/styles.xml><?xml version="1.0" encoding="utf-8"?>
<styleSheet xmlns="http://schemas.openxmlformats.org/spreadsheetml/2006/main">
  <numFmts count="9">
    <numFmt numFmtId="164" formatCode="General"/>
    <numFmt numFmtId="165" formatCode="#,##0;\(#,##0\);\-"/>
    <numFmt numFmtId="166" formatCode="0.0%"/>
    <numFmt numFmtId="167" formatCode="0.00%"/>
    <numFmt numFmtId="168" formatCode="#,##0.00"/>
    <numFmt numFmtId="169" formatCode="\$#,##0;&quot;($&quot;#,##0\);\-"/>
    <numFmt numFmtId="170" formatCode="\$#,##0.00;&quot;($&quot;#,##0.00\);\-"/>
    <numFmt numFmtId="171" formatCode="0.0"/>
    <numFmt numFmtId="172" formatCode="0"/>
  </numFmts>
  <fonts count="18">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b val="true"/>
      <sz val="11"/>
      <name val="Arial"/>
      <family val="0"/>
      <charset val="1"/>
    </font>
    <font>
      <sz val="10"/>
      <name val="Arial"/>
      <family val="0"/>
      <charset val="1"/>
    </font>
    <font>
      <b val="true"/>
      <sz val="14"/>
      <name val="Arial"/>
      <family val="0"/>
      <charset val="1"/>
    </font>
    <font>
      <i val="true"/>
      <sz val="9"/>
      <name val="Arial"/>
      <family val="0"/>
      <charset val="1"/>
    </font>
    <font>
      <b val="true"/>
      <sz val="11"/>
      <color rgb="FFFFFFFF"/>
      <name val="Arial"/>
      <family val="0"/>
      <charset val="1"/>
    </font>
    <font>
      <b val="true"/>
      <sz val="10"/>
      <name val="Arial"/>
      <family val="0"/>
      <charset val="1"/>
    </font>
    <font>
      <sz val="8"/>
      <color rgb="FF777777"/>
      <name val="Arial"/>
      <family val="0"/>
      <charset val="1"/>
    </font>
    <font>
      <sz val="10"/>
      <color rgb="FF000000"/>
      <name val="Arial"/>
      <family val="0"/>
      <charset val="1"/>
    </font>
    <font>
      <sz val="10"/>
      <color rgb="FF0000FF"/>
      <name val="Arial"/>
      <family val="0"/>
      <charset val="1"/>
    </font>
    <font>
      <sz val="9"/>
      <name val="Arial"/>
      <family val="0"/>
      <charset val="1"/>
    </font>
    <font>
      <b val="true"/>
      <sz val="10"/>
      <color rgb="FF0000FF"/>
      <name val="Arial"/>
      <family val="0"/>
      <charset val="1"/>
    </font>
    <font>
      <sz val="10"/>
      <color rgb="FF008000"/>
      <name val="Arial"/>
      <family val="0"/>
      <charset val="1"/>
    </font>
    <font>
      <sz val="7"/>
      <name val="Arial"/>
      <family val="0"/>
      <charset val="1"/>
    </font>
  </fonts>
  <fills count="7">
    <fill>
      <patternFill patternType="none"/>
    </fill>
    <fill>
      <patternFill patternType="gray125"/>
    </fill>
    <fill>
      <patternFill patternType="solid">
        <fgColor rgb="FF1F3D33"/>
        <bgColor rgb="FF333300"/>
      </patternFill>
    </fill>
    <fill>
      <patternFill patternType="solid">
        <fgColor rgb="FFE8EFEA"/>
        <bgColor rgb="FFEDEDEA"/>
      </patternFill>
    </fill>
    <fill>
      <patternFill patternType="solid">
        <fgColor rgb="FFEDEDEA"/>
        <bgColor rgb="FFE8EFEA"/>
      </patternFill>
    </fill>
    <fill>
      <patternFill patternType="solid">
        <fgColor rgb="FFFFFF00"/>
        <bgColor rgb="FFFFFF00"/>
      </patternFill>
    </fill>
    <fill>
      <patternFill patternType="solid">
        <fgColor rgb="FFFDEBE7"/>
        <bgColor rgb="FFEDEDE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3" fillId="4"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5" fontId="15" fillId="4" borderId="0" xfId="0" applyFont="true" applyBorder="false" applyAlignment="false" applyProtection="false">
      <alignment horizontal="general" vertical="bottom" textRotation="0" wrapText="false" indent="0" shrinkToFit="false"/>
      <protection locked="true" hidden="false"/>
    </xf>
    <xf numFmtId="166" fontId="13" fillId="5" borderId="0" xfId="0" applyFont="true" applyBorder="false" applyAlignment="false" applyProtection="false">
      <alignment horizontal="general" vertical="bottom" textRotation="0" wrapText="false" indent="0" shrinkToFit="false"/>
      <protection locked="true" hidden="false"/>
    </xf>
    <xf numFmtId="166" fontId="13" fillId="4" borderId="0" xfId="0" applyFont="true" applyBorder="false" applyAlignment="false" applyProtection="false">
      <alignment horizontal="general" vertical="bottom" textRotation="0" wrapText="false" indent="0" shrinkToFit="false"/>
      <protection locked="true" hidden="false"/>
    </xf>
    <xf numFmtId="167" fontId="13" fillId="5" borderId="0" xfId="0" applyFont="true" applyBorder="false" applyAlignment="false" applyProtection="false">
      <alignment horizontal="general" vertical="bottom" textRotation="0" wrapText="false" indent="0" shrinkToFit="false"/>
      <protection locked="true" hidden="false"/>
    </xf>
    <xf numFmtId="167" fontId="13" fillId="4" borderId="0" xfId="0" applyFont="true" applyBorder="false" applyAlignment="false" applyProtection="false">
      <alignment horizontal="general" vertical="bottom" textRotation="0" wrapText="fals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68" fontId="15" fillId="4"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69" fontId="13" fillId="4" borderId="0" xfId="0" applyFont="true" applyBorder="false" applyAlignment="false" applyProtection="false">
      <alignment horizontal="general" vertical="bottom" textRotation="0" wrapText="false" indent="0" shrinkToFit="false"/>
      <protection locked="true" hidden="false"/>
    </xf>
    <xf numFmtId="169" fontId="15" fillId="4" borderId="0" xfId="0" applyFont="true" applyBorder="false" applyAlignment="false" applyProtection="false">
      <alignment horizontal="general" vertical="bottom" textRotation="0" wrapText="false" indent="0" shrinkToFit="false"/>
      <protection locked="true" hidden="false"/>
    </xf>
    <xf numFmtId="168" fontId="13" fillId="5" borderId="0" xfId="0" applyFont="true" applyBorder="false" applyAlignment="false" applyProtection="false">
      <alignment horizontal="general" vertical="bottom" textRotation="0" wrapText="false" indent="0" shrinkToFit="false"/>
      <protection locked="true" hidden="false"/>
    </xf>
    <xf numFmtId="168" fontId="13" fillId="4" borderId="0" xfId="0" applyFont="true" applyBorder="false" applyAlignment="false" applyProtection="false">
      <alignment horizontal="general" vertical="bottom" textRotation="0" wrapText="false" indent="0" shrinkToFit="false"/>
      <protection locked="true" hidden="false"/>
    </xf>
    <xf numFmtId="167" fontId="15" fillId="4" borderId="0" xfId="0" applyFont="true" applyBorder="false" applyAlignment="false" applyProtection="false">
      <alignment horizontal="general" vertical="bottom" textRotation="0" wrapText="false" indent="0" shrinkToFit="false"/>
      <protection locked="true" hidden="false"/>
    </xf>
    <xf numFmtId="170" fontId="13" fillId="5" borderId="0" xfId="0" applyFont="true" applyBorder="false" applyAlignment="false" applyProtection="false">
      <alignment horizontal="general" vertical="bottom" textRotation="0" wrapText="false" indent="0" shrinkToFit="false"/>
      <protection locked="true" hidden="false"/>
    </xf>
    <xf numFmtId="170" fontId="13" fillId="4" borderId="0" xfId="0" applyFont="true" applyBorder="false" applyAlignment="false" applyProtection="false">
      <alignment horizontal="general" vertical="bottom" textRotation="0" wrapText="false" indent="0" shrinkToFit="false"/>
      <protection locked="true" hidden="false"/>
    </xf>
    <xf numFmtId="169" fontId="13" fillId="5"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6" fontId="15" fillId="4"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1" fontId="13" fillId="4"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16" fillId="0" borderId="0" xfId="0" applyFont="true" applyBorder="false" applyAlignment="false" applyProtection="false">
      <alignment horizontal="general" vertical="bottom" textRotation="0" wrapText="false" indent="0" shrinkToFit="false"/>
      <protection locked="true" hidden="false"/>
    </xf>
    <xf numFmtId="169" fontId="16" fillId="4"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6" fontId="16" fillId="4" borderId="0" xfId="0" applyFont="true" applyBorder="false" applyAlignment="false" applyProtection="false">
      <alignment horizontal="general" vertical="bottom" textRotation="0" wrapText="false" indent="0" shrinkToFit="false"/>
      <protection locked="true" hidden="false"/>
    </xf>
    <xf numFmtId="172" fontId="16" fillId="0" borderId="0" xfId="0" applyFont="true" applyBorder="false" applyAlignment="false" applyProtection="false">
      <alignment horizontal="general" vertical="bottom" textRotation="0" wrapText="false" indent="0" shrinkToFit="false"/>
      <protection locked="true" hidden="false"/>
    </xf>
    <xf numFmtId="172" fontId="16" fillId="4"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6" fillId="4" borderId="0" xfId="0" applyFont="true" applyBorder="false" applyAlignment="false" applyProtection="false">
      <alignment horizontal="general" vertical="bottom" textRotation="0" wrapText="false" indent="0" shrinkToFit="false"/>
      <protection locked="true" hidden="false"/>
    </xf>
    <xf numFmtId="170" fontId="16" fillId="0" borderId="0" xfId="0" applyFont="true" applyBorder="false" applyAlignment="false" applyProtection="false">
      <alignment horizontal="general" vertical="bottom" textRotation="0" wrapText="false" indent="0" shrinkToFit="false"/>
      <protection locked="true" hidden="false"/>
    </xf>
    <xf numFmtId="170" fontId="16" fillId="4" borderId="0" xfId="0" applyFont="true" applyBorder="false" applyAlignment="false" applyProtection="false">
      <alignment horizontal="general" vertical="bottom" textRotation="0" wrapText="false" indent="0" shrinkToFit="false"/>
      <protection locked="true" hidden="false"/>
    </xf>
    <xf numFmtId="168" fontId="16" fillId="0" borderId="0" xfId="0" applyFont="true" applyBorder="false" applyAlignment="false" applyProtection="false">
      <alignment horizontal="general" vertical="bottom" textRotation="0" wrapText="false" indent="0" shrinkToFit="false"/>
      <protection locked="true" hidden="false"/>
    </xf>
    <xf numFmtId="168" fontId="16" fillId="4"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4" fillId="6"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2"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7" fontId="9" fillId="2"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77777"/>
      <rgbColor rgb="FF9999FF"/>
      <rgbColor rgb="FF993366"/>
      <rgbColor rgb="FFFDEBE7"/>
      <rgbColor rgb="FFE8EF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A"/>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D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22"/>
  </cols>
  <sheetData>
    <row r="1" customFormat="false" ht="19.7" hidden="false" customHeight="false" outlineLevel="0" collapsed="false">
      <c r="A1" s="1" t="s">
        <v>0</v>
      </c>
    </row>
    <row r="3" customFormat="false" ht="15" hidden="false" customHeight="false" outlineLevel="0" collapsed="false">
      <c r="A3" s="2" t="s">
        <v>1</v>
      </c>
    </row>
    <row r="4" customFormat="false" ht="78" hidden="false" customHeight="true" outlineLevel="0" collapsed="false">
      <c r="A4" s="3" t="s">
        <v>2</v>
      </c>
      <c r="B4" s="3"/>
      <c r="C4" s="3"/>
      <c r="D4" s="3"/>
      <c r="E4" s="3"/>
      <c r="F4" s="3"/>
    </row>
    <row r="6" customFormat="false" ht="15" hidden="false" customHeight="false" outlineLevel="0" collapsed="false">
      <c r="A6" s="2" t="s">
        <v>3</v>
      </c>
    </row>
    <row r="7" customFormat="false" ht="51.75" hidden="false" customHeight="true" outlineLevel="0" collapsed="false">
      <c r="A7" s="3" t="s">
        <v>4</v>
      </c>
      <c r="B7" s="3"/>
      <c r="C7" s="3"/>
      <c r="D7" s="3"/>
      <c r="E7" s="3"/>
      <c r="F7" s="3"/>
    </row>
    <row r="9" customFormat="false" ht="15" hidden="false" customHeight="false" outlineLevel="0" collapsed="false">
      <c r="A9" s="2" t="s">
        <v>5</v>
      </c>
    </row>
    <row r="10" customFormat="false" ht="39" hidden="false" customHeight="true" outlineLevel="0" collapsed="false">
      <c r="A10" s="3" t="s">
        <v>6</v>
      </c>
      <c r="B10" s="3"/>
      <c r="C10" s="3"/>
      <c r="D10" s="3"/>
      <c r="E10" s="3"/>
      <c r="F10" s="3"/>
    </row>
    <row r="12" customFormat="false" ht="15" hidden="false" customHeight="false" outlineLevel="0" collapsed="false">
      <c r="A12" s="2" t="s">
        <v>7</v>
      </c>
    </row>
    <row r="13" customFormat="false" ht="51.75" hidden="false" customHeight="true" outlineLevel="0" collapsed="false">
      <c r="A13" s="3" t="s">
        <v>8</v>
      </c>
      <c r="B13" s="3"/>
      <c r="C13" s="3"/>
      <c r="D13" s="3"/>
      <c r="E13" s="3"/>
      <c r="F13" s="3"/>
    </row>
    <row r="15" customFormat="false" ht="15" hidden="false" customHeight="false" outlineLevel="0" collapsed="false">
      <c r="A15" s="2" t="s">
        <v>9</v>
      </c>
    </row>
    <row r="16" customFormat="false" ht="78" hidden="false" customHeight="true" outlineLevel="0" collapsed="false">
      <c r="A16" s="3" t="s">
        <v>10</v>
      </c>
      <c r="B16" s="3"/>
      <c r="C16" s="3"/>
      <c r="D16" s="3"/>
      <c r="E16" s="3"/>
      <c r="F16" s="3"/>
    </row>
    <row r="18" customFormat="false" ht="15" hidden="false" customHeight="false" outlineLevel="0" collapsed="false">
      <c r="A18" s="2" t="s">
        <v>11</v>
      </c>
    </row>
    <row r="19" customFormat="false" ht="78" hidden="false" customHeight="true" outlineLevel="0" collapsed="false">
      <c r="A19" s="3" t="s">
        <v>12</v>
      </c>
      <c r="B19" s="3"/>
      <c r="C19" s="3"/>
      <c r="D19" s="3"/>
      <c r="E19" s="3"/>
      <c r="F19" s="3"/>
    </row>
    <row r="21" customFormat="false" ht="15" hidden="false" customHeight="false" outlineLevel="0" collapsed="false">
      <c r="A21" s="2" t="s">
        <v>13</v>
      </c>
    </row>
    <row r="22" customFormat="false" ht="78" hidden="false" customHeight="true" outlineLevel="0" collapsed="false">
      <c r="A22" s="3" t="s">
        <v>14</v>
      </c>
      <c r="B22" s="3"/>
      <c r="C22" s="3"/>
      <c r="D22" s="3"/>
      <c r="E22" s="3"/>
      <c r="F22" s="3"/>
    </row>
    <row r="24" customFormat="false" ht="15" hidden="false" customHeight="false" outlineLevel="0" collapsed="false">
      <c r="A24" s="2" t="s">
        <v>15</v>
      </c>
    </row>
    <row r="25" customFormat="false" ht="103.5" hidden="false" customHeight="true" outlineLevel="0" collapsed="false">
      <c r="A25" s="3" t="s">
        <v>16</v>
      </c>
      <c r="B25" s="3"/>
      <c r="C25" s="3"/>
      <c r="D25" s="3"/>
      <c r="E25" s="3"/>
      <c r="F25" s="3"/>
    </row>
    <row r="27" customFormat="false" ht="15" hidden="false" customHeight="false" outlineLevel="0" collapsed="false">
      <c r="A27" s="2" t="s">
        <v>17</v>
      </c>
    </row>
    <row r="28" customFormat="false" ht="90.75" hidden="false" customHeight="true" outlineLevel="0" collapsed="false">
      <c r="A28" s="3" t="s">
        <v>18</v>
      </c>
      <c r="B28" s="3"/>
      <c r="C28" s="3"/>
      <c r="D28" s="3"/>
      <c r="E28" s="3"/>
      <c r="F28" s="3"/>
    </row>
    <row r="30" customFormat="false" ht="15" hidden="false" customHeight="false" outlineLevel="0" collapsed="false">
      <c r="A30" s="2" t="s">
        <v>19</v>
      </c>
    </row>
    <row r="31" customFormat="false" ht="39" hidden="false" customHeight="true" outlineLevel="0" collapsed="false">
      <c r="A31" s="3" t="s">
        <v>20</v>
      </c>
      <c r="B31" s="3"/>
      <c r="C31" s="3"/>
      <c r="D31" s="3"/>
      <c r="E31" s="3"/>
      <c r="F31" s="3"/>
    </row>
  </sheetData>
  <mergeCells count="10">
    <mergeCell ref="A4:F4"/>
    <mergeCell ref="A7:F7"/>
    <mergeCell ref="A10:F10"/>
    <mergeCell ref="A13:F13"/>
    <mergeCell ref="A16:F16"/>
    <mergeCell ref="A19:F19"/>
    <mergeCell ref="A22:F22"/>
    <mergeCell ref="A25:F25"/>
    <mergeCell ref="A28:F28"/>
    <mergeCell ref="A31:F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7"/>
    <col collapsed="false" customWidth="true" hidden="false" outlineLevel="0" max="2" min="2" style="0" width="54"/>
    <col collapsed="false" customWidth="true" hidden="false" outlineLevel="0" max="3" min="3" style="0" width="10"/>
    <col collapsed="false" customWidth="true" hidden="false" outlineLevel="0" max="6" min="4" style="0" width="13"/>
    <col collapsed="false" customWidth="true" hidden="false" outlineLevel="0" max="7" min="7" style="0" width="15"/>
    <col collapsed="false" customWidth="true" hidden="false" outlineLevel="0" max="8" min="8" style="0" width="74"/>
    <col collapsed="false" customWidth="true" hidden="false" outlineLevel="0" max="10" min="9" style="0" width="12"/>
    <col collapsed="false" customWidth="true" hidden="false" outlineLevel="0" max="11" min="11" style="0" width="28"/>
  </cols>
  <sheetData>
    <row r="1" customFormat="false" ht="17.35" hidden="false" customHeight="false" outlineLevel="0" collapsed="false">
      <c r="A1" s="4" t="s">
        <v>21</v>
      </c>
    </row>
    <row r="2" customFormat="false" ht="51.75" hidden="false" customHeight="true" outlineLevel="0" collapsed="false">
      <c r="A2" s="5" t="s">
        <v>22</v>
      </c>
      <c r="B2" s="5"/>
      <c r="C2" s="5"/>
      <c r="D2" s="5"/>
      <c r="E2" s="5"/>
      <c r="F2" s="5"/>
      <c r="G2" s="5"/>
      <c r="H2" s="5"/>
      <c r="I2" s="5"/>
      <c r="J2" s="5"/>
      <c r="K2" s="5"/>
    </row>
    <row r="4" customFormat="false" ht="26.85" hidden="false" customHeight="false" outlineLevel="0" collapsed="false">
      <c r="A4" s="6" t="s">
        <v>23</v>
      </c>
      <c r="B4" s="6" t="s">
        <v>24</v>
      </c>
      <c r="C4" s="6" t="s">
        <v>25</v>
      </c>
      <c r="D4" s="6" t="s">
        <v>26</v>
      </c>
      <c r="E4" s="6" t="s">
        <v>27</v>
      </c>
      <c r="F4" s="6" t="s">
        <v>28</v>
      </c>
      <c r="G4" s="6" t="s">
        <v>29</v>
      </c>
      <c r="H4" s="6" t="s">
        <v>30</v>
      </c>
      <c r="I4" s="6" t="s">
        <v>31</v>
      </c>
      <c r="J4" s="6" t="s">
        <v>32</v>
      </c>
      <c r="K4" s="6" t="s">
        <v>33</v>
      </c>
    </row>
    <row r="5" customFormat="false" ht="15" hidden="false" customHeight="false" outlineLevel="0" collapsed="false">
      <c r="A5" s="7" t="s">
        <v>34</v>
      </c>
      <c r="B5" s="8"/>
      <c r="C5" s="8"/>
      <c r="D5" s="8"/>
      <c r="E5" s="8"/>
      <c r="F5" s="8"/>
      <c r="G5" s="8"/>
      <c r="H5" s="8"/>
      <c r="I5" s="8"/>
      <c r="J5" s="8"/>
      <c r="K5" s="8"/>
    </row>
    <row r="6" customFormat="false" ht="22.35" hidden="false" customHeight="false" outlineLevel="0" collapsed="false">
      <c r="A6" s="9" t="s">
        <v>35</v>
      </c>
      <c r="B6" s="10" t="s">
        <v>36</v>
      </c>
      <c r="C6" s="10" t="s">
        <v>37</v>
      </c>
      <c r="D6" s="11" t="n">
        <v>3</v>
      </c>
      <c r="E6" s="11" t="n">
        <v>2</v>
      </c>
      <c r="F6" s="11" t="n">
        <v>2</v>
      </c>
      <c r="G6" s="12" t="n">
        <v>2</v>
      </c>
      <c r="H6" s="13" t="s">
        <v>38</v>
      </c>
      <c r="I6" s="10" t="s">
        <v>39</v>
      </c>
      <c r="J6" s="10" t="s">
        <v>40</v>
      </c>
      <c r="K6" s="13" t="s">
        <v>41</v>
      </c>
    </row>
    <row r="7" customFormat="false" ht="22.35" hidden="false" customHeight="false" outlineLevel="0" collapsed="false">
      <c r="A7" s="9" t="s">
        <v>42</v>
      </c>
      <c r="B7" s="10" t="s">
        <v>43</v>
      </c>
      <c r="C7" s="10" t="s">
        <v>37</v>
      </c>
      <c r="D7" s="14" t="n">
        <v>9</v>
      </c>
      <c r="E7" s="14" t="n">
        <v>7</v>
      </c>
      <c r="F7" s="14" t="n">
        <v>5</v>
      </c>
      <c r="G7" s="12" t="n">
        <v>7</v>
      </c>
      <c r="H7" s="13" t="s">
        <v>44</v>
      </c>
      <c r="I7" s="10" t="s">
        <v>40</v>
      </c>
      <c r="J7" s="10" t="s">
        <v>39</v>
      </c>
      <c r="K7" s="13" t="s">
        <v>45</v>
      </c>
    </row>
    <row r="8" customFormat="false" ht="15" hidden="false" customHeight="false" outlineLevel="0" collapsed="false">
      <c r="A8" s="7" t="s">
        <v>46</v>
      </c>
      <c r="B8" s="8"/>
      <c r="C8" s="8"/>
      <c r="D8" s="8"/>
      <c r="E8" s="8"/>
      <c r="F8" s="8"/>
      <c r="G8" s="8"/>
      <c r="H8" s="8"/>
      <c r="I8" s="8"/>
      <c r="J8" s="8"/>
      <c r="K8" s="8"/>
    </row>
    <row r="9" customFormat="false" ht="22.35" hidden="false" customHeight="false" outlineLevel="0" collapsed="false">
      <c r="A9" s="9" t="s">
        <v>47</v>
      </c>
      <c r="B9" s="10" t="s">
        <v>48</v>
      </c>
      <c r="C9" s="10" t="s">
        <v>49</v>
      </c>
      <c r="D9" s="14" t="n">
        <v>27400000</v>
      </c>
      <c r="E9" s="14" t="n">
        <v>27400000</v>
      </c>
      <c r="F9" s="14" t="n">
        <v>27400000</v>
      </c>
      <c r="G9" s="15" t="n">
        <v>0</v>
      </c>
      <c r="H9" s="13" t="s">
        <v>50</v>
      </c>
      <c r="I9" s="10" t="s">
        <v>40</v>
      </c>
      <c r="J9" s="10" t="s">
        <v>39</v>
      </c>
      <c r="K9" s="13" t="s">
        <v>51</v>
      </c>
    </row>
    <row r="10" customFormat="false" ht="15" hidden="false" customHeight="false" outlineLevel="0" collapsed="false">
      <c r="A10" s="9" t="s">
        <v>52</v>
      </c>
      <c r="B10" s="10" t="s">
        <v>53</v>
      </c>
      <c r="C10" s="10" t="s">
        <v>49</v>
      </c>
      <c r="D10" s="14" t="n">
        <v>2</v>
      </c>
      <c r="E10" s="14" t="n">
        <v>4</v>
      </c>
      <c r="F10" s="14" t="n">
        <v>6</v>
      </c>
      <c r="G10" s="15" t="n">
        <v>0</v>
      </c>
      <c r="H10" s="13" t="s">
        <v>54</v>
      </c>
      <c r="I10" s="10" t="s">
        <v>55</v>
      </c>
      <c r="J10" s="10" t="s">
        <v>39</v>
      </c>
      <c r="K10" s="13" t="s">
        <v>56</v>
      </c>
    </row>
    <row r="11" customFormat="false" ht="22.35" hidden="false" customHeight="false" outlineLevel="0" collapsed="false">
      <c r="A11" s="9" t="s">
        <v>57</v>
      </c>
      <c r="B11" s="10" t="s">
        <v>58</v>
      </c>
      <c r="C11" s="10" t="s">
        <v>59</v>
      </c>
      <c r="D11" s="16" t="n">
        <v>0.04</v>
      </c>
      <c r="E11" s="16" t="n">
        <v>0.07</v>
      </c>
      <c r="F11" s="16" t="n">
        <v>0.11</v>
      </c>
      <c r="G11" s="17" t="n">
        <v>0.07</v>
      </c>
      <c r="H11" s="13" t="s">
        <v>60</v>
      </c>
      <c r="I11" s="10" t="s">
        <v>61</v>
      </c>
      <c r="J11" s="10" t="s">
        <v>39</v>
      </c>
      <c r="K11" s="13" t="s">
        <v>62</v>
      </c>
    </row>
    <row r="12" customFormat="false" ht="22.35" hidden="false" customHeight="false" outlineLevel="0" collapsed="false">
      <c r="A12" s="9" t="s">
        <v>63</v>
      </c>
      <c r="B12" s="10" t="s">
        <v>64</v>
      </c>
      <c r="C12" s="10" t="s">
        <v>59</v>
      </c>
      <c r="D12" s="18" t="n">
        <v>0.0035</v>
      </c>
      <c r="E12" s="18" t="n">
        <v>0.006</v>
      </c>
      <c r="F12" s="18" t="n">
        <v>0.009</v>
      </c>
      <c r="G12" s="19" t="n">
        <v>0.006</v>
      </c>
      <c r="H12" s="13" t="s">
        <v>65</v>
      </c>
      <c r="I12" s="10" t="s">
        <v>61</v>
      </c>
      <c r="J12" s="10" t="s">
        <v>39</v>
      </c>
      <c r="K12" s="13" t="s">
        <v>66</v>
      </c>
    </row>
    <row r="13" customFormat="false" ht="22.35" hidden="false" customHeight="false" outlineLevel="0" collapsed="false">
      <c r="A13" s="9" t="s">
        <v>67</v>
      </c>
      <c r="B13" s="10" t="s">
        <v>68</v>
      </c>
      <c r="C13" s="10" t="s">
        <v>59</v>
      </c>
      <c r="D13" s="16" t="n">
        <v>0.72</v>
      </c>
      <c r="E13" s="16" t="n">
        <v>0.8</v>
      </c>
      <c r="F13" s="16" t="n">
        <v>0.86</v>
      </c>
      <c r="G13" s="17" t="n">
        <v>0.8</v>
      </c>
      <c r="H13" s="13" t="s">
        <v>69</v>
      </c>
      <c r="I13" s="10" t="s">
        <v>61</v>
      </c>
      <c r="J13" s="10" t="s">
        <v>39</v>
      </c>
      <c r="K13" s="13" t="s">
        <v>70</v>
      </c>
    </row>
    <row r="14" customFormat="false" ht="15" hidden="false" customHeight="false" outlineLevel="0" collapsed="false">
      <c r="A14" s="9" t="s">
        <v>71</v>
      </c>
      <c r="B14" s="10" t="s">
        <v>72</v>
      </c>
      <c r="C14" s="10" t="s">
        <v>59</v>
      </c>
      <c r="D14" s="16" t="n">
        <v>0.28</v>
      </c>
      <c r="E14" s="16" t="n">
        <v>0.36</v>
      </c>
      <c r="F14" s="16" t="n">
        <v>0.45</v>
      </c>
      <c r="G14" s="17" t="n">
        <v>0.36</v>
      </c>
      <c r="H14" s="13" t="s">
        <v>73</v>
      </c>
      <c r="I14" s="10" t="s">
        <v>61</v>
      </c>
      <c r="J14" s="10" t="s">
        <v>39</v>
      </c>
      <c r="K14" s="13" t="s">
        <v>70</v>
      </c>
    </row>
    <row r="15" customFormat="false" ht="15" hidden="false" customHeight="false" outlineLevel="0" collapsed="false">
      <c r="A15" s="9" t="s">
        <v>74</v>
      </c>
      <c r="B15" s="10" t="s">
        <v>75</v>
      </c>
      <c r="C15" s="10" t="s">
        <v>76</v>
      </c>
      <c r="D15" s="20" t="n">
        <v>1.6</v>
      </c>
      <c r="E15" s="20" t="n">
        <v>2.2</v>
      </c>
      <c r="F15" s="20" t="n">
        <v>3</v>
      </c>
      <c r="G15" s="21" t="n">
        <v>1</v>
      </c>
      <c r="H15" s="13" t="s">
        <v>77</v>
      </c>
      <c r="I15" s="10" t="s">
        <v>61</v>
      </c>
      <c r="J15" s="10" t="s">
        <v>40</v>
      </c>
      <c r="K15" s="13" t="s">
        <v>78</v>
      </c>
    </row>
    <row r="16" customFormat="false" ht="15" hidden="false" customHeight="false" outlineLevel="0" collapsed="false">
      <c r="A16" s="7" t="s">
        <v>79</v>
      </c>
      <c r="B16" s="8"/>
      <c r="C16" s="8"/>
      <c r="D16" s="8"/>
      <c r="E16" s="8"/>
      <c r="F16" s="8"/>
      <c r="G16" s="8"/>
      <c r="H16" s="8"/>
      <c r="I16" s="8"/>
      <c r="J16" s="8"/>
      <c r="K16" s="8"/>
    </row>
    <row r="17" customFormat="false" ht="15" hidden="false" customHeight="false" outlineLevel="0" collapsed="false">
      <c r="A17" s="9" t="s">
        <v>80</v>
      </c>
      <c r="B17" s="10" t="s">
        <v>81</v>
      </c>
      <c r="C17" s="10" t="s">
        <v>82</v>
      </c>
      <c r="D17" s="11" t="n">
        <v>1200</v>
      </c>
      <c r="E17" s="11" t="n">
        <v>2200</v>
      </c>
      <c r="F17" s="11" t="n">
        <v>3500</v>
      </c>
      <c r="G17" s="12" t="n">
        <v>2200</v>
      </c>
      <c r="H17" s="13" t="s">
        <v>83</v>
      </c>
      <c r="I17" s="10" t="s">
        <v>61</v>
      </c>
      <c r="J17" s="10" t="s">
        <v>61</v>
      </c>
      <c r="K17" s="13" t="s">
        <v>84</v>
      </c>
    </row>
    <row r="18" customFormat="false" ht="15" hidden="false" customHeight="false" outlineLevel="0" collapsed="false">
      <c r="A18" s="9" t="s">
        <v>85</v>
      </c>
      <c r="B18" s="10" t="s">
        <v>86</v>
      </c>
      <c r="C18" s="10" t="s">
        <v>59</v>
      </c>
      <c r="D18" s="22" t="n">
        <v>0.06</v>
      </c>
      <c r="E18" s="22" t="n">
        <v>0.09</v>
      </c>
      <c r="F18" s="22" t="n">
        <v>0.12</v>
      </c>
      <c r="G18" s="17" t="n">
        <v>0.09</v>
      </c>
      <c r="H18" s="13" t="s">
        <v>87</v>
      </c>
      <c r="I18" s="10" t="s">
        <v>61</v>
      </c>
      <c r="J18" s="10" t="s">
        <v>40</v>
      </c>
      <c r="K18" s="13" t="s">
        <v>88</v>
      </c>
    </row>
    <row r="19" customFormat="false" ht="15" hidden="false" customHeight="false" outlineLevel="0" collapsed="false">
      <c r="A19" s="9" t="s">
        <v>89</v>
      </c>
      <c r="B19" s="10" t="s">
        <v>90</v>
      </c>
      <c r="C19" s="10" t="s">
        <v>82</v>
      </c>
      <c r="D19" s="11" t="n">
        <v>90000</v>
      </c>
      <c r="E19" s="11" t="n">
        <v>180000</v>
      </c>
      <c r="F19" s="11" t="n">
        <v>320000</v>
      </c>
      <c r="G19" s="12" t="n">
        <v>180000</v>
      </c>
      <c r="H19" s="13" t="s">
        <v>91</v>
      </c>
      <c r="I19" s="10" t="s">
        <v>61</v>
      </c>
      <c r="J19" s="10" t="s">
        <v>40</v>
      </c>
      <c r="K19" s="13" t="s">
        <v>92</v>
      </c>
    </row>
    <row r="20" customFormat="false" ht="15" hidden="false" customHeight="false" outlineLevel="0" collapsed="false">
      <c r="A20" s="9" t="s">
        <v>93</v>
      </c>
      <c r="B20" s="10" t="s">
        <v>94</v>
      </c>
      <c r="C20" s="10" t="s">
        <v>95</v>
      </c>
      <c r="D20" s="23" t="n">
        <v>4000</v>
      </c>
      <c r="E20" s="23" t="n">
        <v>8000</v>
      </c>
      <c r="F20" s="23" t="n">
        <v>15000</v>
      </c>
      <c r="G20" s="24" t="n">
        <v>8000</v>
      </c>
      <c r="H20" s="13" t="s">
        <v>96</v>
      </c>
      <c r="I20" s="10" t="s">
        <v>40</v>
      </c>
      <c r="J20" s="10" t="s">
        <v>61</v>
      </c>
      <c r="K20" s="13" t="s">
        <v>97</v>
      </c>
    </row>
    <row r="21" customFormat="false" ht="15" hidden="false" customHeight="false" outlineLevel="0" collapsed="false">
      <c r="A21" s="9" t="s">
        <v>98</v>
      </c>
      <c r="B21" s="10" t="s">
        <v>99</v>
      </c>
      <c r="C21" s="10" t="s">
        <v>95</v>
      </c>
      <c r="D21" s="23" t="n">
        <v>10000</v>
      </c>
      <c r="E21" s="23" t="n">
        <v>30000</v>
      </c>
      <c r="F21" s="23" t="n">
        <v>60000</v>
      </c>
      <c r="G21" s="24" t="n">
        <v>30000</v>
      </c>
      <c r="H21" s="13" t="s">
        <v>100</v>
      </c>
      <c r="I21" s="10" t="s">
        <v>40</v>
      </c>
      <c r="J21" s="10" t="s">
        <v>40</v>
      </c>
      <c r="K21" s="13" t="s">
        <v>97</v>
      </c>
    </row>
    <row r="22" customFormat="false" ht="32.8" hidden="false" customHeight="false" outlineLevel="0" collapsed="false">
      <c r="A22" s="9" t="s">
        <v>101</v>
      </c>
      <c r="B22" s="10" t="s">
        <v>102</v>
      </c>
      <c r="C22" s="10" t="s">
        <v>59</v>
      </c>
      <c r="D22" s="16" t="n">
        <v>0.3</v>
      </c>
      <c r="E22" s="16" t="n">
        <v>0.24</v>
      </c>
      <c r="F22" s="16" t="n">
        <v>0.2</v>
      </c>
      <c r="G22" s="17" t="n">
        <v>0.24</v>
      </c>
      <c r="H22" s="13" t="s">
        <v>103</v>
      </c>
      <c r="I22" s="10" t="s">
        <v>40</v>
      </c>
      <c r="J22" s="10" t="s">
        <v>39</v>
      </c>
      <c r="K22" s="13" t="s">
        <v>104</v>
      </c>
    </row>
    <row r="23" customFormat="false" ht="15" hidden="false" customHeight="false" outlineLevel="0" collapsed="false">
      <c r="A23" s="9" t="s">
        <v>105</v>
      </c>
      <c r="B23" s="10" t="s">
        <v>106</v>
      </c>
      <c r="C23" s="10" t="s">
        <v>95</v>
      </c>
      <c r="D23" s="23" t="n">
        <v>40000</v>
      </c>
      <c r="E23" s="23" t="n">
        <v>150000</v>
      </c>
      <c r="F23" s="23" t="n">
        <v>400000</v>
      </c>
      <c r="G23" s="25" t="n">
        <v>40000</v>
      </c>
      <c r="H23" s="13" t="s">
        <v>107</v>
      </c>
      <c r="I23" s="10" t="s">
        <v>40</v>
      </c>
      <c r="J23" s="10" t="s">
        <v>40</v>
      </c>
      <c r="K23" s="13" t="s">
        <v>108</v>
      </c>
    </row>
    <row r="24" customFormat="false" ht="32.8" hidden="false" customHeight="false" outlineLevel="0" collapsed="false">
      <c r="A24" s="9" t="s">
        <v>109</v>
      </c>
      <c r="B24" s="10" t="s">
        <v>110</v>
      </c>
      <c r="C24" s="10" t="s">
        <v>95</v>
      </c>
      <c r="D24" s="23" t="n">
        <v>300000</v>
      </c>
      <c r="E24" s="23" t="n">
        <v>1500000</v>
      </c>
      <c r="F24" s="23" t="n">
        <v>6000000</v>
      </c>
      <c r="G24" s="24" t="n">
        <v>1500000</v>
      </c>
      <c r="H24" s="13" t="s">
        <v>111</v>
      </c>
      <c r="I24" s="10" t="s">
        <v>40</v>
      </c>
      <c r="J24" s="10" t="s">
        <v>40</v>
      </c>
      <c r="K24" s="13" t="s">
        <v>112</v>
      </c>
    </row>
    <row r="25" customFormat="false" ht="43.25" hidden="false" customHeight="false" outlineLevel="0" collapsed="false">
      <c r="A25" s="9" t="s">
        <v>113</v>
      </c>
      <c r="B25" s="10" t="s">
        <v>114</v>
      </c>
      <c r="C25" s="10" t="s">
        <v>76</v>
      </c>
      <c r="D25" s="26" t="n">
        <v>0.68</v>
      </c>
      <c r="E25" s="26" t="n">
        <v>0.75</v>
      </c>
      <c r="F25" s="26" t="n">
        <v>0.82</v>
      </c>
      <c r="G25" s="27" t="n">
        <v>0.75</v>
      </c>
      <c r="H25" s="13" t="s">
        <v>115</v>
      </c>
      <c r="I25" s="10" t="s">
        <v>61</v>
      </c>
      <c r="J25" s="10" t="s">
        <v>39</v>
      </c>
      <c r="K25" s="13" t="s">
        <v>116</v>
      </c>
    </row>
    <row r="26" customFormat="false" ht="15" hidden="false" customHeight="false" outlineLevel="0" collapsed="false">
      <c r="A26" s="7" t="s">
        <v>117</v>
      </c>
      <c r="B26" s="8"/>
      <c r="C26" s="8"/>
      <c r="D26" s="8"/>
      <c r="E26" s="8"/>
      <c r="F26" s="8"/>
      <c r="G26" s="8"/>
      <c r="H26" s="8"/>
      <c r="I26" s="8"/>
      <c r="J26" s="8"/>
      <c r="K26" s="8"/>
    </row>
    <row r="27" customFormat="false" ht="22.35" hidden="false" customHeight="false" outlineLevel="0" collapsed="false">
      <c r="A27" s="9" t="s">
        <v>118</v>
      </c>
      <c r="B27" s="10" t="s">
        <v>119</v>
      </c>
      <c r="C27" s="10" t="s">
        <v>59</v>
      </c>
      <c r="D27" s="18" t="n">
        <v>0.0008</v>
      </c>
      <c r="E27" s="18" t="n">
        <v>0.0015</v>
      </c>
      <c r="F27" s="18" t="n">
        <v>0.0025</v>
      </c>
      <c r="G27" s="28" t="n">
        <v>0</v>
      </c>
      <c r="H27" s="13" t="s">
        <v>120</v>
      </c>
      <c r="I27" s="10" t="s">
        <v>61</v>
      </c>
      <c r="J27" s="10" t="s">
        <v>39</v>
      </c>
      <c r="K27" s="13" t="s">
        <v>121</v>
      </c>
    </row>
    <row r="28" customFormat="false" ht="15" hidden="false" customHeight="false" outlineLevel="0" collapsed="false">
      <c r="A28" s="9" t="s">
        <v>122</v>
      </c>
      <c r="B28" s="10" t="s">
        <v>123</v>
      </c>
      <c r="C28" s="10" t="s">
        <v>59</v>
      </c>
      <c r="D28" s="22" t="n">
        <v>0.05</v>
      </c>
      <c r="E28" s="22" t="n">
        <v>0.08</v>
      </c>
      <c r="F28" s="22" t="n">
        <v>0.11</v>
      </c>
      <c r="G28" s="17" t="n">
        <v>0.08</v>
      </c>
      <c r="H28" s="13" t="s">
        <v>124</v>
      </c>
      <c r="I28" s="10" t="s">
        <v>61</v>
      </c>
      <c r="J28" s="10" t="s">
        <v>40</v>
      </c>
      <c r="K28" s="13" t="s">
        <v>92</v>
      </c>
    </row>
    <row r="29" customFormat="false" ht="15" hidden="false" customHeight="false" outlineLevel="0" collapsed="false">
      <c r="A29" s="9" t="s">
        <v>125</v>
      </c>
      <c r="B29" s="10" t="s">
        <v>126</v>
      </c>
      <c r="C29" s="10" t="s">
        <v>59</v>
      </c>
      <c r="D29" s="22" t="n">
        <v>0.55</v>
      </c>
      <c r="E29" s="22" t="n">
        <v>0.65</v>
      </c>
      <c r="F29" s="22" t="n">
        <v>0.75</v>
      </c>
      <c r="G29" s="17" t="n">
        <v>0.65</v>
      </c>
      <c r="H29" s="13" t="s">
        <v>127</v>
      </c>
      <c r="I29" s="10" t="s">
        <v>40</v>
      </c>
      <c r="J29" s="10" t="s">
        <v>40</v>
      </c>
      <c r="K29" s="13" t="s">
        <v>128</v>
      </c>
    </row>
    <row r="30" customFormat="false" ht="22.35" hidden="false" customHeight="false" outlineLevel="0" collapsed="false">
      <c r="A30" s="9" t="s">
        <v>129</v>
      </c>
      <c r="B30" s="10" t="s">
        <v>130</v>
      </c>
      <c r="C30" s="10" t="s">
        <v>95</v>
      </c>
      <c r="D30" s="29" t="n">
        <v>1.3</v>
      </c>
      <c r="E30" s="29" t="n">
        <v>1.1</v>
      </c>
      <c r="F30" s="29" t="n">
        <v>0.95</v>
      </c>
      <c r="G30" s="30" t="n">
        <v>1.1</v>
      </c>
      <c r="H30" s="13" t="s">
        <v>131</v>
      </c>
      <c r="I30" s="10" t="s">
        <v>40</v>
      </c>
      <c r="J30" s="10" t="s">
        <v>39</v>
      </c>
      <c r="K30" s="13" t="s">
        <v>132</v>
      </c>
    </row>
    <row r="31" customFormat="false" ht="22.35" hidden="false" customHeight="false" outlineLevel="0" collapsed="false">
      <c r="A31" s="9" t="s">
        <v>133</v>
      </c>
      <c r="B31" s="10" t="s">
        <v>134</v>
      </c>
      <c r="C31" s="10" t="s">
        <v>76</v>
      </c>
      <c r="D31" s="26" t="n">
        <v>2.2</v>
      </c>
      <c r="E31" s="26" t="n">
        <v>2.8</v>
      </c>
      <c r="F31" s="26" t="n">
        <v>3.4</v>
      </c>
      <c r="G31" s="27" t="n">
        <v>2.8</v>
      </c>
      <c r="H31" s="13" t="s">
        <v>135</v>
      </c>
      <c r="I31" s="10" t="s">
        <v>61</v>
      </c>
      <c r="J31" s="10" t="s">
        <v>39</v>
      </c>
      <c r="K31" s="13" t="s">
        <v>136</v>
      </c>
    </row>
    <row r="32" customFormat="false" ht="32.8" hidden="false" customHeight="false" outlineLevel="0" collapsed="false">
      <c r="A32" s="9" t="s">
        <v>137</v>
      </c>
      <c r="B32" s="10" t="s">
        <v>138</v>
      </c>
      <c r="C32" s="10" t="s">
        <v>59</v>
      </c>
      <c r="D32" s="16" t="n">
        <v>0.35</v>
      </c>
      <c r="E32" s="16" t="n">
        <v>0.45</v>
      </c>
      <c r="F32" s="16" t="n">
        <v>0.55</v>
      </c>
      <c r="G32" s="17" t="n">
        <v>0.45</v>
      </c>
      <c r="H32" s="13" t="s">
        <v>139</v>
      </c>
      <c r="I32" s="10" t="s">
        <v>40</v>
      </c>
      <c r="J32" s="10" t="s">
        <v>39</v>
      </c>
      <c r="K32" s="13" t="s">
        <v>140</v>
      </c>
    </row>
    <row r="33" customFormat="false" ht="15" hidden="false" customHeight="false" outlineLevel="0" collapsed="false">
      <c r="A33" s="7" t="s">
        <v>141</v>
      </c>
      <c r="B33" s="8"/>
      <c r="C33" s="8"/>
      <c r="D33" s="8"/>
      <c r="E33" s="8"/>
      <c r="F33" s="8"/>
      <c r="G33" s="8"/>
      <c r="H33" s="8"/>
      <c r="I33" s="8"/>
      <c r="J33" s="8"/>
      <c r="K33" s="8"/>
    </row>
    <row r="34" customFormat="false" ht="15" hidden="false" customHeight="false" outlineLevel="0" collapsed="false">
      <c r="A34" s="9" t="s">
        <v>142</v>
      </c>
      <c r="B34" s="10" t="s">
        <v>143</v>
      </c>
      <c r="C34" s="10" t="s">
        <v>59</v>
      </c>
      <c r="D34" s="22" t="n">
        <v>0.45</v>
      </c>
      <c r="E34" s="22" t="n">
        <v>0.55</v>
      </c>
      <c r="F34" s="22" t="n">
        <v>0.65</v>
      </c>
      <c r="G34" s="17" t="n">
        <v>0.55</v>
      </c>
      <c r="H34" s="13" t="s">
        <v>144</v>
      </c>
      <c r="I34" s="10" t="s">
        <v>40</v>
      </c>
      <c r="J34" s="10" t="s">
        <v>40</v>
      </c>
      <c r="K34" s="13" t="s">
        <v>145</v>
      </c>
    </row>
    <row r="35" customFormat="false" ht="32.8" hidden="false" customHeight="false" outlineLevel="0" collapsed="false">
      <c r="A35" s="9" t="s">
        <v>146</v>
      </c>
      <c r="B35" s="10" t="s">
        <v>147</v>
      </c>
      <c r="C35" s="10" t="s">
        <v>59</v>
      </c>
      <c r="D35" s="18" t="n">
        <v>0.006</v>
      </c>
      <c r="E35" s="18" t="n">
        <v>0.01</v>
      </c>
      <c r="F35" s="18" t="n">
        <v>0.016</v>
      </c>
      <c r="G35" s="28" t="n">
        <v>0</v>
      </c>
      <c r="H35" s="13" t="s">
        <v>148</v>
      </c>
      <c r="I35" s="10" t="s">
        <v>61</v>
      </c>
      <c r="J35" s="10" t="s">
        <v>39</v>
      </c>
      <c r="K35" s="13" t="s">
        <v>149</v>
      </c>
    </row>
    <row r="36" customFormat="false" ht="15" hidden="false" customHeight="false" outlineLevel="0" collapsed="false">
      <c r="A36" s="9" t="s">
        <v>150</v>
      </c>
      <c r="B36" s="10" t="s">
        <v>151</v>
      </c>
      <c r="C36" s="10" t="s">
        <v>59</v>
      </c>
      <c r="D36" s="22" t="n">
        <v>0.18</v>
      </c>
      <c r="E36" s="22" t="n">
        <v>0.25</v>
      </c>
      <c r="F36" s="22" t="n">
        <v>0.32</v>
      </c>
      <c r="G36" s="17" t="n">
        <v>0.25</v>
      </c>
      <c r="H36" s="13" t="s">
        <v>152</v>
      </c>
      <c r="I36" s="10" t="s">
        <v>61</v>
      </c>
      <c r="J36" s="10" t="s">
        <v>40</v>
      </c>
      <c r="K36" s="13" t="s">
        <v>153</v>
      </c>
    </row>
    <row r="37" customFormat="false" ht="15" hidden="false" customHeight="false" outlineLevel="0" collapsed="false">
      <c r="A37" s="9" t="s">
        <v>154</v>
      </c>
      <c r="B37" s="10" t="s">
        <v>155</v>
      </c>
      <c r="C37" s="10" t="s">
        <v>95</v>
      </c>
      <c r="D37" s="29" t="n">
        <v>1.7</v>
      </c>
      <c r="E37" s="29" t="n">
        <v>1.45</v>
      </c>
      <c r="F37" s="29" t="n">
        <v>1.25</v>
      </c>
      <c r="G37" s="30" t="n">
        <v>1.45</v>
      </c>
      <c r="H37" s="13" t="s">
        <v>156</v>
      </c>
      <c r="I37" s="10" t="s">
        <v>40</v>
      </c>
      <c r="J37" s="10" t="s">
        <v>39</v>
      </c>
      <c r="K37" s="13" t="s">
        <v>157</v>
      </c>
    </row>
    <row r="38" customFormat="false" ht="15" hidden="false" customHeight="false" outlineLevel="0" collapsed="false">
      <c r="A38" s="9" t="s">
        <v>158</v>
      </c>
      <c r="B38" s="10" t="s">
        <v>159</v>
      </c>
      <c r="C38" s="10" t="s">
        <v>76</v>
      </c>
      <c r="D38" s="26" t="n">
        <v>1.6</v>
      </c>
      <c r="E38" s="26" t="n">
        <v>2</v>
      </c>
      <c r="F38" s="26" t="n">
        <v>2.4</v>
      </c>
      <c r="G38" s="27" t="n">
        <v>2</v>
      </c>
      <c r="H38" s="13" t="s">
        <v>160</v>
      </c>
      <c r="I38" s="10" t="s">
        <v>40</v>
      </c>
      <c r="J38" s="10" t="s">
        <v>39</v>
      </c>
      <c r="K38" s="13" t="s">
        <v>136</v>
      </c>
    </row>
    <row r="39" customFormat="false" ht="32.8" hidden="false" customHeight="false" outlineLevel="0" collapsed="false">
      <c r="A39" s="9" t="s">
        <v>161</v>
      </c>
      <c r="B39" s="10" t="s">
        <v>162</v>
      </c>
      <c r="C39" s="10" t="s">
        <v>59</v>
      </c>
      <c r="D39" s="16" t="n">
        <v>0.25</v>
      </c>
      <c r="E39" s="16" t="n">
        <v>0.3</v>
      </c>
      <c r="F39" s="16" t="n">
        <v>0.4</v>
      </c>
      <c r="G39" s="17" t="n">
        <v>0.3</v>
      </c>
      <c r="H39" s="13" t="s">
        <v>163</v>
      </c>
      <c r="I39" s="10" t="s">
        <v>40</v>
      </c>
      <c r="J39" s="10" t="s">
        <v>39</v>
      </c>
      <c r="K39" s="13" t="s">
        <v>164</v>
      </c>
    </row>
    <row r="40" customFormat="false" ht="15" hidden="false" customHeight="false" outlineLevel="0" collapsed="false">
      <c r="A40" s="7" t="s">
        <v>165</v>
      </c>
      <c r="B40" s="8"/>
      <c r="C40" s="8"/>
      <c r="D40" s="8"/>
      <c r="E40" s="8"/>
      <c r="F40" s="8"/>
      <c r="G40" s="8"/>
      <c r="H40" s="8"/>
      <c r="I40" s="8"/>
      <c r="J40" s="8"/>
      <c r="K40" s="8"/>
    </row>
    <row r="41" customFormat="false" ht="22.35" hidden="false" customHeight="false" outlineLevel="0" collapsed="false">
      <c r="A41" s="9" t="s">
        <v>166</v>
      </c>
      <c r="B41" s="10" t="s">
        <v>167</v>
      </c>
      <c r="C41" s="10" t="s">
        <v>95</v>
      </c>
      <c r="D41" s="29" t="n">
        <v>2.8</v>
      </c>
      <c r="E41" s="29" t="n">
        <v>2.35</v>
      </c>
      <c r="F41" s="31" t="n">
        <v>2</v>
      </c>
      <c r="G41" s="30" t="n">
        <v>2.35</v>
      </c>
      <c r="H41" s="13" t="s">
        <v>168</v>
      </c>
      <c r="I41" s="10" t="s">
        <v>40</v>
      </c>
      <c r="J41" s="10" t="s">
        <v>39</v>
      </c>
      <c r="K41" s="13" t="s">
        <v>157</v>
      </c>
    </row>
    <row r="42" customFormat="false" ht="43.25" hidden="false" customHeight="false" outlineLevel="0" collapsed="false">
      <c r="A42" s="9" t="s">
        <v>169</v>
      </c>
      <c r="B42" s="10" t="s">
        <v>170</v>
      </c>
      <c r="C42" s="10" t="s">
        <v>76</v>
      </c>
      <c r="D42" s="26" t="n">
        <v>0.88</v>
      </c>
      <c r="E42" s="26" t="n">
        <v>0.8</v>
      </c>
      <c r="F42" s="26" t="n">
        <v>0.72</v>
      </c>
      <c r="G42" s="21" t="n">
        <v>1</v>
      </c>
      <c r="H42" s="13" t="s">
        <v>171</v>
      </c>
      <c r="I42" s="10" t="s">
        <v>61</v>
      </c>
      <c r="J42" s="10" t="s">
        <v>39</v>
      </c>
      <c r="K42" s="13" t="s">
        <v>172</v>
      </c>
    </row>
    <row r="43" customFormat="false" ht="15" hidden="false" customHeight="false" outlineLevel="0" collapsed="false">
      <c r="A43" s="9" t="s">
        <v>173</v>
      </c>
      <c r="B43" s="10" t="s">
        <v>174</v>
      </c>
      <c r="C43" s="10" t="s">
        <v>76</v>
      </c>
      <c r="D43" s="20" t="n">
        <v>1</v>
      </c>
      <c r="E43" s="20" t="n">
        <v>1</v>
      </c>
      <c r="F43" s="20" t="n">
        <v>1</v>
      </c>
      <c r="G43" s="27" t="n">
        <v>1</v>
      </c>
      <c r="H43" s="13" t="s">
        <v>175</v>
      </c>
      <c r="I43" s="10" t="s">
        <v>55</v>
      </c>
      <c r="J43" s="10" t="s">
        <v>61</v>
      </c>
      <c r="K43" s="13" t="s">
        <v>136</v>
      </c>
    </row>
    <row r="44" customFormat="false" ht="22.35" hidden="false" customHeight="false" outlineLevel="0" collapsed="false">
      <c r="A44" s="9" t="s">
        <v>176</v>
      </c>
      <c r="B44" s="10" t="s">
        <v>177</v>
      </c>
      <c r="C44" s="10" t="s">
        <v>76</v>
      </c>
      <c r="D44" s="26" t="n">
        <v>1.4</v>
      </c>
      <c r="E44" s="26" t="n">
        <v>1.7</v>
      </c>
      <c r="F44" s="26" t="n">
        <v>2</v>
      </c>
      <c r="G44" s="21" t="n">
        <v>1</v>
      </c>
      <c r="H44" s="13" t="s">
        <v>178</v>
      </c>
      <c r="I44" s="10" t="s">
        <v>61</v>
      </c>
      <c r="J44" s="10" t="s">
        <v>39</v>
      </c>
      <c r="K44" s="13" t="s">
        <v>136</v>
      </c>
    </row>
    <row r="45" customFormat="false" ht="32.8" hidden="false" customHeight="false" outlineLevel="0" collapsed="false">
      <c r="A45" s="9" t="s">
        <v>179</v>
      </c>
      <c r="B45" s="10" t="s">
        <v>180</v>
      </c>
      <c r="C45" s="10" t="s">
        <v>76</v>
      </c>
      <c r="D45" s="26" t="n">
        <v>0.45</v>
      </c>
      <c r="E45" s="26" t="n">
        <v>0.6</v>
      </c>
      <c r="F45" s="26" t="n">
        <v>0.75</v>
      </c>
      <c r="G45" s="27" t="n">
        <v>0.6</v>
      </c>
      <c r="H45" s="13" t="s">
        <v>181</v>
      </c>
      <c r="I45" s="10" t="s">
        <v>61</v>
      </c>
      <c r="J45" s="10" t="s">
        <v>39</v>
      </c>
      <c r="K45" s="13" t="s">
        <v>182</v>
      </c>
    </row>
    <row r="46" customFormat="false" ht="15" hidden="false" customHeight="false" outlineLevel="0" collapsed="false">
      <c r="A46" s="7" t="s">
        <v>183</v>
      </c>
      <c r="B46" s="8"/>
      <c r="C46" s="8"/>
      <c r="D46" s="8"/>
      <c r="E46" s="8"/>
      <c r="F46" s="8"/>
      <c r="G46" s="8"/>
      <c r="H46" s="8"/>
      <c r="I46" s="8"/>
      <c r="J46" s="8"/>
      <c r="K46" s="8"/>
    </row>
    <row r="47" customFormat="false" ht="32.8" hidden="false" customHeight="false" outlineLevel="0" collapsed="false">
      <c r="A47" s="9" t="s">
        <v>184</v>
      </c>
      <c r="B47" s="10" t="s">
        <v>185</v>
      </c>
      <c r="C47" s="10" t="s">
        <v>49</v>
      </c>
      <c r="D47" s="14" t="n">
        <v>600</v>
      </c>
      <c r="E47" s="14" t="n">
        <v>1500</v>
      </c>
      <c r="F47" s="14" t="n">
        <v>3000</v>
      </c>
      <c r="G47" s="12" t="n">
        <v>1500</v>
      </c>
      <c r="H47" s="13" t="s">
        <v>186</v>
      </c>
      <c r="I47" s="10" t="s">
        <v>61</v>
      </c>
      <c r="J47" s="10" t="s">
        <v>39</v>
      </c>
      <c r="K47" s="13" t="s">
        <v>187</v>
      </c>
    </row>
    <row r="48" customFormat="false" ht="22.35" hidden="false" customHeight="false" outlineLevel="0" collapsed="false">
      <c r="A48" s="9" t="s">
        <v>188</v>
      </c>
      <c r="B48" s="10" t="s">
        <v>189</v>
      </c>
      <c r="C48" s="10" t="s">
        <v>76</v>
      </c>
      <c r="D48" s="26" t="n">
        <v>1.25</v>
      </c>
      <c r="E48" s="26" t="n">
        <v>1.35</v>
      </c>
      <c r="F48" s="26" t="n">
        <v>1.45</v>
      </c>
      <c r="G48" s="27" t="n">
        <v>1.35</v>
      </c>
      <c r="H48" s="13" t="s">
        <v>190</v>
      </c>
      <c r="I48" s="10" t="s">
        <v>61</v>
      </c>
      <c r="J48" s="10" t="s">
        <v>39</v>
      </c>
      <c r="K48" s="13" t="s">
        <v>191</v>
      </c>
    </row>
    <row r="49" customFormat="false" ht="22.35" hidden="false" customHeight="false" outlineLevel="0" collapsed="false">
      <c r="A49" s="9" t="s">
        <v>192</v>
      </c>
      <c r="B49" s="10" t="s">
        <v>193</v>
      </c>
      <c r="C49" s="10" t="s">
        <v>59</v>
      </c>
      <c r="D49" s="18" t="n">
        <v>0.009</v>
      </c>
      <c r="E49" s="18" t="n">
        <v>0.014</v>
      </c>
      <c r="F49" s="18" t="n">
        <v>0.019</v>
      </c>
      <c r="G49" s="19" t="n">
        <v>0.014</v>
      </c>
      <c r="H49" s="13" t="s">
        <v>194</v>
      </c>
      <c r="I49" s="10" t="s">
        <v>61</v>
      </c>
      <c r="J49" s="10" t="s">
        <v>39</v>
      </c>
      <c r="K49" s="13" t="s">
        <v>195</v>
      </c>
    </row>
    <row r="50" customFormat="false" ht="15" hidden="false" customHeight="false" outlineLevel="0" collapsed="false">
      <c r="A50" s="9" t="s">
        <v>196</v>
      </c>
      <c r="B50" s="10" t="s">
        <v>197</v>
      </c>
      <c r="C50" s="10" t="s">
        <v>95</v>
      </c>
      <c r="D50" s="31" t="n">
        <v>68</v>
      </c>
      <c r="E50" s="31" t="n">
        <v>78</v>
      </c>
      <c r="F50" s="31" t="n">
        <v>88</v>
      </c>
      <c r="G50" s="24" t="n">
        <v>78</v>
      </c>
      <c r="H50" s="13" t="s">
        <v>198</v>
      </c>
      <c r="I50" s="10" t="s">
        <v>40</v>
      </c>
      <c r="J50" s="10" t="s">
        <v>39</v>
      </c>
      <c r="K50" s="13" t="s">
        <v>195</v>
      </c>
    </row>
    <row r="51" customFormat="false" ht="15" hidden="false" customHeight="false" outlineLevel="0" collapsed="false">
      <c r="A51" s="9" t="s">
        <v>199</v>
      </c>
      <c r="B51" s="10" t="s">
        <v>200</v>
      </c>
      <c r="C51" s="10" t="s">
        <v>59</v>
      </c>
      <c r="D51" s="16" t="n">
        <v>0.3</v>
      </c>
      <c r="E51" s="16" t="n">
        <v>0.4</v>
      </c>
      <c r="F51" s="16" t="n">
        <v>0.5</v>
      </c>
      <c r="G51" s="17" t="n">
        <v>0.4</v>
      </c>
      <c r="H51" s="13" t="s">
        <v>201</v>
      </c>
      <c r="I51" s="10" t="s">
        <v>61</v>
      </c>
      <c r="J51" s="10" t="s">
        <v>39</v>
      </c>
      <c r="K51" s="13" t="s">
        <v>202</v>
      </c>
    </row>
    <row r="52" customFormat="false" ht="15" hidden="false" customHeight="false" outlineLevel="0" collapsed="false">
      <c r="A52" s="9" t="s">
        <v>203</v>
      </c>
      <c r="B52" s="10" t="s">
        <v>204</v>
      </c>
      <c r="C52" s="10" t="s">
        <v>59</v>
      </c>
      <c r="D52" s="16" t="n">
        <v>0.09</v>
      </c>
      <c r="E52" s="16" t="n">
        <v>0.07</v>
      </c>
      <c r="F52" s="16" t="n">
        <v>0.055</v>
      </c>
      <c r="G52" s="17" t="n">
        <v>0.07</v>
      </c>
      <c r="H52" s="13" t="s">
        <v>205</v>
      </c>
      <c r="I52" s="10" t="s">
        <v>40</v>
      </c>
      <c r="J52" s="10" t="s">
        <v>39</v>
      </c>
      <c r="K52" s="13" t="s">
        <v>206</v>
      </c>
    </row>
    <row r="53" customFormat="false" ht="22.35" hidden="false" customHeight="false" outlineLevel="0" collapsed="false">
      <c r="A53" s="9" t="s">
        <v>207</v>
      </c>
      <c r="B53" s="10" t="s">
        <v>208</v>
      </c>
      <c r="C53" s="10" t="s">
        <v>59</v>
      </c>
      <c r="D53" s="22" t="n">
        <v>0.08</v>
      </c>
      <c r="E53" s="22" t="n">
        <v>0.11</v>
      </c>
      <c r="F53" s="22" t="n">
        <v>0.14</v>
      </c>
      <c r="G53" s="17" t="n">
        <v>0.11</v>
      </c>
      <c r="H53" s="13" t="s">
        <v>209</v>
      </c>
      <c r="I53" s="10" t="s">
        <v>61</v>
      </c>
      <c r="J53" s="10" t="s">
        <v>40</v>
      </c>
      <c r="K53" s="13" t="s">
        <v>206</v>
      </c>
    </row>
    <row r="54" customFormat="false" ht="15" hidden="false" customHeight="false" outlineLevel="0" collapsed="false">
      <c r="A54" s="7" t="s">
        <v>210</v>
      </c>
      <c r="B54" s="8"/>
      <c r="C54" s="8"/>
      <c r="D54" s="8"/>
      <c r="E54" s="8"/>
      <c r="F54" s="8"/>
      <c r="G54" s="8"/>
      <c r="H54" s="8"/>
      <c r="I54" s="8"/>
      <c r="J54" s="8"/>
      <c r="K54" s="8"/>
    </row>
    <row r="55" customFormat="false" ht="15" hidden="false" customHeight="false" outlineLevel="0" collapsed="false">
      <c r="A55" s="9" t="s">
        <v>211</v>
      </c>
      <c r="B55" s="10" t="s">
        <v>212</v>
      </c>
      <c r="C55" s="10" t="s">
        <v>59</v>
      </c>
      <c r="D55" s="16" t="n">
        <v>0.3</v>
      </c>
      <c r="E55" s="16" t="n">
        <v>0.26</v>
      </c>
      <c r="F55" s="16" t="n">
        <v>0.22</v>
      </c>
      <c r="G55" s="17" t="n">
        <v>0.26</v>
      </c>
      <c r="H55" s="13" t="s">
        <v>213</v>
      </c>
      <c r="I55" s="10" t="s">
        <v>40</v>
      </c>
      <c r="J55" s="10" t="s">
        <v>39</v>
      </c>
      <c r="K55" s="13" t="s">
        <v>214</v>
      </c>
    </row>
    <row r="56" customFormat="false" ht="15" hidden="false" customHeight="false" outlineLevel="0" collapsed="false">
      <c r="A56" s="9" t="s">
        <v>215</v>
      </c>
      <c r="B56" s="10" t="s">
        <v>216</v>
      </c>
      <c r="C56" s="10" t="s">
        <v>95</v>
      </c>
      <c r="D56" s="32" t="n">
        <v>8.5</v>
      </c>
      <c r="E56" s="32" t="n">
        <v>7.5</v>
      </c>
      <c r="F56" s="32" t="n">
        <v>6.5</v>
      </c>
      <c r="G56" s="30" t="n">
        <v>7.5</v>
      </c>
      <c r="H56" s="13" t="s">
        <v>217</v>
      </c>
      <c r="I56" s="10" t="s">
        <v>40</v>
      </c>
      <c r="J56" s="10" t="s">
        <v>61</v>
      </c>
      <c r="K56" s="13" t="s">
        <v>218</v>
      </c>
    </row>
    <row r="57" customFormat="false" ht="15" hidden="false" customHeight="false" outlineLevel="0" collapsed="false">
      <c r="A57" s="7" t="s">
        <v>219</v>
      </c>
      <c r="B57" s="8"/>
      <c r="C57" s="8"/>
      <c r="D57" s="8"/>
      <c r="E57" s="8"/>
      <c r="F57" s="8"/>
      <c r="G57" s="8"/>
      <c r="H57" s="8"/>
      <c r="I57" s="8"/>
      <c r="J57" s="8"/>
      <c r="K57" s="8"/>
    </row>
    <row r="58" customFormat="false" ht="15" hidden="false" customHeight="false" outlineLevel="0" collapsed="false">
      <c r="A58" s="9" t="s">
        <v>220</v>
      </c>
      <c r="B58" s="10" t="s">
        <v>221</v>
      </c>
      <c r="C58" s="10" t="s">
        <v>59</v>
      </c>
      <c r="D58" s="18" t="n">
        <v>0.012</v>
      </c>
      <c r="E58" s="18" t="n">
        <v>0.018</v>
      </c>
      <c r="F58" s="16" t="n">
        <v>0.025</v>
      </c>
      <c r="G58" s="19" t="n">
        <v>0.018</v>
      </c>
      <c r="H58" s="13" t="s">
        <v>222</v>
      </c>
      <c r="I58" s="10" t="s">
        <v>61</v>
      </c>
      <c r="J58" s="10" t="s">
        <v>39</v>
      </c>
      <c r="K58" s="13" t="s">
        <v>223</v>
      </c>
    </row>
    <row r="59" customFormat="false" ht="15" hidden="false" customHeight="false" outlineLevel="0" collapsed="false">
      <c r="A59" s="9" t="s">
        <v>224</v>
      </c>
      <c r="B59" s="10" t="s">
        <v>225</v>
      </c>
      <c r="C59" s="10" t="s">
        <v>59</v>
      </c>
      <c r="D59" s="22" t="n">
        <v>0.6</v>
      </c>
      <c r="E59" s="22" t="n">
        <v>0.7</v>
      </c>
      <c r="F59" s="22" t="n">
        <v>0.76</v>
      </c>
      <c r="G59" s="17" t="n">
        <v>0.7</v>
      </c>
      <c r="H59" s="13" t="s">
        <v>226</v>
      </c>
      <c r="I59" s="10" t="s">
        <v>40</v>
      </c>
      <c r="J59" s="10" t="s">
        <v>40</v>
      </c>
      <c r="K59" s="13" t="s">
        <v>223</v>
      </c>
    </row>
    <row r="60" customFormat="false" ht="15" hidden="false" customHeight="false" outlineLevel="0" collapsed="false">
      <c r="A60" s="9" t="s">
        <v>227</v>
      </c>
      <c r="B60" s="10" t="s">
        <v>228</v>
      </c>
      <c r="C60" s="10" t="s">
        <v>59</v>
      </c>
      <c r="D60" s="22" t="n">
        <v>0.5</v>
      </c>
      <c r="E60" s="22" t="n">
        <v>0.58</v>
      </c>
      <c r="F60" s="22" t="n">
        <v>0.64</v>
      </c>
      <c r="G60" s="17" t="n">
        <v>0.58</v>
      </c>
      <c r="H60" s="13" t="s">
        <v>229</v>
      </c>
      <c r="I60" s="10" t="s">
        <v>40</v>
      </c>
      <c r="J60" s="10" t="s">
        <v>40</v>
      </c>
      <c r="K60" s="13" t="s">
        <v>230</v>
      </c>
    </row>
    <row r="61" customFormat="false" ht="22.35" hidden="false" customHeight="false" outlineLevel="0" collapsed="false">
      <c r="A61" s="9" t="s">
        <v>231</v>
      </c>
      <c r="B61" s="10" t="s">
        <v>232</v>
      </c>
      <c r="C61" s="10" t="s">
        <v>59</v>
      </c>
      <c r="D61" s="16" t="n">
        <v>0.26</v>
      </c>
      <c r="E61" s="16" t="n">
        <v>0.36</v>
      </c>
      <c r="F61" s="16" t="n">
        <v>0.45</v>
      </c>
      <c r="G61" s="17" t="n">
        <v>0.36</v>
      </c>
      <c r="H61" s="13" t="s">
        <v>233</v>
      </c>
      <c r="I61" s="10" t="s">
        <v>40</v>
      </c>
      <c r="J61" s="10" t="s">
        <v>39</v>
      </c>
      <c r="K61" s="13" t="s">
        <v>234</v>
      </c>
    </row>
    <row r="62" customFormat="false" ht="15" hidden="false" customHeight="false" outlineLevel="0" collapsed="false">
      <c r="A62" s="9" t="s">
        <v>235</v>
      </c>
      <c r="B62" s="10" t="s">
        <v>236</v>
      </c>
      <c r="C62" s="10" t="s">
        <v>59</v>
      </c>
      <c r="D62" s="33" t="n">
        <v>0.015</v>
      </c>
      <c r="E62" s="22" t="n">
        <v>0.025</v>
      </c>
      <c r="F62" s="22" t="n">
        <v>0.035</v>
      </c>
      <c r="G62" s="17" t="n">
        <v>0.025</v>
      </c>
      <c r="H62" s="13" t="s">
        <v>237</v>
      </c>
      <c r="I62" s="10" t="s">
        <v>40</v>
      </c>
      <c r="J62" s="10" t="s">
        <v>40</v>
      </c>
      <c r="K62" s="13" t="s">
        <v>234</v>
      </c>
    </row>
    <row r="63" customFormat="false" ht="15" hidden="false" customHeight="false" outlineLevel="0" collapsed="false">
      <c r="A63" s="9" t="s">
        <v>238</v>
      </c>
      <c r="B63" s="10" t="s">
        <v>239</v>
      </c>
      <c r="C63" s="10" t="s">
        <v>59</v>
      </c>
      <c r="D63" s="22" t="n">
        <v>0.7</v>
      </c>
      <c r="E63" s="22" t="n">
        <v>0.82</v>
      </c>
      <c r="F63" s="22" t="n">
        <v>0.88</v>
      </c>
      <c r="G63" s="17" t="n">
        <v>0.82</v>
      </c>
      <c r="H63" s="13" t="s">
        <v>240</v>
      </c>
      <c r="I63" s="10" t="s">
        <v>40</v>
      </c>
      <c r="J63" s="10" t="s">
        <v>40</v>
      </c>
      <c r="K63" s="13" t="s">
        <v>241</v>
      </c>
    </row>
    <row r="64" customFormat="false" ht="15" hidden="false" customHeight="false" outlineLevel="0" collapsed="false">
      <c r="A64" s="9" t="s">
        <v>242</v>
      </c>
      <c r="B64" s="10" t="s">
        <v>243</v>
      </c>
      <c r="C64" s="10" t="s">
        <v>59</v>
      </c>
      <c r="D64" s="16" t="n">
        <v>0.48</v>
      </c>
      <c r="E64" s="16" t="n">
        <v>0.56</v>
      </c>
      <c r="F64" s="16" t="n">
        <v>0.62</v>
      </c>
      <c r="G64" s="17" t="n">
        <v>0.56</v>
      </c>
      <c r="H64" s="13" t="s">
        <v>244</v>
      </c>
      <c r="I64" s="10" t="s">
        <v>40</v>
      </c>
      <c r="J64" s="10" t="s">
        <v>39</v>
      </c>
      <c r="K64" s="13" t="s">
        <v>223</v>
      </c>
    </row>
    <row r="65" customFormat="false" ht="15" hidden="false" customHeight="false" outlineLevel="0" collapsed="false">
      <c r="A65" s="9" t="s">
        <v>245</v>
      </c>
      <c r="B65" s="10" t="s">
        <v>246</v>
      </c>
      <c r="C65" s="10" t="s">
        <v>59</v>
      </c>
      <c r="D65" s="22" t="n">
        <v>0.76</v>
      </c>
      <c r="E65" s="22" t="n">
        <v>0.83</v>
      </c>
      <c r="F65" s="22" t="n">
        <v>0.88</v>
      </c>
      <c r="G65" s="17" t="n">
        <v>0.83</v>
      </c>
      <c r="H65" s="13" t="s">
        <v>247</v>
      </c>
      <c r="I65" s="10" t="s">
        <v>40</v>
      </c>
      <c r="J65" s="10" t="s">
        <v>40</v>
      </c>
      <c r="K65" s="13" t="s">
        <v>248</v>
      </c>
    </row>
    <row r="66" customFormat="false" ht="22.35" hidden="false" customHeight="false" outlineLevel="0" collapsed="false">
      <c r="A66" s="9" t="s">
        <v>249</v>
      </c>
      <c r="B66" s="10" t="s">
        <v>250</v>
      </c>
      <c r="C66" s="10" t="s">
        <v>59</v>
      </c>
      <c r="D66" s="16" t="n">
        <v>0.55</v>
      </c>
      <c r="E66" s="16" t="n">
        <v>0.62</v>
      </c>
      <c r="F66" s="16" t="n">
        <v>0.68</v>
      </c>
      <c r="G66" s="17" t="n">
        <v>0.62</v>
      </c>
      <c r="H66" s="13" t="s">
        <v>251</v>
      </c>
      <c r="I66" s="10" t="s">
        <v>61</v>
      </c>
      <c r="J66" s="10" t="s">
        <v>39</v>
      </c>
      <c r="K66" s="13" t="s">
        <v>252</v>
      </c>
    </row>
    <row r="67" customFormat="false" ht="15" hidden="false" customHeight="false" outlineLevel="0" collapsed="false">
      <c r="A67" s="9" t="s">
        <v>253</v>
      </c>
      <c r="B67" s="10" t="s">
        <v>254</v>
      </c>
      <c r="C67" s="10" t="s">
        <v>59</v>
      </c>
      <c r="D67" s="16" t="n">
        <v>0.58</v>
      </c>
      <c r="E67" s="16" t="n">
        <v>0.66</v>
      </c>
      <c r="F67" s="16" t="n">
        <v>0.7</v>
      </c>
      <c r="G67" s="17" t="n">
        <v>0.66</v>
      </c>
      <c r="H67" s="13" t="s">
        <v>255</v>
      </c>
      <c r="I67" s="10" t="s">
        <v>40</v>
      </c>
      <c r="J67" s="10" t="s">
        <v>39</v>
      </c>
      <c r="K67" s="13" t="s">
        <v>223</v>
      </c>
    </row>
    <row r="68" customFormat="false" ht="22.35" hidden="false" customHeight="false" outlineLevel="0" collapsed="false">
      <c r="A68" s="9" t="s">
        <v>256</v>
      </c>
      <c r="B68" s="10" t="s">
        <v>257</v>
      </c>
      <c r="C68" s="10" t="s">
        <v>59</v>
      </c>
      <c r="D68" s="16" t="n">
        <v>0.13</v>
      </c>
      <c r="E68" s="16" t="n">
        <v>0.11</v>
      </c>
      <c r="F68" s="16" t="n">
        <v>0.095</v>
      </c>
      <c r="G68" s="17" t="n">
        <v>0.11</v>
      </c>
      <c r="H68" s="13" t="s">
        <v>258</v>
      </c>
      <c r="I68" s="10" t="s">
        <v>40</v>
      </c>
      <c r="J68" s="10" t="s">
        <v>39</v>
      </c>
      <c r="K68" s="13" t="s">
        <v>259</v>
      </c>
    </row>
    <row r="69" customFormat="false" ht="15" hidden="false" customHeight="false" outlineLevel="0" collapsed="false">
      <c r="A69" s="7" t="s">
        <v>260</v>
      </c>
      <c r="B69" s="8"/>
      <c r="C69" s="8"/>
      <c r="D69" s="8"/>
      <c r="E69" s="8"/>
      <c r="F69" s="8"/>
      <c r="G69" s="8"/>
      <c r="H69" s="8"/>
      <c r="I69" s="8"/>
      <c r="J69" s="8"/>
      <c r="K69" s="8"/>
    </row>
    <row r="70" customFormat="false" ht="15" hidden="false" customHeight="false" outlineLevel="0" collapsed="false">
      <c r="A70" s="9" t="s">
        <v>261</v>
      </c>
      <c r="B70" s="10" t="s">
        <v>262</v>
      </c>
      <c r="C70" s="10" t="s">
        <v>95</v>
      </c>
      <c r="D70" s="31" t="n">
        <v>199</v>
      </c>
      <c r="E70" s="31" t="n">
        <v>249</v>
      </c>
      <c r="F70" s="31" t="n">
        <v>299</v>
      </c>
      <c r="G70" s="24" t="n">
        <v>249</v>
      </c>
      <c r="H70" s="13" t="s">
        <v>263</v>
      </c>
      <c r="I70" s="10" t="s">
        <v>40</v>
      </c>
      <c r="J70" s="10" t="s">
        <v>39</v>
      </c>
      <c r="K70" s="13" t="s">
        <v>264</v>
      </c>
    </row>
    <row r="71" customFormat="false" ht="22.35" hidden="false" customHeight="false" outlineLevel="0" collapsed="false">
      <c r="A71" s="9" t="s">
        <v>265</v>
      </c>
      <c r="B71" s="10" t="s">
        <v>266</v>
      </c>
      <c r="C71" s="10" t="s">
        <v>95</v>
      </c>
      <c r="D71" s="23" t="n">
        <v>49</v>
      </c>
      <c r="E71" s="23" t="n">
        <v>59</v>
      </c>
      <c r="F71" s="23" t="n">
        <v>79</v>
      </c>
      <c r="G71" s="24" t="n">
        <v>59</v>
      </c>
      <c r="H71" s="13" t="s">
        <v>267</v>
      </c>
      <c r="I71" s="10" t="s">
        <v>40</v>
      </c>
      <c r="J71" s="10" t="s">
        <v>40</v>
      </c>
      <c r="K71" s="13" t="s">
        <v>268</v>
      </c>
    </row>
    <row r="72" customFormat="false" ht="15" hidden="false" customHeight="false" outlineLevel="0" collapsed="false">
      <c r="A72" s="7" t="s">
        <v>269</v>
      </c>
      <c r="B72" s="8"/>
      <c r="C72" s="8"/>
      <c r="D72" s="8"/>
      <c r="E72" s="8"/>
      <c r="F72" s="8"/>
      <c r="G72" s="8"/>
      <c r="H72" s="8"/>
      <c r="I72" s="8"/>
      <c r="J72" s="8"/>
      <c r="K72" s="8"/>
    </row>
    <row r="73" customFormat="false" ht="22.35" hidden="false" customHeight="false" outlineLevel="0" collapsed="false">
      <c r="A73" s="9" t="s">
        <v>270</v>
      </c>
      <c r="B73" s="10" t="s">
        <v>271</v>
      </c>
      <c r="C73" s="10" t="s">
        <v>95</v>
      </c>
      <c r="D73" s="31" t="n">
        <v>105</v>
      </c>
      <c r="E73" s="31" t="n">
        <v>88</v>
      </c>
      <c r="F73" s="31" t="n">
        <v>75</v>
      </c>
      <c r="G73" s="24" t="n">
        <v>88</v>
      </c>
      <c r="H73" s="13" t="s">
        <v>272</v>
      </c>
      <c r="I73" s="10" t="s">
        <v>61</v>
      </c>
      <c r="J73" s="10" t="s">
        <v>39</v>
      </c>
      <c r="K73" s="13" t="s">
        <v>273</v>
      </c>
    </row>
    <row r="74" customFormat="false" ht="15" hidden="false" customHeight="false" outlineLevel="0" collapsed="false">
      <c r="A74" s="9" t="s">
        <v>274</v>
      </c>
      <c r="B74" s="10" t="s">
        <v>275</v>
      </c>
      <c r="C74" s="10" t="s">
        <v>95</v>
      </c>
      <c r="D74" s="23" t="n">
        <v>45</v>
      </c>
      <c r="E74" s="23" t="n">
        <v>38</v>
      </c>
      <c r="F74" s="23" t="n">
        <v>32</v>
      </c>
      <c r="G74" s="24" t="n">
        <v>38</v>
      </c>
      <c r="H74" s="13" t="s">
        <v>276</v>
      </c>
      <c r="I74" s="10" t="s">
        <v>40</v>
      </c>
      <c r="J74" s="10" t="s">
        <v>40</v>
      </c>
      <c r="K74" s="13" t="s">
        <v>277</v>
      </c>
    </row>
    <row r="75" customFormat="false" ht="15" hidden="false" customHeight="false" outlineLevel="0" collapsed="false">
      <c r="A75" s="9" t="s">
        <v>278</v>
      </c>
      <c r="B75" s="10" t="s">
        <v>279</v>
      </c>
      <c r="C75" s="10" t="s">
        <v>95</v>
      </c>
      <c r="D75" s="23" t="n">
        <v>10</v>
      </c>
      <c r="E75" s="23" t="n">
        <v>8</v>
      </c>
      <c r="F75" s="32" t="n">
        <v>6.5</v>
      </c>
      <c r="G75" s="24" t="n">
        <v>8</v>
      </c>
      <c r="H75" s="13" t="s">
        <v>280</v>
      </c>
      <c r="I75" s="10" t="s">
        <v>40</v>
      </c>
      <c r="J75" s="10" t="s">
        <v>40</v>
      </c>
      <c r="K75" s="13" t="s">
        <v>277</v>
      </c>
    </row>
    <row r="76" customFormat="false" ht="22.35" hidden="false" customHeight="false" outlineLevel="0" collapsed="false">
      <c r="A76" s="9" t="s">
        <v>281</v>
      </c>
      <c r="B76" s="10" t="s">
        <v>282</v>
      </c>
      <c r="C76" s="10" t="s">
        <v>95</v>
      </c>
      <c r="D76" s="31" t="n">
        <v>22</v>
      </c>
      <c r="E76" s="31" t="n">
        <v>18</v>
      </c>
      <c r="F76" s="31" t="n">
        <v>15</v>
      </c>
      <c r="G76" s="24" t="n">
        <v>18</v>
      </c>
      <c r="H76" s="13" t="s">
        <v>283</v>
      </c>
      <c r="I76" s="10" t="s">
        <v>40</v>
      </c>
      <c r="J76" s="10" t="s">
        <v>39</v>
      </c>
      <c r="K76" s="13" t="s">
        <v>284</v>
      </c>
    </row>
    <row r="77" customFormat="false" ht="15" hidden="false" customHeight="false" outlineLevel="0" collapsed="false">
      <c r="A77" s="9" t="s">
        <v>285</v>
      </c>
      <c r="B77" s="10" t="s">
        <v>286</v>
      </c>
      <c r="C77" s="10" t="s">
        <v>95</v>
      </c>
      <c r="D77" s="23" t="n">
        <v>6</v>
      </c>
      <c r="E77" s="32" t="n">
        <v>4.5</v>
      </c>
      <c r="F77" s="32" t="n">
        <v>3.5</v>
      </c>
      <c r="G77" s="30" t="n">
        <v>4.5</v>
      </c>
      <c r="H77" s="13" t="s">
        <v>287</v>
      </c>
      <c r="I77" s="10" t="s">
        <v>40</v>
      </c>
      <c r="J77" s="10" t="s">
        <v>61</v>
      </c>
      <c r="K77" s="13" t="s">
        <v>288</v>
      </c>
    </row>
    <row r="78" customFormat="false" ht="15" hidden="false" customHeight="false" outlineLevel="0" collapsed="false">
      <c r="A78" s="7" t="s">
        <v>289</v>
      </c>
      <c r="B78" s="8"/>
      <c r="C78" s="8"/>
      <c r="D78" s="8"/>
      <c r="E78" s="8"/>
      <c r="F78" s="8"/>
      <c r="G78" s="8"/>
      <c r="H78" s="8"/>
      <c r="I78" s="8"/>
      <c r="J78" s="8"/>
      <c r="K78" s="8"/>
    </row>
    <row r="79" customFormat="false" ht="22.35" hidden="false" customHeight="false" outlineLevel="0" collapsed="false">
      <c r="A79" s="9" t="s">
        <v>290</v>
      </c>
      <c r="B79" s="10" t="s">
        <v>291</v>
      </c>
      <c r="C79" s="10" t="s">
        <v>59</v>
      </c>
      <c r="D79" s="22" t="n">
        <v>0.032</v>
      </c>
      <c r="E79" s="22" t="n">
        <v>0.029</v>
      </c>
      <c r="F79" s="22" t="n">
        <v>0.027</v>
      </c>
      <c r="G79" s="17" t="n">
        <v>0.029</v>
      </c>
      <c r="H79" s="13" t="s">
        <v>292</v>
      </c>
      <c r="I79" s="10" t="s">
        <v>39</v>
      </c>
      <c r="J79" s="10" t="s">
        <v>40</v>
      </c>
      <c r="K79" s="13" t="s">
        <v>293</v>
      </c>
    </row>
    <row r="80" customFormat="false" ht="15" hidden="false" customHeight="false" outlineLevel="0" collapsed="false">
      <c r="A80" s="9" t="s">
        <v>294</v>
      </c>
      <c r="B80" s="10" t="s">
        <v>295</v>
      </c>
      <c r="C80" s="10" t="s">
        <v>59</v>
      </c>
      <c r="D80" s="22" t="n">
        <v>0.04</v>
      </c>
      <c r="E80" s="22" t="n">
        <v>0.03</v>
      </c>
      <c r="F80" s="22" t="n">
        <v>0.022</v>
      </c>
      <c r="G80" s="17" t="n">
        <v>0.03</v>
      </c>
      <c r="H80" s="13" t="s">
        <v>296</v>
      </c>
      <c r="I80" s="10" t="s">
        <v>40</v>
      </c>
      <c r="J80" s="10" t="s">
        <v>40</v>
      </c>
      <c r="K80" s="13" t="s">
        <v>297</v>
      </c>
    </row>
    <row r="81" customFormat="false" ht="15" hidden="false" customHeight="false" outlineLevel="0" collapsed="false">
      <c r="A81" s="7" t="s">
        <v>298</v>
      </c>
      <c r="B81" s="8"/>
      <c r="C81" s="8"/>
      <c r="D81" s="8"/>
      <c r="E81" s="8"/>
      <c r="F81" s="8"/>
      <c r="G81" s="8"/>
      <c r="H81" s="8"/>
      <c r="I81" s="8"/>
      <c r="J81" s="8"/>
      <c r="K81" s="8"/>
    </row>
    <row r="82" customFormat="false" ht="43.25" hidden="false" customHeight="false" outlineLevel="0" collapsed="false">
      <c r="A82" s="9" t="s">
        <v>299</v>
      </c>
      <c r="B82" s="10" t="s">
        <v>300</v>
      </c>
      <c r="C82" s="10" t="s">
        <v>95</v>
      </c>
      <c r="D82" s="23" t="n">
        <v>600</v>
      </c>
      <c r="E82" s="23" t="n">
        <v>600</v>
      </c>
      <c r="F82" s="23" t="n">
        <v>600</v>
      </c>
      <c r="G82" s="24" t="n">
        <v>600</v>
      </c>
      <c r="H82" s="13" t="s">
        <v>301</v>
      </c>
      <c r="I82" s="10" t="s">
        <v>61</v>
      </c>
      <c r="J82" s="10" t="s">
        <v>40</v>
      </c>
      <c r="K82" s="13" t="s">
        <v>302</v>
      </c>
    </row>
    <row r="83" customFormat="false" ht="22.35" hidden="false" customHeight="false" outlineLevel="0" collapsed="false">
      <c r="A83" s="9" t="s">
        <v>303</v>
      </c>
      <c r="B83" s="10" t="s">
        <v>304</v>
      </c>
      <c r="C83" s="10" t="s">
        <v>95</v>
      </c>
      <c r="D83" s="23" t="n">
        <v>320</v>
      </c>
      <c r="E83" s="23" t="n">
        <v>280</v>
      </c>
      <c r="F83" s="23" t="n">
        <v>260</v>
      </c>
      <c r="G83" s="24" t="n">
        <v>280</v>
      </c>
      <c r="H83" s="13" t="s">
        <v>305</v>
      </c>
      <c r="I83" s="10" t="s">
        <v>40</v>
      </c>
      <c r="J83" s="10" t="s">
        <v>61</v>
      </c>
      <c r="K83" s="13" t="s">
        <v>306</v>
      </c>
    </row>
    <row r="84" customFormat="false" ht="32.8" hidden="false" customHeight="false" outlineLevel="0" collapsed="false">
      <c r="A84" s="9" t="s">
        <v>307</v>
      </c>
      <c r="B84" s="10" t="s">
        <v>308</v>
      </c>
      <c r="C84" s="10" t="s">
        <v>95</v>
      </c>
      <c r="D84" s="23" t="n">
        <v>8000</v>
      </c>
      <c r="E84" s="23" t="n">
        <v>18000</v>
      </c>
      <c r="F84" s="23" t="n">
        <v>25000</v>
      </c>
      <c r="G84" s="24" t="n">
        <v>18000</v>
      </c>
      <c r="H84" s="13" t="s">
        <v>309</v>
      </c>
      <c r="I84" s="10" t="s">
        <v>40</v>
      </c>
      <c r="J84" s="10" t="s">
        <v>40</v>
      </c>
      <c r="K84" s="13" t="s">
        <v>310</v>
      </c>
    </row>
    <row r="85" customFormat="false" ht="15" hidden="false" customHeight="false" outlineLevel="0" collapsed="false">
      <c r="A85" s="9" t="s">
        <v>311</v>
      </c>
      <c r="B85" s="10" t="s">
        <v>312</v>
      </c>
      <c r="C85" s="10" t="s">
        <v>95</v>
      </c>
      <c r="D85" s="23" t="n">
        <v>16000</v>
      </c>
      <c r="E85" s="23" t="n">
        <v>45000</v>
      </c>
      <c r="F85" s="23" t="n">
        <v>70000</v>
      </c>
      <c r="G85" s="24" t="n">
        <v>45000</v>
      </c>
      <c r="H85" s="13" t="s">
        <v>313</v>
      </c>
      <c r="I85" s="10" t="s">
        <v>40</v>
      </c>
      <c r="J85" s="10" t="s">
        <v>40</v>
      </c>
      <c r="K85" s="13" t="s">
        <v>310</v>
      </c>
    </row>
    <row r="86" customFormat="false" ht="32.8" hidden="false" customHeight="false" outlineLevel="0" collapsed="false">
      <c r="A86" s="9" t="s">
        <v>314</v>
      </c>
      <c r="B86" s="10" t="s">
        <v>315</v>
      </c>
      <c r="C86" s="10" t="s">
        <v>95</v>
      </c>
      <c r="D86" s="23" t="n">
        <v>24000</v>
      </c>
      <c r="E86" s="23" t="n">
        <v>62000</v>
      </c>
      <c r="F86" s="23" t="n">
        <v>140000</v>
      </c>
      <c r="G86" s="24" t="n">
        <v>62000</v>
      </c>
      <c r="H86" s="13" t="s">
        <v>316</v>
      </c>
      <c r="I86" s="10" t="s">
        <v>61</v>
      </c>
      <c r="J86" s="10" t="s">
        <v>40</v>
      </c>
      <c r="K86" s="13" t="s">
        <v>310</v>
      </c>
    </row>
    <row r="87" customFormat="false" ht="15" hidden="false" customHeight="false" outlineLevel="0" collapsed="false">
      <c r="A87" s="9" t="s">
        <v>317</v>
      </c>
      <c r="B87" s="10" t="s">
        <v>318</v>
      </c>
      <c r="C87" s="10" t="s">
        <v>95</v>
      </c>
      <c r="D87" s="23" t="n">
        <v>32000</v>
      </c>
      <c r="E87" s="23" t="n">
        <v>92000</v>
      </c>
      <c r="F87" s="23" t="n">
        <v>230000</v>
      </c>
      <c r="G87" s="24" t="n">
        <v>92000</v>
      </c>
      <c r="H87" s="13"/>
      <c r="I87" s="10" t="s">
        <v>61</v>
      </c>
      <c r="J87" s="10" t="s">
        <v>40</v>
      </c>
      <c r="K87" s="13" t="s">
        <v>310</v>
      </c>
    </row>
    <row r="88" customFormat="false" ht="32.8" hidden="false" customHeight="false" outlineLevel="0" collapsed="false">
      <c r="A88" s="9" t="s">
        <v>319</v>
      </c>
      <c r="B88" s="10" t="s">
        <v>320</v>
      </c>
      <c r="C88" s="10" t="s">
        <v>59</v>
      </c>
      <c r="D88" s="16" t="n">
        <v>0.07</v>
      </c>
      <c r="E88" s="16" t="n">
        <v>0.06</v>
      </c>
      <c r="F88" s="16" t="n">
        <v>0.05</v>
      </c>
      <c r="G88" s="17" t="n">
        <v>0.06</v>
      </c>
      <c r="H88" s="13" t="s">
        <v>321</v>
      </c>
      <c r="I88" s="10" t="s">
        <v>40</v>
      </c>
      <c r="J88" s="10" t="s">
        <v>39</v>
      </c>
      <c r="K88" s="13" t="s">
        <v>322</v>
      </c>
    </row>
    <row r="89" customFormat="false" ht="22.35" hidden="false" customHeight="false" outlineLevel="0" collapsed="false">
      <c r="A89" s="9" t="s">
        <v>323</v>
      </c>
      <c r="B89" s="10" t="s">
        <v>324</v>
      </c>
      <c r="C89" s="10" t="s">
        <v>59</v>
      </c>
      <c r="D89" s="22" t="n">
        <v>0.03</v>
      </c>
      <c r="E89" s="22" t="n">
        <v>0.025</v>
      </c>
      <c r="F89" s="22" t="n">
        <v>0.02</v>
      </c>
      <c r="G89" s="17" t="n">
        <v>0.025</v>
      </c>
      <c r="H89" s="13" t="s">
        <v>325</v>
      </c>
      <c r="I89" s="10" t="s">
        <v>40</v>
      </c>
      <c r="J89" s="10" t="s">
        <v>40</v>
      </c>
      <c r="K89" s="13" t="s">
        <v>326</v>
      </c>
    </row>
    <row r="90" customFormat="false" ht="15" hidden="false" customHeight="false" outlineLevel="0" collapsed="false">
      <c r="A90" s="9" t="s">
        <v>327</v>
      </c>
      <c r="B90" s="10" t="s">
        <v>328</v>
      </c>
      <c r="C90" s="10" t="s">
        <v>59</v>
      </c>
      <c r="D90" s="33" t="n">
        <v>0.01</v>
      </c>
      <c r="E90" s="33" t="n">
        <v>0.008</v>
      </c>
      <c r="F90" s="33" t="n">
        <v>0.006</v>
      </c>
      <c r="G90" s="19" t="n">
        <v>0.008</v>
      </c>
      <c r="H90" s="13" t="s">
        <v>329</v>
      </c>
      <c r="I90" s="10" t="s">
        <v>40</v>
      </c>
      <c r="J90" s="10" t="s">
        <v>61</v>
      </c>
      <c r="K90" s="13" t="s">
        <v>330</v>
      </c>
    </row>
    <row r="91" customFormat="false" ht="15" hidden="false" customHeight="false" outlineLevel="0" collapsed="false">
      <c r="A91" s="9" t="s">
        <v>331</v>
      </c>
      <c r="B91" s="10" t="s">
        <v>332</v>
      </c>
      <c r="C91" s="10" t="s">
        <v>95</v>
      </c>
      <c r="D91" s="23" t="n">
        <v>5000</v>
      </c>
      <c r="E91" s="23" t="n">
        <v>9000</v>
      </c>
      <c r="F91" s="23" t="n">
        <v>14000</v>
      </c>
      <c r="G91" s="24" t="n">
        <v>9000</v>
      </c>
      <c r="H91" s="13" t="s">
        <v>333</v>
      </c>
      <c r="I91" s="10" t="s">
        <v>40</v>
      </c>
      <c r="J91" s="10" t="s">
        <v>61</v>
      </c>
      <c r="K91" s="13" t="s">
        <v>334</v>
      </c>
    </row>
    <row r="92" customFormat="false" ht="15" hidden="false" customHeight="false" outlineLevel="0" collapsed="false">
      <c r="A92" s="9" t="s">
        <v>335</v>
      </c>
      <c r="B92" s="10" t="s">
        <v>336</v>
      </c>
      <c r="C92" s="10" t="s">
        <v>95</v>
      </c>
      <c r="D92" s="23" t="n">
        <v>1500</v>
      </c>
      <c r="E92" s="23" t="n">
        <v>2500</v>
      </c>
      <c r="F92" s="23" t="n">
        <v>4000</v>
      </c>
      <c r="G92" s="24" t="n">
        <v>2500</v>
      </c>
      <c r="H92" s="13" t="s">
        <v>337</v>
      </c>
      <c r="I92" s="10" t="s">
        <v>39</v>
      </c>
      <c r="J92" s="10" t="s">
        <v>61</v>
      </c>
      <c r="K92" s="13" t="s">
        <v>338</v>
      </c>
    </row>
    <row r="93" customFormat="false" ht="22.35" hidden="false" customHeight="false" outlineLevel="0" collapsed="false">
      <c r="A93" s="9" t="s">
        <v>339</v>
      </c>
      <c r="B93" s="10" t="s">
        <v>340</v>
      </c>
      <c r="C93" s="10" t="s">
        <v>95</v>
      </c>
      <c r="D93" s="23" t="n">
        <v>14000</v>
      </c>
      <c r="E93" s="23" t="n">
        <v>25000</v>
      </c>
      <c r="F93" s="23" t="n">
        <v>32000</v>
      </c>
      <c r="G93" s="24" t="n">
        <v>25000</v>
      </c>
      <c r="H93" s="13" t="s">
        <v>341</v>
      </c>
      <c r="I93" s="10" t="s">
        <v>40</v>
      </c>
      <c r="J93" s="10" t="s">
        <v>61</v>
      </c>
      <c r="K93" s="13" t="s">
        <v>342</v>
      </c>
    </row>
    <row r="94" customFormat="false" ht="15" hidden="false" customHeight="false" outlineLevel="0" collapsed="false">
      <c r="A94" s="9" t="s">
        <v>343</v>
      </c>
      <c r="B94" s="10" t="s">
        <v>344</v>
      </c>
      <c r="C94" s="10" t="s">
        <v>95</v>
      </c>
      <c r="D94" s="23" t="n">
        <v>4000</v>
      </c>
      <c r="E94" s="23" t="n">
        <v>9000</v>
      </c>
      <c r="F94" s="23" t="n">
        <v>12000</v>
      </c>
      <c r="G94" s="24" t="n">
        <v>9000</v>
      </c>
      <c r="H94" s="13" t="s">
        <v>345</v>
      </c>
      <c r="I94" s="10" t="s">
        <v>40</v>
      </c>
      <c r="J94" s="10" t="s">
        <v>40</v>
      </c>
      <c r="K94" s="13" t="s">
        <v>342</v>
      </c>
    </row>
    <row r="95" customFormat="false" ht="15" hidden="false" customHeight="false" outlineLevel="0" collapsed="false">
      <c r="A95" s="9" t="s">
        <v>346</v>
      </c>
      <c r="B95" s="10" t="s">
        <v>347</v>
      </c>
      <c r="C95" s="10" t="s">
        <v>95</v>
      </c>
      <c r="D95" s="23" t="n">
        <v>2000</v>
      </c>
      <c r="E95" s="23" t="n">
        <v>3500</v>
      </c>
      <c r="F95" s="23" t="n">
        <v>5000</v>
      </c>
      <c r="G95" s="24" t="n">
        <v>3500</v>
      </c>
      <c r="H95" s="13" t="s">
        <v>348</v>
      </c>
      <c r="I95" s="10" t="s">
        <v>40</v>
      </c>
      <c r="J95" s="10" t="s">
        <v>61</v>
      </c>
      <c r="K95" s="13" t="s">
        <v>349</v>
      </c>
    </row>
    <row r="96" customFormat="false" ht="15" hidden="false" customHeight="false" outlineLevel="0" collapsed="false">
      <c r="A96" s="9" t="s">
        <v>350</v>
      </c>
      <c r="B96" s="10" t="s">
        <v>351</v>
      </c>
      <c r="C96" s="10" t="s">
        <v>95</v>
      </c>
      <c r="D96" s="23" t="n">
        <v>4500</v>
      </c>
      <c r="E96" s="23" t="n">
        <v>12000</v>
      </c>
      <c r="F96" s="23" t="n">
        <v>26000</v>
      </c>
      <c r="G96" s="24" t="n">
        <v>12000</v>
      </c>
      <c r="H96" s="13" t="s">
        <v>352</v>
      </c>
      <c r="I96" s="10" t="s">
        <v>40</v>
      </c>
      <c r="J96" s="10" t="s">
        <v>40</v>
      </c>
      <c r="K96" s="13" t="s">
        <v>353</v>
      </c>
    </row>
    <row r="97" customFormat="false" ht="15" hidden="false" customHeight="false" outlineLevel="0" collapsed="false">
      <c r="A97" s="7" t="s">
        <v>354</v>
      </c>
      <c r="B97" s="8"/>
      <c r="C97" s="8"/>
      <c r="D97" s="8"/>
      <c r="E97" s="8"/>
      <c r="F97" s="8"/>
      <c r="G97" s="8"/>
      <c r="H97" s="8"/>
      <c r="I97" s="8"/>
      <c r="J97" s="8"/>
      <c r="K97" s="8"/>
    </row>
    <row r="98" customFormat="false" ht="22.35" hidden="false" customHeight="false" outlineLevel="0" collapsed="false">
      <c r="A98" s="9" t="s">
        <v>355</v>
      </c>
      <c r="B98" s="10" t="s">
        <v>356</v>
      </c>
      <c r="C98" s="10" t="s">
        <v>95</v>
      </c>
      <c r="D98" s="31" t="n">
        <v>0</v>
      </c>
      <c r="E98" s="31" t="n">
        <v>15000</v>
      </c>
      <c r="F98" s="31" t="n">
        <v>25000</v>
      </c>
      <c r="G98" s="25" t="n">
        <v>0</v>
      </c>
      <c r="H98" s="13" t="s">
        <v>357</v>
      </c>
      <c r="I98" s="10" t="s">
        <v>55</v>
      </c>
      <c r="J98" s="10" t="s">
        <v>39</v>
      </c>
      <c r="K98" s="13" t="s">
        <v>358</v>
      </c>
    </row>
    <row r="99" customFormat="false" ht="22.35" hidden="false" customHeight="false" outlineLevel="0" collapsed="false">
      <c r="A99" s="9" t="s">
        <v>359</v>
      </c>
      <c r="B99" s="10" t="s">
        <v>360</v>
      </c>
      <c r="C99" s="10" t="s">
        <v>59</v>
      </c>
      <c r="D99" s="16" t="n">
        <v>0.05</v>
      </c>
      <c r="E99" s="16" t="n">
        <v>0.05</v>
      </c>
      <c r="F99" s="16" t="n">
        <v>0.05</v>
      </c>
      <c r="G99" s="34" t="n">
        <v>0</v>
      </c>
      <c r="H99" s="13" t="s">
        <v>361</v>
      </c>
      <c r="I99" s="10" t="s">
        <v>55</v>
      </c>
      <c r="J99" s="10" t="s">
        <v>39</v>
      </c>
      <c r="K99" s="13" t="s">
        <v>358</v>
      </c>
    </row>
    <row r="100" customFormat="false" ht="15" hidden="false" customHeight="false" outlineLevel="0" collapsed="false">
      <c r="A100" s="9" t="s">
        <v>362</v>
      </c>
      <c r="B100" s="10" t="s">
        <v>363</v>
      </c>
      <c r="C100" s="10" t="s">
        <v>59</v>
      </c>
      <c r="D100" s="22" t="n">
        <v>0.1</v>
      </c>
      <c r="E100" s="22" t="n">
        <v>0.15</v>
      </c>
      <c r="F100" s="22" t="n">
        <v>0.2</v>
      </c>
      <c r="G100" s="34" t="n">
        <v>0</v>
      </c>
      <c r="H100" s="13" t="s">
        <v>364</v>
      </c>
      <c r="I100" s="10" t="s">
        <v>55</v>
      </c>
      <c r="J100" s="10" t="s">
        <v>55</v>
      </c>
      <c r="K100" s="13" t="s">
        <v>358</v>
      </c>
    </row>
    <row r="101" customFormat="false" ht="15" hidden="false" customHeight="false" outlineLevel="0" collapsed="false">
      <c r="A101" s="7" t="s">
        <v>365</v>
      </c>
      <c r="B101" s="8"/>
      <c r="C101" s="8"/>
      <c r="D101" s="8"/>
      <c r="E101" s="8"/>
      <c r="F101" s="8"/>
      <c r="G101" s="8"/>
      <c r="H101" s="8"/>
      <c r="I101" s="8"/>
      <c r="J101" s="8"/>
      <c r="K101" s="8"/>
    </row>
    <row r="102" customFormat="false" ht="22.35" hidden="false" customHeight="false" outlineLevel="0" collapsed="false">
      <c r="A102" s="9" t="s">
        <v>366</v>
      </c>
      <c r="B102" s="10" t="s">
        <v>367</v>
      </c>
      <c r="C102" s="10" t="s">
        <v>368</v>
      </c>
      <c r="D102" s="35" t="n">
        <v>2.5</v>
      </c>
      <c r="E102" s="35" t="n">
        <v>2</v>
      </c>
      <c r="F102" s="35" t="n">
        <v>2</v>
      </c>
      <c r="G102" s="36" t="n">
        <v>2</v>
      </c>
      <c r="H102" s="13" t="s">
        <v>369</v>
      </c>
      <c r="I102" s="10" t="s">
        <v>40</v>
      </c>
      <c r="J102" s="10" t="s">
        <v>40</v>
      </c>
      <c r="K102" s="13" t="s">
        <v>370</v>
      </c>
    </row>
  </sheetData>
  <mergeCells count="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8"/>
    <col collapsed="false" customWidth="true" hidden="false" outlineLevel="0" max="5" min="5" style="0" width="20"/>
  </cols>
  <sheetData>
    <row r="1" customFormat="false" ht="17.35" hidden="false" customHeight="false" outlineLevel="0" collapsed="false">
      <c r="A1" s="4" t="s">
        <v>371</v>
      </c>
    </row>
    <row r="2" customFormat="false" ht="43.5" hidden="false" customHeight="true" outlineLevel="0" collapsed="false">
      <c r="A2" s="5" t="s">
        <v>372</v>
      </c>
      <c r="B2" s="5"/>
      <c r="C2" s="5"/>
      <c r="D2" s="5"/>
      <c r="E2" s="5"/>
    </row>
    <row r="4" customFormat="false" ht="15" hidden="false" customHeight="false" outlineLevel="0" collapsed="false">
      <c r="A4" s="37" t="s">
        <v>373</v>
      </c>
      <c r="B4" s="37" t="s">
        <v>26</v>
      </c>
      <c r="C4" s="37" t="s">
        <v>27</v>
      </c>
      <c r="D4" s="37" t="s">
        <v>28</v>
      </c>
      <c r="E4" s="37" t="s">
        <v>29</v>
      </c>
    </row>
    <row r="5" customFormat="false" ht="15" hidden="false" customHeight="false" outlineLevel="0" collapsed="false">
      <c r="A5" s="38" t="s">
        <v>374</v>
      </c>
      <c r="B5" s="39" t="n">
        <f aca="false">SUM(Model_Conservative!C72:N72)</f>
        <v>153852.108275886</v>
      </c>
      <c r="C5" s="39" t="n">
        <f aca="false">SUM(Model_Baseline!C72:N72)</f>
        <v>2659058.05155031</v>
      </c>
      <c r="D5" s="39" t="n">
        <f aca="false">SUM(Model_Aggressive!C72:N72)</f>
        <v>30036754.3048808</v>
      </c>
      <c r="E5" s="40" t="n">
        <f aca="false">SUM(Model_No_Partner!C72:N72)</f>
        <v>543570.56210744</v>
      </c>
    </row>
    <row r="6" customFormat="false" ht="15" hidden="false" customHeight="false" outlineLevel="0" collapsed="false">
      <c r="A6" s="38" t="s">
        <v>375</v>
      </c>
      <c r="B6" s="39" t="n">
        <f aca="false">SUM(Model_Conservative!O72:Z72)</f>
        <v>270485.323061405</v>
      </c>
      <c r="C6" s="39" t="n">
        <f aca="false">SUM(Model_Baseline!O72:Z72)</f>
        <v>6091830.22905047</v>
      </c>
      <c r="D6" s="39" t="n">
        <f aca="false">SUM(Model_Aggressive!O72:Z72)</f>
        <v>149551447.749503</v>
      </c>
      <c r="E6" s="40" t="n">
        <f aca="false">SUM(Model_No_Partner!O72:Z72)</f>
        <v>1569016.18767226</v>
      </c>
    </row>
    <row r="7" customFormat="false" ht="15" hidden="false" customHeight="false" outlineLevel="0" collapsed="false">
      <c r="A7" s="38" t="s">
        <v>376</v>
      </c>
      <c r="B7" s="39" t="n">
        <f aca="false">SUM(Model_Conservative!AA72:AL72)</f>
        <v>377361.839778496</v>
      </c>
      <c r="C7" s="39" t="n">
        <f aca="false">SUM(Model_Baseline!AA72:AL72)</f>
        <v>10000634.1489954</v>
      </c>
      <c r="D7" s="39" t="n">
        <f aca="false">SUM(Model_Aggressive!AA72:AL72)</f>
        <v>356163801.380069</v>
      </c>
      <c r="E7" s="40" t="n">
        <f aca="false">SUM(Model_No_Partner!AA72:AL72)</f>
        <v>3657719.49442192</v>
      </c>
    </row>
    <row r="8" customFormat="false" ht="15" hidden="false" customHeight="false" outlineLevel="0" collapsed="false">
      <c r="A8" s="38" t="s">
        <v>377</v>
      </c>
      <c r="B8" s="39" t="n">
        <f aca="false">SUM(Model_Conservative!C72:AL72)</f>
        <v>801699.271115787</v>
      </c>
      <c r="C8" s="39" t="n">
        <f aca="false">SUM(Model_Baseline!C72:AL72)</f>
        <v>18751522.4295962</v>
      </c>
      <c r="D8" s="39" t="n">
        <f aca="false">SUM(Model_Aggressive!C72:AL72)</f>
        <v>535752003.434453</v>
      </c>
      <c r="E8" s="40" t="n">
        <f aca="false">SUM(Model_No_Partner!C72:AL72)</f>
        <v>5770306.24420162</v>
      </c>
    </row>
    <row r="10" customFormat="false" ht="15" hidden="false" customHeight="false" outlineLevel="0" collapsed="false">
      <c r="A10" s="38" t="s">
        <v>378</v>
      </c>
      <c r="B10" s="39" t="n">
        <f aca="false">SUM(Model_Conservative!AA73:AL73)</f>
        <v>185736.496232498</v>
      </c>
      <c r="C10" s="39" t="n">
        <f aca="false">SUM(Model_Baseline!AA73:AL73)</f>
        <v>5739913.83545263</v>
      </c>
      <c r="D10" s="39" t="n">
        <f aca="false">SUM(Model_Aggressive!AA73:AL73)</f>
        <v>233961365.299549</v>
      </c>
      <c r="E10" s="40" t="n">
        <f aca="false">SUM(Model_No_Partner!AA73:AL73)</f>
        <v>2075949.45063668</v>
      </c>
    </row>
    <row r="11" customFormat="false" ht="15" hidden="false" customHeight="false" outlineLevel="0" collapsed="false">
      <c r="A11" s="38" t="s">
        <v>379</v>
      </c>
      <c r="B11" s="41" t="n">
        <f aca="false">IFERROR(SUM(Model_Conservative!C73:N73)/SUM(Model_Conservative!C72:N72),0)</f>
        <v>0.521571476297357</v>
      </c>
      <c r="C11" s="41" t="n">
        <f aca="false">IFERROR(SUM(Model_Baseline!C73:N73)/SUM(Model_Baseline!C72:N72),0)</f>
        <v>0.596059668373112</v>
      </c>
      <c r="D11" s="41" t="n">
        <f aca="false">IFERROR(SUM(Model_Aggressive!C73:N73)/SUM(Model_Aggressive!C72:N72),0)</f>
        <v>0.662877324349763</v>
      </c>
      <c r="E11" s="42" t="n">
        <f aca="false">IFERROR(SUM(Model_No_Partner!C73:N73)/SUM(Model_No_Partner!C72:N72),0)</f>
        <v>0.593342454708481</v>
      </c>
    </row>
    <row r="12" customFormat="false" ht="15" hidden="false" customHeight="false" outlineLevel="0" collapsed="false">
      <c r="A12" s="38" t="s">
        <v>380</v>
      </c>
      <c r="B12" s="41" t="n">
        <f aca="false">IFERROR(SUM(Model_Conservative!AA73:AL73)/SUM(Model_Conservative!AA72:AL72),0)</f>
        <v>0.492197346561383</v>
      </c>
      <c r="C12" s="41" t="n">
        <f aca="false">IFERROR(SUM(Model_Baseline!AA73:AL73)/SUM(Model_Baseline!AA72:AL72),0)</f>
        <v>0.573954986247468</v>
      </c>
      <c r="D12" s="41" t="n">
        <f aca="false">IFERROR(SUM(Model_Aggressive!AA73:AL73)/SUM(Model_Aggressive!AA72:AL72),0)</f>
        <v>0.656892599396659</v>
      </c>
      <c r="E12" s="42" t="n">
        <f aca="false">IFERROR(SUM(Model_No_Partner!AA73:AL73)/SUM(Model_No_Partner!AA72:AL72),0)</f>
        <v>0.567552939421008</v>
      </c>
    </row>
    <row r="13" customFormat="false" ht="15" hidden="false" customHeight="false" outlineLevel="0" collapsed="false">
      <c r="A13" s="38" t="s">
        <v>381</v>
      </c>
      <c r="B13" s="41" t="n">
        <f aca="false">IFERROR(SUM(Model_Conservative!AA46:AL46)/SUM(Model_Conservative!AA42:AL42),0)</f>
        <v>0.525291666666667</v>
      </c>
      <c r="C13" s="41" t="n">
        <f aca="false">IFERROR(SUM(Model_Baseline!AA46:AL46)/SUM(Model_Baseline!AA42:AL42),0)</f>
        <v>0.603831086439334</v>
      </c>
      <c r="D13" s="41" t="n">
        <f aca="false">IFERROR(SUM(Model_Aggressive!AA46:AL46)/SUM(Model_Aggressive!AA42:AL42),0)</f>
        <v>0.672525934188511</v>
      </c>
      <c r="E13" s="42" t="n">
        <f aca="false">IFERROR(SUM(Model_No_Partner!AA46:AL46)/SUM(Model_No_Partner!AA42:AL42),0)</f>
        <v>0.603831086439334</v>
      </c>
    </row>
    <row r="14" customFormat="false" ht="15" hidden="false" customHeight="false" outlineLevel="0" collapsed="false">
      <c r="A14" s="38" t="s">
        <v>382</v>
      </c>
      <c r="B14" s="41" t="n">
        <f aca="false">IFERROR(SUM(Model_Conservative!AA70:AL70)/SUM(Model_Conservative!AA63:AL63),0)</f>
        <v>0.222875610294341</v>
      </c>
      <c r="C14" s="41" t="n">
        <f aca="false">IFERROR(SUM(Model_Baseline!AA70:AL70)/SUM(Model_Baseline!AA63:AL63),0)</f>
        <v>0.474358001924858</v>
      </c>
      <c r="D14" s="41" t="n">
        <f aca="false">IFERROR(SUM(Model_Aggressive!AA70:AL70)/SUM(Model_Aggressive!AA63:AL63),0)</f>
        <v>0.629118680215318</v>
      </c>
      <c r="E14" s="42" t="n">
        <f aca="false">IFERROR(SUM(Model_No_Partner!AA70:AL70)/SUM(Model_No_Partner!AA63:AL63),0)</f>
        <v>0.473500088738034</v>
      </c>
    </row>
    <row r="16" customFormat="false" ht="15" hidden="false" customHeight="false" outlineLevel="0" collapsed="false">
      <c r="A16" s="38" t="s">
        <v>383</v>
      </c>
      <c r="B16" s="39" t="n">
        <f aca="false">SUM(Model_Conservative!C88:N88)</f>
        <v>-472487.73416888</v>
      </c>
      <c r="C16" s="39" t="n">
        <f aca="false">SUM(Model_Baseline!C88:N88)</f>
        <v>-435165.343616365</v>
      </c>
      <c r="D16" s="39" t="n">
        <f aca="false">SUM(Model_Aggressive!C88:N88)</f>
        <v>10225854.050942</v>
      </c>
      <c r="E16" s="40" t="n">
        <f aca="false">SUM(Model_No_Partner!C88:N88)</f>
        <v>-1035536.5083719</v>
      </c>
    </row>
    <row r="17" customFormat="false" ht="15" hidden="false" customHeight="false" outlineLevel="0" collapsed="false">
      <c r="A17" s="38" t="s">
        <v>384</v>
      </c>
      <c r="B17" s="39" t="n">
        <f aca="false">SUM(Model_Conservative!O88:Z88)</f>
        <v>-499740.567813707</v>
      </c>
      <c r="C17" s="39" t="n">
        <f aca="false">SUM(Model_Baseline!O88:Z88)</f>
        <v>452362.352514072</v>
      </c>
      <c r="D17" s="39" t="n">
        <f aca="false">SUM(Model_Aggressive!O88:Z88)</f>
        <v>52624602.4007799</v>
      </c>
      <c r="E17" s="40" t="n">
        <f aca="false">SUM(Model_No_Partner!O88:Z88)</f>
        <v>-671136.155178215</v>
      </c>
    </row>
    <row r="18" customFormat="false" ht="15" hidden="false" customHeight="false" outlineLevel="0" collapsed="false">
      <c r="A18" s="38" t="s">
        <v>385</v>
      </c>
      <c r="B18" s="39" t="n">
        <f aca="false">SUM(Model_Conservative!AA88:AL88)</f>
        <v>-553436.412680927</v>
      </c>
      <c r="C18" s="39" t="n">
        <f aca="false">SUM(Model_Baseline!AA88:AL88)</f>
        <v>1061889.60594534</v>
      </c>
      <c r="D18" s="39" t="n">
        <f aca="false">SUM(Model_Aggressive!AA88:AL88)</f>
        <v>126511317.541321</v>
      </c>
      <c r="E18" s="40" t="n">
        <f aca="false">SUM(Model_No_Partner!AA88:AL88)</f>
        <v>-288300.988233049</v>
      </c>
    </row>
    <row r="19" customFormat="false" ht="15" hidden="false" customHeight="false" outlineLevel="0" collapsed="false">
      <c r="A19" s="38" t="s">
        <v>386</v>
      </c>
      <c r="B19" s="41" t="n">
        <f aca="false">IFERROR(SUM(Model_Conservative!AA88:AL88)/SUM(Model_Conservative!AA72:AL72),0)</f>
        <v>-1.46659347698162</v>
      </c>
      <c r="C19" s="41" t="n">
        <f aca="false">IFERROR(SUM(Model_Baseline!AA88:AL88)/SUM(Model_Baseline!AA72:AL72),0)</f>
        <v>0.106182227059271</v>
      </c>
      <c r="D19" s="41" t="n">
        <f aca="false">IFERROR(SUM(Model_Aggressive!AA88:AL88)/SUM(Model_Aggressive!AA72:AL72),0)</f>
        <v>0.355205433710874</v>
      </c>
      <c r="E19" s="42" t="n">
        <f aca="false">IFERROR(SUM(Model_No_Partner!AA88:AL88)/SUM(Model_No_Partner!AA72:AL72),0)</f>
        <v>-0.0788198736050462</v>
      </c>
    </row>
    <row r="20" customFormat="false" ht="15" hidden="false" customHeight="false" outlineLevel="0" collapsed="false">
      <c r="A20" s="38" t="s">
        <v>387</v>
      </c>
      <c r="B20" s="39" t="n">
        <f aca="false">SUM(Model_Conservative!C88:AL88)</f>
        <v>-1525664.71466351</v>
      </c>
      <c r="C20" s="39" t="n">
        <f aca="false">SUM(Model_Baseline!C88:AL88)</f>
        <v>1079086.61484304</v>
      </c>
      <c r="D20" s="39" t="n">
        <f aca="false">SUM(Model_Aggressive!C88:AL88)</f>
        <v>189361773.993043</v>
      </c>
      <c r="E20" s="40" t="n">
        <f aca="false">SUM(Model_No_Partner!C88:AL88)</f>
        <v>-1994973.65178317</v>
      </c>
    </row>
    <row r="22" customFormat="false" ht="15" hidden="false" customHeight="false" outlineLevel="0" collapsed="false">
      <c r="A22" s="38" t="s">
        <v>388</v>
      </c>
      <c r="B22" s="43" t="str">
        <f aca="false">IF(MIN(Model_Conservative!C94:AL94)=999,"Not within 36 months",MIN(Model_Conservative!C94:AL94))</f>
        <v>Not within 36 months</v>
      </c>
      <c r="C22" s="43" t="n">
        <f aca="false">IF(MIN(Model_Baseline!C94:AL94)=999,"Not within 36 months",MIN(Model_Baseline!C94:AL94))</f>
        <v>10</v>
      </c>
      <c r="D22" s="43" t="n">
        <f aca="false">IF(MIN(Model_Aggressive!C94:AL94)=999,"Not within 36 months",MIN(Model_Aggressive!C94:AL94))</f>
        <v>3</v>
      </c>
      <c r="E22" s="44" t="n">
        <f aca="false">IF(MIN(Model_No_Partner!C94:AL94)=999,"Not within 36 months",MIN(Model_No_Partner!C94:AL94))</f>
        <v>34</v>
      </c>
    </row>
    <row r="23" customFormat="false" ht="15" hidden="false" customHeight="false" outlineLevel="0" collapsed="false">
      <c r="A23" s="38" t="s">
        <v>389</v>
      </c>
      <c r="B23" s="39" t="n">
        <f aca="false">MIN(0,MIN(Model_Conservative!C93:AL93))</f>
        <v>-1550987.79428737</v>
      </c>
      <c r="C23" s="39" t="n">
        <f aca="false">MIN(0,MIN(Model_Baseline!C93:AL93))</f>
        <v>-618009.949482564</v>
      </c>
      <c r="D23" s="39" t="n">
        <f aca="false">MIN(0,MIN(Model_Aggressive!C93:AL93))</f>
        <v>-713040.63612</v>
      </c>
      <c r="E23" s="40" t="n">
        <f aca="false">MIN(0,MIN(Model_No_Partner!C93:AL93))</f>
        <v>-2174202.94477136</v>
      </c>
    </row>
    <row r="24" customFormat="false" ht="15" hidden="false" customHeight="false" outlineLevel="0" collapsed="false">
      <c r="A24" s="38" t="s">
        <v>390</v>
      </c>
      <c r="B24" s="39" t="n">
        <f aca="false">-MIN(0,MIN(Model_Conservative!C93:AL93))*1.3</f>
        <v>2016284.13257358</v>
      </c>
      <c r="C24" s="39" t="n">
        <f aca="false">-MIN(0,MIN(Model_Baseline!C93:AL93))*1.3</f>
        <v>803412.934327333</v>
      </c>
      <c r="D24" s="39" t="n">
        <f aca="false">-MIN(0,MIN(Model_Aggressive!C93:AL93))*1.3</f>
        <v>926952.826956</v>
      </c>
      <c r="E24" s="40" t="n">
        <f aca="false">-MIN(0,MIN(Model_No_Partner!C93:AL93))*1.3</f>
        <v>2826463.82820277</v>
      </c>
    </row>
    <row r="25" customFormat="false" ht="15" hidden="false" customHeight="false" outlineLevel="0" collapsed="false">
      <c r="A25" s="38" t="s">
        <v>391</v>
      </c>
      <c r="B25" s="39" t="n">
        <f aca="false">Model_Conservative!AL93</f>
        <v>-1550987.79428737</v>
      </c>
      <c r="C25" s="39" t="n">
        <f aca="false">Model_Baseline!AL93</f>
        <v>665544.022320649</v>
      </c>
      <c r="D25" s="39" t="n">
        <f aca="false">Model_Aggressive!AL93</f>
        <v>178264106.040749</v>
      </c>
      <c r="E25" s="40" t="n">
        <f aca="false">Model_No_Partner!AL93</f>
        <v>-2163076.14539959</v>
      </c>
    </row>
    <row r="27" customFormat="false" ht="15" hidden="false" customHeight="false" outlineLevel="0" collapsed="false">
      <c r="A27" s="38" t="s">
        <v>392</v>
      </c>
      <c r="B27" s="45" t="n">
        <f aca="false">Model_Conservative!AL36</f>
        <v>384.414160111148</v>
      </c>
      <c r="C27" s="45" t="n">
        <f aca="false">Model_Baseline!AL36</f>
        <v>8711.51341272042</v>
      </c>
      <c r="D27" s="45" t="n">
        <f aca="false">Model_Aggressive!AL36</f>
        <v>258942.993409849</v>
      </c>
      <c r="E27" s="46" t="n">
        <f aca="false">Model_No_Partner!AL36</f>
        <v>3394.24695794444</v>
      </c>
    </row>
    <row r="28" customFormat="false" ht="15" hidden="false" customHeight="false" outlineLevel="0" collapsed="false">
      <c r="A28" s="38" t="s">
        <v>393</v>
      </c>
      <c r="B28" s="45" t="n">
        <f aca="false">Model_Conservative!AL57</f>
        <v>21.1776881143019</v>
      </c>
      <c r="C28" s="45" t="n">
        <f aca="false">Model_Baseline!AL57</f>
        <v>939.610179777806</v>
      </c>
      <c r="D28" s="45" t="n">
        <f aca="false">Model_Aggressive!AL57</f>
        <v>44045.0108626003</v>
      </c>
      <c r="E28" s="46" t="n">
        <f aca="false">Model_No_Partner!AL57</f>
        <v>472.897998900039</v>
      </c>
    </row>
    <row r="29" customFormat="false" ht="15" hidden="false" customHeight="false" outlineLevel="0" collapsed="false">
      <c r="A29" s="38" t="s">
        <v>394</v>
      </c>
      <c r="B29" s="41" t="n">
        <f aca="false">IFERROR(SUM(Model_Conservative!AA42:AL42)/SUM(Model_Conservative!AA72:AL72),0)</f>
        <v>0.890566921273059</v>
      </c>
      <c r="C29" s="41" t="n">
        <f aca="false">IFERROR(SUM(Model_Baseline!AA42:AL42)/SUM(Model_Baseline!AA72:AL72),0)</f>
        <v>0.769248563870231</v>
      </c>
      <c r="D29" s="41" t="n">
        <f aca="false">IFERROR(SUM(Model_Aggressive!AA42:AL42)/SUM(Model_Aggressive!AA72:AL72),0)</f>
        <v>0.639845109725052</v>
      </c>
      <c r="E29" s="42" t="n">
        <f aca="false">IFERROR(SUM(Model_No_Partner!AA42:AL42)/SUM(Model_No_Partner!AA72:AL72),0)</f>
        <v>0.721646057667186</v>
      </c>
    </row>
    <row r="31" customFormat="false" ht="15" hidden="false" customHeight="false" outlineLevel="0" collapsed="false">
      <c r="A31" s="38" t="s">
        <v>395</v>
      </c>
      <c r="B31" s="47" t="n">
        <f aca="false">Model_Conservative!AL102</f>
        <v>41.92672</v>
      </c>
      <c r="C31" s="47" t="n">
        <f aca="false">Model_Baseline!AL102</f>
        <v>116.02563</v>
      </c>
      <c r="D31" s="47" t="n">
        <f aca="false">Model_Aggressive!AL102</f>
        <v>184.526606</v>
      </c>
      <c r="E31" s="48" t="n">
        <f aca="false">Model_No_Partner!AL102</f>
        <v>116.02563</v>
      </c>
    </row>
    <row r="32" customFormat="false" ht="15" hidden="false" customHeight="false" outlineLevel="0" collapsed="false">
      <c r="A32" s="38" t="s">
        <v>396</v>
      </c>
      <c r="B32" s="39" t="n">
        <f aca="false">Model_Conservative!AL103</f>
        <v>322.513230769231</v>
      </c>
      <c r="C32" s="39" t="n">
        <f aca="false">Model_Baseline!AL103</f>
        <v>1054.77845454545</v>
      </c>
      <c r="D32" s="39" t="n">
        <f aca="false">Model_Aggressive!AL103</f>
        <v>1942.38532631579</v>
      </c>
      <c r="E32" s="40" t="n">
        <f aca="false">Model_No_Partner!AL103</f>
        <v>1054.77845454545</v>
      </c>
    </row>
    <row r="33" customFormat="false" ht="15" hidden="false" customHeight="false" outlineLevel="0" collapsed="false">
      <c r="A33" s="38" t="s">
        <v>397</v>
      </c>
      <c r="B33" s="47" t="n">
        <f aca="false">Model_Conservative!AL104</f>
        <v>34.29104</v>
      </c>
      <c r="C33" s="47" t="n">
        <f aca="false">Model_Baseline!AL104</f>
        <v>45.68586</v>
      </c>
      <c r="D33" s="47" t="n">
        <f aca="false">Model_Aggressive!AL104</f>
        <v>57.880272</v>
      </c>
      <c r="E33" s="48" t="n">
        <f aca="false">Model_No_Partner!AL104</f>
        <v>45.68586</v>
      </c>
    </row>
    <row r="34" customFormat="false" ht="15" hidden="false" customHeight="false" outlineLevel="0" collapsed="false">
      <c r="A34" s="38" t="s">
        <v>398</v>
      </c>
      <c r="B34" s="39" t="n">
        <f aca="false">Model_Conservative!AL105</f>
        <v>381.011555555556</v>
      </c>
      <c r="C34" s="39" t="n">
        <f aca="false">Model_Baseline!AL105</f>
        <v>652.655142857143</v>
      </c>
      <c r="D34" s="39" t="n">
        <f aca="false">Model_Aggressive!AL105</f>
        <v>1052.36858181818</v>
      </c>
      <c r="E34" s="40" t="n">
        <f aca="false">Model_No_Partner!AL105</f>
        <v>652.655142857143</v>
      </c>
    </row>
    <row r="35" customFormat="false" ht="15" hidden="false" customHeight="false" outlineLevel="0" collapsed="false">
      <c r="A35" s="38" t="s">
        <v>399</v>
      </c>
      <c r="B35" s="47" t="n">
        <f aca="false">IFERROR((SUM(Model_Conservative!AA26:AL26)-SUM(Model_Conservative!AA82:AL82))/SUM(Model_Conservative!AA95:AL95),0)</f>
        <v>113.968570033662</v>
      </c>
      <c r="C35" s="47" t="n">
        <f aca="false">IFERROR((SUM(Model_Baseline!AA26:AL26)-SUM(Model_Baseline!AA82:AL82))/SUM(Model_Baseline!AA95:AL95),0)</f>
        <v>108.879848972736</v>
      </c>
      <c r="D35" s="47" t="n">
        <f aca="false">IFERROR((SUM(Model_Aggressive!AA26:AL26)-SUM(Model_Aggressive!AA82:AL82))/SUM(Model_Aggressive!AA95:AL95),0)</f>
        <v>123.311774786764</v>
      </c>
      <c r="E35" s="48" t="n">
        <f aca="false">IFERROR((SUM(Model_No_Partner!AA26:AL26)-SUM(Model_No_Partner!AA82:AL82))/SUM(Model_No_Partner!AA95:AL95),0)</f>
        <v>95.5086544542062</v>
      </c>
    </row>
    <row r="36" customFormat="false" ht="15" hidden="false" customHeight="false" outlineLevel="0" collapsed="false">
      <c r="A36" s="38" t="s">
        <v>400</v>
      </c>
      <c r="B36" s="49" t="n">
        <f aca="false">IFERROR(Model_Conservative!AL105/((SUM(Model_Conservative!AA26:AL26)-SUM(Model_Conservative!AA82:AL82))/SUM(Model_Conservative!AA95:AL95)),0)</f>
        <v>3.34312833303972</v>
      </c>
      <c r="C36" s="49" t="n">
        <f aca="false">IFERROR(Model_Baseline!AL105/((SUM(Model_Baseline!AA26:AL26)-SUM(Model_Baseline!AA82:AL82))/SUM(Model_Baseline!AA95:AL95)),0)</f>
        <v>5.99426936218996</v>
      </c>
      <c r="D36" s="49" t="n">
        <f aca="false">IFERROR(Model_Aggressive!AL105/((SUM(Model_Aggressive!AA26:AL26)-SUM(Model_Aggressive!AA82:AL82))/SUM(Model_Aggressive!AA95:AL95)),0)</f>
        <v>8.53421000255638</v>
      </c>
      <c r="E36" s="50" t="n">
        <f aca="false">IFERROR(Model_No_Partner!AL105/((SUM(Model_No_Partner!AA26:AL26)-SUM(Model_No_Partner!AA82:AL82))/SUM(Model_No_Partner!AA95:AL95)),0)</f>
        <v>6.83346599935687</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4" min="2" style="0" width="16"/>
    <col collapsed="false" customWidth="true" hidden="false" outlineLevel="0" max="5" min="5" style="0" width="19"/>
  </cols>
  <sheetData>
    <row r="1" customFormat="false" ht="17.35" hidden="false" customHeight="false" outlineLevel="0" collapsed="false">
      <c r="A1" s="4" t="s">
        <v>401</v>
      </c>
    </row>
    <row r="2" customFormat="false" ht="39.75" hidden="false" customHeight="true" outlineLevel="0" collapsed="false">
      <c r="A2" s="5" t="s">
        <v>402</v>
      </c>
      <c r="B2" s="5"/>
      <c r="C2" s="5"/>
      <c r="D2" s="5"/>
      <c r="E2" s="5"/>
      <c r="F2" s="5"/>
    </row>
    <row r="4" customFormat="false" ht="15" hidden="false" customHeight="false" outlineLevel="0" collapsed="false">
      <c r="A4" s="2" t="s">
        <v>403</v>
      </c>
    </row>
    <row r="5" customFormat="false" ht="15" hidden="false" customHeight="false" outlineLevel="0" collapsed="false">
      <c r="A5" s="37" t="s">
        <v>404</v>
      </c>
      <c r="B5" s="37" t="s">
        <v>26</v>
      </c>
      <c r="C5" s="37" t="s">
        <v>27</v>
      </c>
      <c r="D5" s="37" t="s">
        <v>28</v>
      </c>
      <c r="E5" s="37" t="s">
        <v>29</v>
      </c>
    </row>
    <row r="6" customFormat="false" ht="15" hidden="false" customHeight="false" outlineLevel="0" collapsed="false">
      <c r="A6" s="10" t="s">
        <v>197</v>
      </c>
      <c r="B6" s="47" t="n">
        <f aca="false">Assumptions!$D$50</f>
        <v>68</v>
      </c>
      <c r="C6" s="47" t="n">
        <f aca="false">Assumptions!$E$50</f>
        <v>78</v>
      </c>
      <c r="D6" s="47" t="n">
        <f aca="false">Assumptions!$F$50</f>
        <v>88</v>
      </c>
      <c r="E6" s="47" t="n">
        <f aca="false">Assumptions!$G$50</f>
        <v>78</v>
      </c>
    </row>
    <row r="7" customFormat="false" ht="15" hidden="false" customHeight="false" outlineLevel="0" collapsed="false">
      <c r="A7" s="10" t="s">
        <v>405</v>
      </c>
      <c r="B7" s="47" t="n">
        <f aca="false">-Assumptions!$D$50*Assumptions!$D$80</f>
        <v>-2.72</v>
      </c>
      <c r="C7" s="47" t="n">
        <f aca="false">-Assumptions!$E$50*Assumptions!$E$80</f>
        <v>-2.34</v>
      </c>
      <c r="D7" s="47" t="n">
        <f aca="false">-Assumptions!$F$50*Assumptions!$F$80</f>
        <v>-1.936</v>
      </c>
      <c r="E7" s="47" t="n">
        <f aca="false">-Assumptions!$G$50*Assumptions!$G$80</f>
        <v>-2.34</v>
      </c>
    </row>
    <row r="8" customFormat="false" ht="15" hidden="false" customHeight="false" outlineLevel="0" collapsed="false">
      <c r="A8" s="38" t="s">
        <v>406</v>
      </c>
      <c r="B8" s="51" t="n">
        <f aca="false">B6+B7</f>
        <v>65.28</v>
      </c>
      <c r="C8" s="51" t="n">
        <f aca="false">C6+C7</f>
        <v>75.66</v>
      </c>
      <c r="D8" s="51" t="n">
        <f aca="false">D6+D7</f>
        <v>86.064</v>
      </c>
      <c r="E8" s="51" t="n">
        <f aca="false">E6+E7</f>
        <v>75.66</v>
      </c>
    </row>
    <row r="9" customFormat="false" ht="15" hidden="false" customHeight="false" outlineLevel="0" collapsed="false">
      <c r="A9" s="10" t="s">
        <v>407</v>
      </c>
      <c r="B9" s="47" t="n">
        <f aca="false">-Assumptions!$D$50*Assumptions!$D$55</f>
        <v>-20.4</v>
      </c>
      <c r="C9" s="47" t="n">
        <f aca="false">-Assumptions!$E$50*Assumptions!$E$55</f>
        <v>-20.28</v>
      </c>
      <c r="D9" s="47" t="n">
        <f aca="false">-Assumptions!$F$50*Assumptions!$F$55</f>
        <v>-19.36</v>
      </c>
      <c r="E9" s="47" t="n">
        <f aca="false">-Assumptions!$G$50*Assumptions!$G$55</f>
        <v>-20.28</v>
      </c>
    </row>
    <row r="10" customFormat="false" ht="15" hidden="false" customHeight="false" outlineLevel="0" collapsed="false">
      <c r="A10" s="10" t="s">
        <v>408</v>
      </c>
      <c r="B10" s="47" t="n">
        <f aca="false">-Assumptions!$D$56</f>
        <v>-8.5</v>
      </c>
      <c r="C10" s="47" t="n">
        <f aca="false">-Assumptions!$E$56</f>
        <v>-7.5</v>
      </c>
      <c r="D10" s="47" t="n">
        <f aca="false">-Assumptions!$F$56</f>
        <v>-6.5</v>
      </c>
      <c r="E10" s="47" t="n">
        <f aca="false">-Assumptions!$G$56</f>
        <v>-7.5</v>
      </c>
    </row>
    <row r="11" customFormat="false" ht="15" hidden="false" customHeight="false" outlineLevel="0" collapsed="false">
      <c r="A11" s="10" t="s">
        <v>409</v>
      </c>
      <c r="B11" s="47" t="n">
        <f aca="false">-B8*Assumptions!$D$79</f>
        <v>-2.08896</v>
      </c>
      <c r="C11" s="47" t="n">
        <f aca="false">-C8*Assumptions!$E$79</f>
        <v>-2.19414</v>
      </c>
      <c r="D11" s="47" t="n">
        <f aca="false">-D8*Assumptions!$F$79</f>
        <v>-2.323728</v>
      </c>
      <c r="E11" s="47" t="n">
        <f aca="false">-E8*Assumptions!$G$79</f>
        <v>-2.19414</v>
      </c>
    </row>
    <row r="12" customFormat="false" ht="15" hidden="false" customHeight="false" outlineLevel="0" collapsed="false">
      <c r="A12" s="38" t="s">
        <v>410</v>
      </c>
      <c r="B12" s="51" t="n">
        <f aca="false">B8+B9+B10+B11</f>
        <v>34.29104</v>
      </c>
      <c r="C12" s="51" t="n">
        <f aca="false">C8+C9+C10+C11</f>
        <v>45.68586</v>
      </c>
      <c r="D12" s="51" t="n">
        <f aca="false">D8+D9+D10+D11</f>
        <v>57.880272</v>
      </c>
      <c r="E12" s="51" t="n">
        <f aca="false">E8+E9+E10+E11</f>
        <v>45.68586</v>
      </c>
    </row>
    <row r="13" customFormat="false" ht="15" hidden="false" customHeight="false" outlineLevel="0" collapsed="false">
      <c r="A13" s="38" t="s">
        <v>411</v>
      </c>
      <c r="B13" s="52" t="n">
        <f aca="false">IFERROR(B12/B8,0)</f>
        <v>0.525291666666667</v>
      </c>
      <c r="C13" s="52" t="n">
        <f aca="false">IFERROR(C12/C8,0)</f>
        <v>0.603831086439334</v>
      </c>
      <c r="D13" s="52" t="n">
        <f aca="false">IFERROR(D12/D8,0)</f>
        <v>0.672525934188511</v>
      </c>
      <c r="E13" s="52" t="n">
        <f aca="false">IFERROR(E12/E8,0)</f>
        <v>0.603831086439334</v>
      </c>
    </row>
    <row r="14" customFormat="false" ht="15" hidden="false" customHeight="false" outlineLevel="0" collapsed="false">
      <c r="A14" s="10" t="s">
        <v>204</v>
      </c>
      <c r="B14" s="41" t="n">
        <f aca="false">Assumptions!$D$52</f>
        <v>0.09</v>
      </c>
      <c r="C14" s="41" t="n">
        <f aca="false">Assumptions!$E$52</f>
        <v>0.07</v>
      </c>
      <c r="D14" s="41" t="n">
        <f aca="false">Assumptions!$F$52</f>
        <v>0.055</v>
      </c>
      <c r="E14" s="41" t="n">
        <f aca="false">Assumptions!$G$52</f>
        <v>0.07</v>
      </c>
    </row>
    <row r="15" customFormat="false" ht="15" hidden="false" customHeight="false" outlineLevel="0" collapsed="false">
      <c r="A15" s="10" t="s">
        <v>412</v>
      </c>
      <c r="B15" s="49" t="n">
        <f aca="false">1/Assumptions!$D$52</f>
        <v>11.1111111111111</v>
      </c>
      <c r="C15" s="49" t="n">
        <f aca="false">1/Assumptions!$E$52</f>
        <v>14.2857142857143</v>
      </c>
      <c r="D15" s="49" t="n">
        <f aca="false">1/Assumptions!$F$52</f>
        <v>18.1818181818182</v>
      </c>
      <c r="E15" s="49" t="n">
        <f aca="false">1/Assumptions!$G$52</f>
        <v>14.2857142857143</v>
      </c>
    </row>
    <row r="16" customFormat="false" ht="15" hidden="false" customHeight="false" outlineLevel="0" collapsed="false">
      <c r="A16" s="38" t="s">
        <v>413</v>
      </c>
      <c r="B16" s="53" t="n">
        <f aca="false">B12/Assumptions!$D$52</f>
        <v>381.011555555556</v>
      </c>
      <c r="C16" s="53" t="n">
        <f aca="false">C12/Assumptions!$E$52</f>
        <v>652.655142857143</v>
      </c>
      <c r="D16" s="53" t="n">
        <f aca="false">D12/Assumptions!$F$52</f>
        <v>1052.36858181818</v>
      </c>
      <c r="E16" s="53" t="n">
        <f aca="false">E12/Assumptions!$G$52</f>
        <v>652.655142857143</v>
      </c>
    </row>
    <row r="19" customFormat="false" ht="15" hidden="false" customHeight="false" outlineLevel="0" collapsed="false">
      <c r="A19" s="2" t="s">
        <v>414</v>
      </c>
    </row>
    <row r="20" customFormat="false" ht="15" hidden="false" customHeight="false" outlineLevel="0" collapsed="false">
      <c r="A20" s="37" t="s">
        <v>404</v>
      </c>
      <c r="B20" s="37" t="s">
        <v>26</v>
      </c>
      <c r="C20" s="37" t="s">
        <v>27</v>
      </c>
      <c r="D20" s="37" t="s">
        <v>28</v>
      </c>
      <c r="E20" s="37" t="s">
        <v>29</v>
      </c>
    </row>
    <row r="21" customFormat="false" ht="15" hidden="false" customHeight="false" outlineLevel="0" collapsed="false">
      <c r="A21" s="10" t="s">
        <v>415</v>
      </c>
      <c r="B21" s="47" t="n">
        <f aca="false">Assumptions!$D$70</f>
        <v>199</v>
      </c>
      <c r="C21" s="47" t="n">
        <f aca="false">Assumptions!$E$70</f>
        <v>249</v>
      </c>
      <c r="D21" s="47" t="n">
        <f aca="false">Assumptions!$F$70</f>
        <v>299</v>
      </c>
      <c r="E21" s="47" t="n">
        <f aca="false">Assumptions!$G$70</f>
        <v>249</v>
      </c>
    </row>
    <row r="22" customFormat="false" ht="15" hidden="false" customHeight="false" outlineLevel="0" collapsed="false">
      <c r="A22" s="10" t="s">
        <v>405</v>
      </c>
      <c r="B22" s="47" t="n">
        <f aca="false">-Assumptions!$D$70*Assumptions!$D$80</f>
        <v>-7.96</v>
      </c>
      <c r="C22" s="47" t="n">
        <f aca="false">-Assumptions!$E$70*Assumptions!$E$80</f>
        <v>-7.47</v>
      </c>
      <c r="D22" s="47" t="n">
        <f aca="false">-Assumptions!$F$70*Assumptions!$F$80</f>
        <v>-6.578</v>
      </c>
      <c r="E22" s="47" t="n">
        <f aca="false">-Assumptions!$G$70*Assumptions!$G$80</f>
        <v>-7.47</v>
      </c>
    </row>
    <row r="23" customFormat="false" ht="15" hidden="false" customHeight="false" outlineLevel="0" collapsed="false">
      <c r="A23" s="38" t="s">
        <v>416</v>
      </c>
      <c r="B23" s="51" t="n">
        <f aca="false">B21+B22</f>
        <v>191.04</v>
      </c>
      <c r="C23" s="51" t="n">
        <f aca="false">C21+C22</f>
        <v>241.53</v>
      </c>
      <c r="D23" s="51" t="n">
        <f aca="false">D21+D22</f>
        <v>292.422</v>
      </c>
      <c r="E23" s="51" t="n">
        <f aca="false">E21+E22</f>
        <v>241.53</v>
      </c>
    </row>
    <row r="24" customFormat="false" ht="15" hidden="false" customHeight="false" outlineLevel="0" collapsed="false">
      <c r="A24" s="10" t="s">
        <v>417</v>
      </c>
      <c r="B24" s="47" t="n">
        <f aca="false">-Assumptions!$D$73</f>
        <v>-105</v>
      </c>
      <c r="C24" s="47" t="n">
        <f aca="false">-Assumptions!$E$73</f>
        <v>-88</v>
      </c>
      <c r="D24" s="47" t="n">
        <f aca="false">-Assumptions!$F$73</f>
        <v>-75</v>
      </c>
      <c r="E24" s="47" t="n">
        <f aca="false">-Assumptions!$G$73</f>
        <v>-88</v>
      </c>
    </row>
    <row r="25" customFormat="false" ht="15" hidden="false" customHeight="false" outlineLevel="0" collapsed="false">
      <c r="A25" s="10" t="s">
        <v>418</v>
      </c>
      <c r="B25" s="47" t="n">
        <f aca="false">-Assumptions!$D$75</f>
        <v>-10</v>
      </c>
      <c r="C25" s="47" t="n">
        <f aca="false">-Assumptions!$E$75</f>
        <v>-8</v>
      </c>
      <c r="D25" s="47" t="n">
        <f aca="false">-Assumptions!$F$75</f>
        <v>-6.5</v>
      </c>
      <c r="E25" s="47" t="n">
        <f aca="false">-Assumptions!$G$75</f>
        <v>-8</v>
      </c>
    </row>
    <row r="26" customFormat="false" ht="15" hidden="false" customHeight="false" outlineLevel="0" collapsed="false">
      <c r="A26" s="10" t="s">
        <v>419</v>
      </c>
      <c r="B26" s="47" t="n">
        <f aca="false">-Assumptions!$D$76</f>
        <v>-22</v>
      </c>
      <c r="C26" s="47" t="n">
        <f aca="false">-Assumptions!$E$76</f>
        <v>-18</v>
      </c>
      <c r="D26" s="47" t="n">
        <f aca="false">-Assumptions!$F$76</f>
        <v>-15</v>
      </c>
      <c r="E26" s="47" t="n">
        <f aca="false">-Assumptions!$G$76</f>
        <v>-18</v>
      </c>
    </row>
    <row r="27" customFormat="false" ht="15" hidden="false" customHeight="false" outlineLevel="0" collapsed="false">
      <c r="A27" s="10" t="s">
        <v>420</v>
      </c>
      <c r="B27" s="47" t="n">
        <f aca="false">-Assumptions!$D$77</f>
        <v>-6</v>
      </c>
      <c r="C27" s="47" t="n">
        <f aca="false">-Assumptions!$E$77</f>
        <v>-4.5</v>
      </c>
      <c r="D27" s="47" t="n">
        <f aca="false">-Assumptions!$F$77</f>
        <v>-3.5</v>
      </c>
      <c r="E27" s="47" t="n">
        <f aca="false">-Assumptions!$G$77</f>
        <v>-4.5</v>
      </c>
    </row>
    <row r="28" customFormat="false" ht="15" hidden="false" customHeight="false" outlineLevel="0" collapsed="false">
      <c r="A28" s="10" t="s">
        <v>409</v>
      </c>
      <c r="B28" s="47" t="n">
        <f aca="false">-B23*Assumptions!$D$79</f>
        <v>-6.11328</v>
      </c>
      <c r="C28" s="47" t="n">
        <f aca="false">-C23*Assumptions!$E$79</f>
        <v>-7.00437</v>
      </c>
      <c r="D28" s="47" t="n">
        <f aca="false">-D23*Assumptions!$F$79</f>
        <v>-7.895394</v>
      </c>
      <c r="E28" s="47" t="n">
        <f aca="false">-E23*Assumptions!$G$79</f>
        <v>-7.00437</v>
      </c>
    </row>
    <row r="29" customFormat="false" ht="15" hidden="false" customHeight="false" outlineLevel="0" collapsed="false">
      <c r="A29" s="38" t="s">
        <v>421</v>
      </c>
      <c r="B29" s="51" t="n">
        <f aca="false">B23+B24+B25+B26+B27+B28</f>
        <v>41.92672</v>
      </c>
      <c r="C29" s="51" t="n">
        <f aca="false">C23+C24+C25+C26+C27+C28</f>
        <v>116.02563</v>
      </c>
      <c r="D29" s="51" t="n">
        <f aca="false">D23+D24+D25+D26+D27+D28</f>
        <v>184.526606</v>
      </c>
      <c r="E29" s="51" t="n">
        <f aca="false">E23+E24+E25+E26+E27+E28</f>
        <v>116.02563</v>
      </c>
    </row>
    <row r="30" customFormat="false" ht="15" hidden="false" customHeight="false" outlineLevel="0" collapsed="false">
      <c r="A30" s="38" t="s">
        <v>411</v>
      </c>
      <c r="B30" s="52" t="n">
        <f aca="false">IFERROR(B29/B23,0)</f>
        <v>0.219465661641541</v>
      </c>
      <c r="C30" s="52" t="n">
        <f aca="false">IFERROR(C29/C23,0)</f>
        <v>0.480377717053782</v>
      </c>
      <c r="D30" s="52" t="n">
        <f aca="false">IFERROR(D29/D23,0)</f>
        <v>0.631028465710514</v>
      </c>
      <c r="E30" s="52" t="n">
        <f aca="false">IFERROR(E29/E23,0)</f>
        <v>0.480377717053782</v>
      </c>
    </row>
    <row r="31" customFormat="false" ht="15" hidden="false" customHeight="false" outlineLevel="0" collapsed="false">
      <c r="A31" s="10" t="s">
        <v>422</v>
      </c>
      <c r="B31" s="41" t="n">
        <f aca="false">Assumptions!$D$68</f>
        <v>0.13</v>
      </c>
      <c r="C31" s="41" t="n">
        <f aca="false">Assumptions!$E$68</f>
        <v>0.11</v>
      </c>
      <c r="D31" s="41" t="n">
        <f aca="false">Assumptions!$F$68</f>
        <v>0.095</v>
      </c>
      <c r="E31" s="41" t="n">
        <f aca="false">Assumptions!$G$68</f>
        <v>0.11</v>
      </c>
    </row>
    <row r="32" customFormat="false" ht="15" hidden="false" customHeight="false" outlineLevel="0" collapsed="false">
      <c r="A32" s="10" t="s">
        <v>423</v>
      </c>
      <c r="B32" s="49" t="n">
        <f aca="false">1/Assumptions!$D$68</f>
        <v>7.69230769230769</v>
      </c>
      <c r="C32" s="49" t="n">
        <f aca="false">1/Assumptions!$E$68</f>
        <v>9.09090909090909</v>
      </c>
      <c r="D32" s="49" t="n">
        <f aca="false">1/Assumptions!$F$68</f>
        <v>10.5263157894737</v>
      </c>
      <c r="E32" s="49" t="n">
        <f aca="false">1/Assumptions!$G$68</f>
        <v>9.09090909090909</v>
      </c>
    </row>
    <row r="33" customFormat="false" ht="15" hidden="false" customHeight="false" outlineLevel="0" collapsed="false">
      <c r="A33" s="38" t="s">
        <v>424</v>
      </c>
      <c r="B33" s="53" t="n">
        <f aca="false">B29/Assumptions!$D$68</f>
        <v>322.513230769231</v>
      </c>
      <c r="C33" s="53" t="n">
        <f aca="false">C29/Assumptions!$E$68</f>
        <v>1054.77845454545</v>
      </c>
      <c r="D33" s="53" t="n">
        <f aca="false">D29/Assumptions!$F$68</f>
        <v>1942.38532631579</v>
      </c>
      <c r="E33" s="53" t="n">
        <f aca="false">E29/Assumptions!$G$68</f>
        <v>1054.77845454545</v>
      </c>
    </row>
    <row r="36" customFormat="false" ht="15" hidden="false" customHeight="false" outlineLevel="0" collapsed="false">
      <c r="A36" s="2" t="s">
        <v>425</v>
      </c>
    </row>
    <row r="37" customFormat="false" ht="15" hidden="false" customHeight="false" outlineLevel="0" collapsed="false">
      <c r="A37" s="37" t="s">
        <v>404</v>
      </c>
      <c r="B37" s="37" t="s">
        <v>26</v>
      </c>
      <c r="C37" s="37" t="s">
        <v>27</v>
      </c>
      <c r="D37" s="37" t="s">
        <v>28</v>
      </c>
      <c r="E37" s="37" t="s">
        <v>29</v>
      </c>
    </row>
    <row r="38" customFormat="false" ht="15" hidden="false" customHeight="false" outlineLevel="0" collapsed="false">
      <c r="A38" s="10" t="s">
        <v>426</v>
      </c>
      <c r="B38" s="47" t="n">
        <f aca="false">Assumptions!$D$71</f>
        <v>49</v>
      </c>
      <c r="C38" s="47" t="n">
        <f aca="false">Assumptions!$E$71</f>
        <v>59</v>
      </c>
      <c r="D38" s="47" t="n">
        <f aca="false">Assumptions!$F$71</f>
        <v>79</v>
      </c>
      <c r="E38" s="47" t="n">
        <f aca="false">Assumptions!$G$71</f>
        <v>59</v>
      </c>
    </row>
    <row r="39" customFormat="false" ht="15" hidden="false" customHeight="false" outlineLevel="0" collapsed="false">
      <c r="A39" s="10" t="s">
        <v>427</v>
      </c>
      <c r="B39" s="47" t="n">
        <f aca="false">-Assumptions!$D$74</f>
        <v>-45</v>
      </c>
      <c r="C39" s="47" t="n">
        <f aca="false">-Assumptions!$E$74</f>
        <v>-38</v>
      </c>
      <c r="D39" s="47" t="n">
        <f aca="false">-Assumptions!$F$74</f>
        <v>-32</v>
      </c>
      <c r="E39" s="47" t="n">
        <f aca="false">-Assumptions!$G$74</f>
        <v>-38</v>
      </c>
    </row>
    <row r="40" customFormat="false" ht="15" hidden="false" customHeight="false" outlineLevel="0" collapsed="false">
      <c r="A40" s="38" t="s">
        <v>428</v>
      </c>
      <c r="B40" s="51" t="n">
        <f aca="false">B38+B39</f>
        <v>4</v>
      </c>
      <c r="C40" s="51" t="n">
        <f aca="false">C38+C39</f>
        <v>21</v>
      </c>
      <c r="D40" s="51" t="n">
        <f aca="false">D38+D39</f>
        <v>47</v>
      </c>
      <c r="E40" s="51" t="n">
        <f aca="false">E38+E39</f>
        <v>21</v>
      </c>
    </row>
    <row r="41" customFormat="false" ht="15" hidden="false" customHeight="false" outlineLevel="0" collapsed="false">
      <c r="A41" s="10" t="s">
        <v>429</v>
      </c>
      <c r="B41" s="49" t="n">
        <f aca="false">1/Assumptions!$D$67</f>
        <v>1.72413793103448</v>
      </c>
      <c r="C41" s="49" t="n">
        <f aca="false">1/Assumptions!$E$67</f>
        <v>1.51515151515152</v>
      </c>
      <c r="D41" s="49" t="n">
        <f aca="false">1/Assumptions!$F$67</f>
        <v>1.42857142857143</v>
      </c>
      <c r="E41" s="49" t="n">
        <f aca="false">1/Assumptions!$G$67</f>
        <v>1.51515151515152</v>
      </c>
    </row>
    <row r="42" customFormat="false" ht="15" hidden="false" customHeight="false" outlineLevel="0" collapsed="false">
      <c r="A42" s="38" t="s">
        <v>430</v>
      </c>
      <c r="B42" s="51" t="n">
        <f aca="false">B40*B41</f>
        <v>6.89655172413793</v>
      </c>
      <c r="C42" s="51" t="n">
        <f aca="false">C40*C41</f>
        <v>31.8181818181818</v>
      </c>
      <c r="D42" s="51" t="n">
        <f aca="false">D40*D41</f>
        <v>67.1428571428571</v>
      </c>
      <c r="E42" s="51" t="n">
        <f aca="false">E40*E41</f>
        <v>31.8181818181818</v>
      </c>
    </row>
    <row r="45" customFormat="false" ht="15" hidden="false" customHeight="false" outlineLevel="0" collapsed="false">
      <c r="A45" s="2" t="s">
        <v>431</v>
      </c>
    </row>
    <row r="46" customFormat="false" ht="45.75" hidden="false" customHeight="true" outlineLevel="0" collapsed="false">
      <c r="A46" s="54" t="s">
        <v>432</v>
      </c>
      <c r="B46" s="54"/>
      <c r="C46" s="54"/>
      <c r="D46" s="54"/>
      <c r="E46" s="54"/>
    </row>
    <row r="47" customFormat="false" ht="45.75" hidden="false" customHeight="true" outlineLevel="0" collapsed="false">
      <c r="A47" s="54" t="s">
        <v>433</v>
      </c>
      <c r="B47" s="54"/>
      <c r="C47" s="54"/>
      <c r="D47" s="54"/>
      <c r="E47" s="54"/>
    </row>
    <row r="48" customFormat="false" ht="45.75" hidden="false" customHeight="true" outlineLevel="0" collapsed="false">
      <c r="A48" s="54" t="s">
        <v>434</v>
      </c>
      <c r="B48" s="54"/>
      <c r="C48" s="54"/>
      <c r="D48" s="54"/>
      <c r="E48" s="54"/>
    </row>
    <row r="49" customFormat="false" ht="45.75" hidden="false" customHeight="true" outlineLevel="0" collapsed="false">
      <c r="A49" s="54" t="s">
        <v>435</v>
      </c>
      <c r="B49" s="54"/>
      <c r="C49" s="54"/>
      <c r="D49" s="54"/>
      <c r="E49" s="54"/>
    </row>
    <row r="50" customFormat="false" ht="45.75" hidden="false" customHeight="true" outlineLevel="0" collapsed="false">
      <c r="A50" s="54" t="s">
        <v>436</v>
      </c>
      <c r="B50" s="54"/>
      <c r="C50" s="54"/>
      <c r="D50" s="54"/>
      <c r="E50" s="54"/>
    </row>
  </sheetData>
  <mergeCells count="6">
    <mergeCell ref="A2:F2"/>
    <mergeCell ref="A46:E46"/>
    <mergeCell ref="A47:E47"/>
    <mergeCell ref="A48:E48"/>
    <mergeCell ref="A49:E49"/>
    <mergeCell ref="A50:E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8" min="2" style="0" width="14"/>
  </cols>
  <sheetData>
    <row r="1" customFormat="false" ht="17.35" hidden="false" customHeight="false" outlineLevel="0" collapsed="false">
      <c r="A1" s="4" t="s">
        <v>437</v>
      </c>
    </row>
    <row r="2" customFormat="false" ht="30" hidden="false" customHeight="true" outlineLevel="0" collapsed="false">
      <c r="A2" s="5" t="s">
        <v>438</v>
      </c>
      <c r="B2" s="5"/>
      <c r="C2" s="5"/>
      <c r="D2" s="5"/>
      <c r="E2" s="5"/>
      <c r="F2" s="5"/>
      <c r="G2" s="5"/>
      <c r="H2" s="5"/>
    </row>
    <row r="4" customFormat="false" ht="15" hidden="false" customHeight="false" outlineLevel="0" collapsed="false">
      <c r="A4" s="2" t="s">
        <v>439</v>
      </c>
    </row>
    <row r="5" customFormat="false" ht="15" hidden="false" customHeight="false" outlineLevel="0" collapsed="false">
      <c r="A5" s="38" t="s">
        <v>440</v>
      </c>
      <c r="D5" s="47" t="n">
        <f aca="false">Assumptions!$E$70*(1-Assumptions!$E$80)*(1-Assumptions!$E$79)-Assumptions!$E$73-Assumptions!$E$75-Assumptions!$E$76-Assumptions!$E$77</f>
        <v>116.02563</v>
      </c>
    </row>
    <row r="6" customFormat="false" ht="15" hidden="false" customHeight="false" outlineLevel="0" collapsed="false">
      <c r="A6" s="55" t="s">
        <v>441</v>
      </c>
    </row>
    <row r="8" customFormat="false" ht="15" hidden="false" customHeight="false" outlineLevel="0" collapsed="false">
      <c r="A8" s="37" t="s">
        <v>442</v>
      </c>
      <c r="B8" s="56" t="n">
        <v>150</v>
      </c>
      <c r="C8" s="56" t="n">
        <v>250</v>
      </c>
      <c r="D8" s="56" t="n">
        <v>350</v>
      </c>
      <c r="E8" s="56" t="n">
        <v>450</v>
      </c>
      <c r="F8" s="56" t="n">
        <v>600</v>
      </c>
      <c r="G8" s="56" t="n">
        <v>800</v>
      </c>
    </row>
    <row r="9" customFormat="false" ht="15" hidden="false" customHeight="false" outlineLevel="0" collapsed="false">
      <c r="A9" s="52" t="n">
        <v>0.08</v>
      </c>
      <c r="B9" s="57" t="n">
        <f aca="false">($D$5/$A9)/B$8</f>
        <v>9.6688025</v>
      </c>
      <c r="C9" s="57" t="n">
        <f aca="false">($D$5/$A9)/C$8</f>
        <v>5.8012815</v>
      </c>
      <c r="D9" s="57" t="n">
        <f aca="false">($D$5/$A9)/D$8</f>
        <v>4.1437725</v>
      </c>
      <c r="E9" s="57" t="n">
        <f aca="false">($D$5/$A9)/E$8</f>
        <v>3.22293416666667</v>
      </c>
      <c r="F9" s="57" t="n">
        <f aca="false">($D$5/$A9)/F$8</f>
        <v>2.417200625</v>
      </c>
      <c r="G9" s="57" t="n">
        <f aca="false">($D$5/$A9)/G$8</f>
        <v>1.81290046875</v>
      </c>
    </row>
    <row r="10" customFormat="false" ht="15" hidden="false" customHeight="false" outlineLevel="0" collapsed="false">
      <c r="A10" s="52" t="n">
        <v>0.095</v>
      </c>
      <c r="B10" s="57" t="n">
        <f aca="false">($D$5/$A10)/B$8</f>
        <v>8.14214947368421</v>
      </c>
      <c r="C10" s="57" t="n">
        <f aca="false">($D$5/$A10)/C$8</f>
        <v>4.88528968421053</v>
      </c>
      <c r="D10" s="57" t="n">
        <f aca="false">($D$5/$A10)/D$8</f>
        <v>3.48949263157895</v>
      </c>
      <c r="E10" s="57" t="n">
        <f aca="false">($D$5/$A10)/E$8</f>
        <v>2.7140498245614</v>
      </c>
      <c r="F10" s="57" t="n">
        <f aca="false">($D$5/$A10)/F$8</f>
        <v>2.03553736842105</v>
      </c>
      <c r="G10" s="57" t="n">
        <f aca="false">($D$5/$A10)/G$8</f>
        <v>1.52665302631579</v>
      </c>
    </row>
    <row r="11" customFormat="false" ht="15" hidden="false" customHeight="false" outlineLevel="0" collapsed="false">
      <c r="A11" s="52" t="n">
        <v>0.11</v>
      </c>
      <c r="B11" s="57" t="n">
        <f aca="false">($D$5/$A11)/B$8</f>
        <v>7.03185636363637</v>
      </c>
      <c r="C11" s="57" t="n">
        <f aca="false">($D$5/$A11)/C$8</f>
        <v>4.21911381818182</v>
      </c>
      <c r="D11" s="57" t="n">
        <f aca="false">($D$5/$A11)/D$8</f>
        <v>3.01365272727273</v>
      </c>
      <c r="E11" s="57" t="n">
        <f aca="false">($D$5/$A11)/E$8</f>
        <v>2.34395212121212</v>
      </c>
      <c r="F11" s="57" t="n">
        <f aca="false">($D$5/$A11)/F$8</f>
        <v>1.75796409090909</v>
      </c>
      <c r="G11" s="57" t="n">
        <f aca="false">($D$5/$A11)/G$8</f>
        <v>1.31847306818182</v>
      </c>
    </row>
    <row r="12" customFormat="false" ht="15" hidden="false" customHeight="false" outlineLevel="0" collapsed="false">
      <c r="A12" s="52" t="n">
        <v>0.13</v>
      </c>
      <c r="B12" s="57" t="n">
        <f aca="false">($D$5/$A12)/B$8</f>
        <v>5.95003230769231</v>
      </c>
      <c r="C12" s="57" t="n">
        <f aca="false">($D$5/$A12)/C$8</f>
        <v>3.57001938461538</v>
      </c>
      <c r="D12" s="57" t="n">
        <f aca="false">($D$5/$A12)/D$8</f>
        <v>2.55001384615385</v>
      </c>
      <c r="E12" s="57" t="n">
        <f aca="false">($D$5/$A12)/E$8</f>
        <v>1.9833441025641</v>
      </c>
      <c r="F12" s="57" t="n">
        <f aca="false">($D$5/$A12)/F$8</f>
        <v>1.48750807692308</v>
      </c>
      <c r="G12" s="57" t="n">
        <f aca="false">($D$5/$A12)/G$8</f>
        <v>1.11563105769231</v>
      </c>
    </row>
    <row r="13" customFormat="false" ht="15" hidden="false" customHeight="false" outlineLevel="0" collapsed="false">
      <c r="A13" s="52" t="n">
        <v>0.15</v>
      </c>
      <c r="B13" s="57" t="n">
        <f aca="false">($D$5/$A13)/B$8</f>
        <v>5.15669466666667</v>
      </c>
      <c r="C13" s="57" t="n">
        <f aca="false">($D$5/$A13)/C$8</f>
        <v>3.0940168</v>
      </c>
      <c r="D13" s="57" t="n">
        <f aca="false">($D$5/$A13)/D$8</f>
        <v>2.210012</v>
      </c>
      <c r="E13" s="57" t="n">
        <f aca="false">($D$5/$A13)/E$8</f>
        <v>1.71889822222222</v>
      </c>
      <c r="F13" s="57" t="n">
        <f aca="false">($D$5/$A13)/F$8</f>
        <v>1.28917366666667</v>
      </c>
      <c r="G13" s="57" t="n">
        <f aca="false">($D$5/$A13)/G$8</f>
        <v>0.96688025</v>
      </c>
    </row>
    <row r="14" customFormat="false" ht="15" hidden="false" customHeight="false" outlineLevel="0" collapsed="false">
      <c r="A14" s="52" t="n">
        <v>0.18</v>
      </c>
      <c r="B14" s="57" t="n">
        <f aca="false">($D$5/$A14)/B$8</f>
        <v>4.29724555555556</v>
      </c>
      <c r="C14" s="57" t="n">
        <f aca="false">($D$5/$A14)/C$8</f>
        <v>2.57834733333333</v>
      </c>
      <c r="D14" s="57" t="n">
        <f aca="false">($D$5/$A14)/D$8</f>
        <v>1.84167666666667</v>
      </c>
      <c r="E14" s="57" t="n">
        <f aca="false">($D$5/$A14)/E$8</f>
        <v>1.43241518518519</v>
      </c>
      <c r="F14" s="57" t="n">
        <f aca="false">($D$5/$A14)/F$8</f>
        <v>1.07431138888889</v>
      </c>
      <c r="G14" s="57" t="n">
        <f aca="false">($D$5/$A14)/G$8</f>
        <v>0.805733541666667</v>
      </c>
    </row>
    <row r="15" customFormat="false" ht="30" hidden="false" customHeight="true" outlineLevel="0" collapsed="false">
      <c r="A15" s="58" t="s">
        <v>443</v>
      </c>
      <c r="B15" s="58"/>
      <c r="C15" s="58"/>
      <c r="D15" s="58"/>
      <c r="E15" s="58"/>
      <c r="F15" s="58"/>
      <c r="G15" s="58"/>
      <c r="H15" s="58"/>
    </row>
    <row r="18" customFormat="false" ht="15" hidden="false" customHeight="false" outlineLevel="0" collapsed="false">
      <c r="A18" s="2" t="s">
        <v>444</v>
      </c>
    </row>
    <row r="19" customFormat="false" ht="15" hidden="false" customHeight="false" outlineLevel="0" collapsed="false">
      <c r="A19" s="59" t="s">
        <v>445</v>
      </c>
      <c r="B19" s="59"/>
      <c r="C19" s="59"/>
      <c r="D19" s="59"/>
      <c r="E19" s="59"/>
      <c r="F19" s="59"/>
      <c r="G19" s="59"/>
      <c r="H19" s="59"/>
    </row>
    <row r="21" customFormat="false" ht="15" hidden="false" customHeight="false" outlineLevel="0" collapsed="false">
      <c r="A21" s="37" t="s">
        <v>446</v>
      </c>
      <c r="B21" s="60" t="n">
        <v>0.002</v>
      </c>
      <c r="C21" s="60" t="n">
        <v>0.0035</v>
      </c>
      <c r="D21" s="60" t="n">
        <v>0.006</v>
      </c>
      <c r="E21" s="60" t="n">
        <v>0.009</v>
      </c>
      <c r="F21" s="60" t="n">
        <v>0.013</v>
      </c>
    </row>
    <row r="22" customFormat="false" ht="15" hidden="false" customHeight="false" outlineLevel="0" collapsed="false">
      <c r="A22" s="52" t="n">
        <v>0.02</v>
      </c>
      <c r="B22" s="61" t="n">
        <f aca="false">Assumptions!$E$9*Assumptions!$E$10*$A22*B$21*(Assumptions!$E$14+(1-Assumptions!$E$14)*Assumptions!$E$13^(12-Assumptions!$E$6))</f>
        <v>1879.50618601062</v>
      </c>
      <c r="C22" s="61" t="n">
        <f aca="false">Assumptions!$E$9*Assumptions!$E$10*$A22*C$21*(Assumptions!$E$14+(1-Assumptions!$E$14)*Assumptions!$E$13^(12-Assumptions!$E$6))</f>
        <v>3289.13582551859</v>
      </c>
      <c r="D22" s="61" t="n">
        <f aca="false">Assumptions!$E$9*Assumptions!$E$10*$A22*D$21*(Assumptions!$E$14+(1-Assumptions!$E$14)*Assumptions!$E$13^(12-Assumptions!$E$6))</f>
        <v>5638.51855803187</v>
      </c>
      <c r="E22" s="61" t="n">
        <f aca="false">Assumptions!$E$9*Assumptions!$E$10*$A22*E$21*(Assumptions!$E$14+(1-Assumptions!$E$14)*Assumptions!$E$13^(12-Assumptions!$E$6))</f>
        <v>8457.77783704781</v>
      </c>
      <c r="F22" s="61" t="n">
        <f aca="false">Assumptions!$E$9*Assumptions!$E$10*$A22*F$21*(Assumptions!$E$14+(1-Assumptions!$E$14)*Assumptions!$E$13^(12-Assumptions!$E$6))</f>
        <v>12216.7902090691</v>
      </c>
    </row>
    <row r="23" customFormat="false" ht="15" hidden="false" customHeight="false" outlineLevel="0" collapsed="false">
      <c r="A23" s="52" t="n">
        <v>0.04</v>
      </c>
      <c r="B23" s="61" t="n">
        <f aca="false">Assumptions!$E$9*Assumptions!$E$10*$A23*B$21*(Assumptions!$E$14+(1-Assumptions!$E$14)*Assumptions!$E$13^(12-Assumptions!$E$6))</f>
        <v>3759.01237202125</v>
      </c>
      <c r="C23" s="61" t="n">
        <f aca="false">Assumptions!$E$9*Assumptions!$E$10*$A23*C$21*(Assumptions!$E$14+(1-Assumptions!$E$14)*Assumptions!$E$13^(12-Assumptions!$E$6))</f>
        <v>6578.27165103719</v>
      </c>
      <c r="D23" s="61" t="n">
        <f aca="false">Assumptions!$E$9*Assumptions!$E$10*$A23*D$21*(Assumptions!$E$14+(1-Assumptions!$E$14)*Assumptions!$E$13^(12-Assumptions!$E$6))</f>
        <v>11277.0371160637</v>
      </c>
      <c r="E23" s="61" t="n">
        <f aca="false">Assumptions!$E$9*Assumptions!$E$10*$A23*E$21*(Assumptions!$E$14+(1-Assumptions!$E$14)*Assumptions!$E$13^(12-Assumptions!$E$6))</f>
        <v>16915.5556740956</v>
      </c>
      <c r="F23" s="61" t="n">
        <f aca="false">Assumptions!$E$9*Assumptions!$E$10*$A23*F$21*(Assumptions!$E$14+(1-Assumptions!$E$14)*Assumptions!$E$13^(12-Assumptions!$E$6))</f>
        <v>24433.5804181381</v>
      </c>
    </row>
    <row r="24" customFormat="false" ht="15" hidden="false" customHeight="false" outlineLevel="0" collapsed="false">
      <c r="A24" s="52" t="n">
        <v>0.07</v>
      </c>
      <c r="B24" s="61" t="n">
        <f aca="false">Assumptions!$E$9*Assumptions!$E$10*$A24*B$21*(Assumptions!$E$14+(1-Assumptions!$E$14)*Assumptions!$E$13^(12-Assumptions!$E$6))</f>
        <v>6578.27165103719</v>
      </c>
      <c r="C24" s="61" t="n">
        <f aca="false">Assumptions!$E$9*Assumptions!$E$10*$A24*C$21*(Assumptions!$E$14+(1-Assumptions!$E$14)*Assumptions!$E$13^(12-Assumptions!$E$6))</f>
        <v>11511.9753893151</v>
      </c>
      <c r="D24" s="61" t="n">
        <f aca="false">Assumptions!$E$9*Assumptions!$E$10*$A24*D$21*(Assumptions!$E$14+(1-Assumptions!$E$14)*Assumptions!$E$13^(12-Assumptions!$E$6))</f>
        <v>19734.8149531116</v>
      </c>
      <c r="E24" s="61" t="n">
        <f aca="false">Assumptions!$E$9*Assumptions!$E$10*$A24*E$21*(Assumptions!$E$14+(1-Assumptions!$E$14)*Assumptions!$E$13^(12-Assumptions!$E$6))</f>
        <v>29602.2224296673</v>
      </c>
      <c r="F24" s="61" t="n">
        <f aca="false">Assumptions!$E$9*Assumptions!$E$10*$A24*F$21*(Assumptions!$E$14+(1-Assumptions!$E$14)*Assumptions!$E$13^(12-Assumptions!$E$6))</f>
        <v>42758.7657317417</v>
      </c>
    </row>
    <row r="25" customFormat="false" ht="15" hidden="false" customHeight="false" outlineLevel="0" collapsed="false">
      <c r="A25" s="52" t="n">
        <v>0.11</v>
      </c>
      <c r="B25" s="61" t="n">
        <f aca="false">Assumptions!$E$9*Assumptions!$E$10*$A25*B$21*(Assumptions!$E$14+(1-Assumptions!$E$14)*Assumptions!$E$13^(12-Assumptions!$E$6))</f>
        <v>10337.2840230584</v>
      </c>
      <c r="C25" s="61" t="n">
        <f aca="false">Assumptions!$E$9*Assumptions!$E$10*$A25*C$21*(Assumptions!$E$14+(1-Assumptions!$E$14)*Assumptions!$E$13^(12-Assumptions!$E$6))</f>
        <v>18090.2470403523</v>
      </c>
      <c r="D25" s="61" t="n">
        <f aca="false">Assumptions!$E$9*Assumptions!$E$10*$A25*D$21*(Assumptions!$E$14+(1-Assumptions!$E$14)*Assumptions!$E$13^(12-Assumptions!$E$6))</f>
        <v>31011.8520691753</v>
      </c>
      <c r="E25" s="61" t="n">
        <f aca="false">Assumptions!$E$9*Assumptions!$E$10*$A25*E$21*(Assumptions!$E$14+(1-Assumptions!$E$14)*Assumptions!$E$13^(12-Assumptions!$E$6))</f>
        <v>46517.7781037629</v>
      </c>
      <c r="F25" s="61" t="n">
        <f aca="false">Assumptions!$E$9*Assumptions!$E$10*$A25*F$21*(Assumptions!$E$14+(1-Assumptions!$E$14)*Assumptions!$E$13^(12-Assumptions!$E$6))</f>
        <v>67192.3461498798</v>
      </c>
    </row>
    <row r="26" customFormat="false" ht="15" hidden="false" customHeight="false" outlineLevel="0" collapsed="false">
      <c r="A26" s="52" t="n">
        <v>0.15</v>
      </c>
      <c r="B26" s="61" t="n">
        <f aca="false">Assumptions!$E$9*Assumptions!$E$10*$A26*B$21*(Assumptions!$E$14+(1-Assumptions!$E$14)*Assumptions!$E$13^(12-Assumptions!$E$6))</f>
        <v>14096.2963950797</v>
      </c>
      <c r="C26" s="61" t="n">
        <f aca="false">Assumptions!$E$9*Assumptions!$E$10*$A26*C$21*(Assumptions!$E$14+(1-Assumptions!$E$14)*Assumptions!$E$13^(12-Assumptions!$E$6))</f>
        <v>24668.5186913894</v>
      </c>
      <c r="D26" s="61" t="n">
        <f aca="false">Assumptions!$E$9*Assumptions!$E$10*$A26*D$21*(Assumptions!$E$14+(1-Assumptions!$E$14)*Assumptions!$E$13^(12-Assumptions!$E$6))</f>
        <v>42288.889185239</v>
      </c>
      <c r="E26" s="61" t="n">
        <f aca="false">Assumptions!$E$9*Assumptions!$E$10*$A26*E$21*(Assumptions!$E$14+(1-Assumptions!$E$14)*Assumptions!$E$13^(12-Assumptions!$E$6))</f>
        <v>63433.3337778586</v>
      </c>
      <c r="F26" s="61" t="n">
        <f aca="false">Assumptions!$E$9*Assumptions!$E$10*$A26*F$21*(Assumptions!$E$14+(1-Assumptions!$E$14)*Assumptions!$E$13^(12-Assumptions!$E$6))</f>
        <v>91625.9265680179</v>
      </c>
    </row>
    <row r="29" customFormat="false" ht="15" hidden="false" customHeight="false" outlineLevel="0" collapsed="false">
      <c r="A29" s="2" t="s">
        <v>447</v>
      </c>
    </row>
    <row r="30" customFormat="false" ht="15" hidden="false" customHeight="false" outlineLevel="0" collapsed="false">
      <c r="A30" s="59" t="s">
        <v>448</v>
      </c>
      <c r="B30" s="59"/>
      <c r="C30" s="59"/>
      <c r="D30" s="59"/>
      <c r="E30" s="59"/>
      <c r="F30" s="59"/>
      <c r="G30" s="59"/>
      <c r="H30" s="59"/>
    </row>
    <row r="31" customFormat="false" ht="15" hidden="false" customHeight="false" outlineLevel="0" collapsed="false">
      <c r="A31" s="38" t="s">
        <v>449</v>
      </c>
      <c r="E31" s="41" t="n">
        <f aca="false">Summary!C29</f>
        <v>0.769248563870231</v>
      </c>
    </row>
    <row r="33" customFormat="false" ht="15" hidden="false" customHeight="false" outlineLevel="0" collapsed="false">
      <c r="A33" s="37" t="s">
        <v>450</v>
      </c>
      <c r="B33" s="56" t="n">
        <v>60</v>
      </c>
      <c r="C33" s="56" t="n">
        <v>75</v>
      </c>
      <c r="D33" s="56" t="n">
        <v>90</v>
      </c>
      <c r="E33" s="56" t="n">
        <v>105</v>
      </c>
      <c r="F33" s="56" t="n">
        <v>130</v>
      </c>
    </row>
    <row r="34" customFormat="false" ht="15" hidden="false" customHeight="false" outlineLevel="0" collapsed="false">
      <c r="A34" s="52" t="n">
        <v>0.2</v>
      </c>
      <c r="B34" s="62" t="n">
        <f aca="false">$E$31*(1-$A34/(1-Assumptions!$E$80)-Assumptions!$E$56/(Assumptions!$E$50*(1-Assumptions!$E$80))-Assumptions!$E$79)+(1-$E$31)*(1-(B$33+Assumptions!$E$75+Assumptions!$E$76+Assumptions!$E$77)/(Assumptions!$E$70*(1-Assumptions!$E$80))-Assumptions!$E$79)</f>
        <v>0.649676896209463</v>
      </c>
      <c r="C34" s="62" t="n">
        <f aca="false">$E$31*(1-$A34/(1-Assumptions!$E$80)-Assumptions!$E$56/(Assumptions!$E$50*(1-Assumptions!$E$80))-Assumptions!$E$79)+(1-$E$31)*(1-(C$33+Assumptions!$E$75+Assumptions!$E$76+Assumptions!$E$77)/(Assumptions!$E$70*(1-Assumptions!$E$80))-Assumptions!$E$79)</f>
        <v>0.635346289071854</v>
      </c>
      <c r="D34" s="62" t="n">
        <f aca="false">$E$31*(1-$A34/(1-Assumptions!$E$80)-Assumptions!$E$56/(Assumptions!$E$50*(1-Assumptions!$E$80))-Assumptions!$E$79)+(1-$E$31)*(1-(D$33+Assumptions!$E$75+Assumptions!$E$76+Assumptions!$E$77)/(Assumptions!$E$70*(1-Assumptions!$E$80))-Assumptions!$E$79)</f>
        <v>0.621015681934246</v>
      </c>
      <c r="E34" s="62" t="n">
        <f aca="false">$E$31*(1-$A34/(1-Assumptions!$E$80)-Assumptions!$E$56/(Assumptions!$E$50*(1-Assumptions!$E$80))-Assumptions!$E$79)+(1-$E$31)*(1-(E$33+Assumptions!$E$75+Assumptions!$E$76+Assumptions!$E$77)/(Assumptions!$E$70*(1-Assumptions!$E$80))-Assumptions!$E$79)</f>
        <v>0.606685074796638</v>
      </c>
      <c r="F34" s="62" t="n">
        <f aca="false">$E$31*(1-$A34/(1-Assumptions!$E$80)-Assumptions!$E$56/(Assumptions!$E$50*(1-Assumptions!$E$80))-Assumptions!$E$79)+(1-$E$31)*(1-(F$33+Assumptions!$E$75+Assumptions!$E$76+Assumptions!$E$77)/(Assumptions!$E$70*(1-Assumptions!$E$80))-Assumptions!$E$79)</f>
        <v>0.582800729567291</v>
      </c>
    </row>
    <row r="35" customFormat="false" ht="15" hidden="false" customHeight="false" outlineLevel="0" collapsed="false">
      <c r="A35" s="52" t="n">
        <v>0.24</v>
      </c>
      <c r="B35" s="62" t="n">
        <f aca="false">$E$31*(1-$A35/(1-Assumptions!$E$80)-Assumptions!$E$56/(Assumptions!$E$50*(1-Assumptions!$E$80))-Assumptions!$E$79)+(1-$E$31)*(1-(B$33+Assumptions!$E$75+Assumptions!$E$76+Assumptions!$E$77)/(Assumptions!$E$70*(1-Assumptions!$E$80))-Assumptions!$E$79)</f>
        <v>0.617955305946773</v>
      </c>
      <c r="C35" s="62" t="n">
        <f aca="false">$E$31*(1-$A35/(1-Assumptions!$E$80)-Assumptions!$E$56/(Assumptions!$E$50*(1-Assumptions!$E$80))-Assumptions!$E$79)+(1-$E$31)*(1-(C$33+Assumptions!$E$75+Assumptions!$E$76+Assumptions!$E$77)/(Assumptions!$E$70*(1-Assumptions!$E$80))-Assumptions!$E$79)</f>
        <v>0.603624698809165</v>
      </c>
      <c r="D35" s="62" t="n">
        <f aca="false">$E$31*(1-$A35/(1-Assumptions!$E$80)-Assumptions!$E$56/(Assumptions!$E$50*(1-Assumptions!$E$80))-Assumptions!$E$79)+(1-$E$31)*(1-(D$33+Assumptions!$E$75+Assumptions!$E$76+Assumptions!$E$77)/(Assumptions!$E$70*(1-Assumptions!$E$80))-Assumptions!$E$79)</f>
        <v>0.589294091671556</v>
      </c>
      <c r="E35" s="62" t="n">
        <f aca="false">$E$31*(1-$A35/(1-Assumptions!$E$80)-Assumptions!$E$56/(Assumptions!$E$50*(1-Assumptions!$E$80))-Assumptions!$E$79)+(1-$E$31)*(1-(E$33+Assumptions!$E$75+Assumptions!$E$76+Assumptions!$E$77)/(Assumptions!$E$70*(1-Assumptions!$E$80))-Assumptions!$E$79)</f>
        <v>0.574963484533948</v>
      </c>
      <c r="F35" s="62" t="n">
        <f aca="false">$E$31*(1-$A35/(1-Assumptions!$E$80)-Assumptions!$E$56/(Assumptions!$E$50*(1-Assumptions!$E$80))-Assumptions!$E$79)+(1-$E$31)*(1-(F$33+Assumptions!$E$75+Assumptions!$E$76+Assumptions!$E$77)/(Assumptions!$E$70*(1-Assumptions!$E$80))-Assumptions!$E$79)</f>
        <v>0.551079139304601</v>
      </c>
    </row>
    <row r="36" customFormat="false" ht="15" hidden="false" customHeight="false" outlineLevel="0" collapsed="false">
      <c r="A36" s="52" t="n">
        <v>0.28</v>
      </c>
      <c r="B36" s="62" t="n">
        <f aca="false">$E$31*(1-$A36/(1-Assumptions!$E$80)-Assumptions!$E$56/(Assumptions!$E$50*(1-Assumptions!$E$80))-Assumptions!$E$79)+(1-$E$31)*(1-(B$33+Assumptions!$E$75+Assumptions!$E$76+Assumptions!$E$77)/(Assumptions!$E$70*(1-Assumptions!$E$80))-Assumptions!$E$79)</f>
        <v>0.586233715684083</v>
      </c>
      <c r="C36" s="62" t="n">
        <f aca="false">$E$31*(1-$A36/(1-Assumptions!$E$80)-Assumptions!$E$56/(Assumptions!$E$50*(1-Assumptions!$E$80))-Assumptions!$E$79)+(1-$E$31)*(1-(C$33+Assumptions!$E$75+Assumptions!$E$76+Assumptions!$E$77)/(Assumptions!$E$70*(1-Assumptions!$E$80))-Assumptions!$E$79)</f>
        <v>0.571903108546475</v>
      </c>
      <c r="D36" s="62" t="n">
        <f aca="false">$E$31*(1-$A36/(1-Assumptions!$E$80)-Assumptions!$E$56/(Assumptions!$E$50*(1-Assumptions!$E$80))-Assumptions!$E$79)+(1-$E$31)*(1-(D$33+Assumptions!$E$75+Assumptions!$E$76+Assumptions!$E$77)/(Assumptions!$E$70*(1-Assumptions!$E$80))-Assumptions!$E$79)</f>
        <v>0.557572501408866</v>
      </c>
      <c r="E36" s="62" t="n">
        <f aca="false">$E$31*(1-$A36/(1-Assumptions!$E$80)-Assumptions!$E$56/(Assumptions!$E$50*(1-Assumptions!$E$80))-Assumptions!$E$79)+(1-$E$31)*(1-(E$33+Assumptions!$E$75+Assumptions!$E$76+Assumptions!$E$77)/(Assumptions!$E$70*(1-Assumptions!$E$80))-Assumptions!$E$79)</f>
        <v>0.543241894271258</v>
      </c>
      <c r="F36" s="62" t="n">
        <f aca="false">$E$31*(1-$A36/(1-Assumptions!$E$80)-Assumptions!$E$56/(Assumptions!$E$50*(1-Assumptions!$E$80))-Assumptions!$E$79)+(1-$E$31)*(1-(F$33+Assumptions!$E$75+Assumptions!$E$76+Assumptions!$E$77)/(Assumptions!$E$70*(1-Assumptions!$E$80))-Assumptions!$E$79)</f>
        <v>0.519357549041911</v>
      </c>
    </row>
    <row r="37" customFormat="false" ht="15" hidden="false" customHeight="false" outlineLevel="0" collapsed="false">
      <c r="A37" s="52" t="n">
        <v>0.32</v>
      </c>
      <c r="B37" s="62" t="n">
        <f aca="false">$E$31*(1-$A37/(1-Assumptions!$E$80)-Assumptions!$E$56/(Assumptions!$E$50*(1-Assumptions!$E$80))-Assumptions!$E$79)+(1-$E$31)*(1-(B$33+Assumptions!$E$75+Assumptions!$E$76+Assumptions!$E$77)/(Assumptions!$E$70*(1-Assumptions!$E$80))-Assumptions!$E$79)</f>
        <v>0.554512125421393</v>
      </c>
      <c r="C37" s="62" t="n">
        <f aca="false">$E$31*(1-$A37/(1-Assumptions!$E$80)-Assumptions!$E$56/(Assumptions!$E$50*(1-Assumptions!$E$80))-Assumptions!$E$79)+(1-$E$31)*(1-(C$33+Assumptions!$E$75+Assumptions!$E$76+Assumptions!$E$77)/(Assumptions!$E$70*(1-Assumptions!$E$80))-Assumptions!$E$79)</f>
        <v>0.540181518283785</v>
      </c>
      <c r="D37" s="62" t="n">
        <f aca="false">$E$31*(1-$A37/(1-Assumptions!$E$80)-Assumptions!$E$56/(Assumptions!$E$50*(1-Assumptions!$E$80))-Assumptions!$E$79)+(1-$E$31)*(1-(D$33+Assumptions!$E$75+Assumptions!$E$76+Assumptions!$E$77)/(Assumptions!$E$70*(1-Assumptions!$E$80))-Assumptions!$E$79)</f>
        <v>0.525850911146176</v>
      </c>
      <c r="E37" s="62" t="n">
        <f aca="false">$E$31*(1-$A37/(1-Assumptions!$E$80)-Assumptions!$E$56/(Assumptions!$E$50*(1-Assumptions!$E$80))-Assumptions!$E$79)+(1-$E$31)*(1-(E$33+Assumptions!$E$75+Assumptions!$E$76+Assumptions!$E$77)/(Assumptions!$E$70*(1-Assumptions!$E$80))-Assumptions!$E$79)</f>
        <v>0.511520304008568</v>
      </c>
      <c r="F37" s="62" t="n">
        <f aca="false">$E$31*(1-$A37/(1-Assumptions!$E$80)-Assumptions!$E$56/(Assumptions!$E$50*(1-Assumptions!$E$80))-Assumptions!$E$79)+(1-$E$31)*(1-(F$33+Assumptions!$E$75+Assumptions!$E$76+Assumptions!$E$77)/(Assumptions!$E$70*(1-Assumptions!$E$80))-Assumptions!$E$79)</f>
        <v>0.487635958779221</v>
      </c>
    </row>
    <row r="38" customFormat="false" ht="15" hidden="false" customHeight="false" outlineLevel="0" collapsed="false">
      <c r="A38" s="52" t="n">
        <v>0.38</v>
      </c>
      <c r="B38" s="62" t="n">
        <f aca="false">$E$31*(1-$A38/(1-Assumptions!$E$80)-Assumptions!$E$56/(Assumptions!$E$50*(1-Assumptions!$E$80))-Assumptions!$E$79)+(1-$E$31)*(1-(B$33+Assumptions!$E$75+Assumptions!$E$76+Assumptions!$E$77)/(Assumptions!$E$70*(1-Assumptions!$E$80))-Assumptions!$E$79)</f>
        <v>0.506929740027358</v>
      </c>
      <c r="C38" s="62" t="n">
        <f aca="false">$E$31*(1-$A38/(1-Assumptions!$E$80)-Assumptions!$E$56/(Assumptions!$E$50*(1-Assumptions!$E$80))-Assumptions!$E$79)+(1-$E$31)*(1-(C$33+Assumptions!$E$75+Assumptions!$E$76+Assumptions!$E$77)/(Assumptions!$E$70*(1-Assumptions!$E$80))-Assumptions!$E$79)</f>
        <v>0.49259913288975</v>
      </c>
      <c r="D38" s="62" t="n">
        <f aca="false">$E$31*(1-$A38/(1-Assumptions!$E$80)-Assumptions!$E$56/(Assumptions!$E$50*(1-Assumptions!$E$80))-Assumptions!$E$79)+(1-$E$31)*(1-(D$33+Assumptions!$E$75+Assumptions!$E$76+Assumptions!$E$77)/(Assumptions!$E$70*(1-Assumptions!$E$80))-Assumptions!$E$79)</f>
        <v>0.478268525752141</v>
      </c>
      <c r="E38" s="62" t="n">
        <f aca="false">$E$31*(1-$A38/(1-Assumptions!$E$80)-Assumptions!$E$56/(Assumptions!$E$50*(1-Assumptions!$E$80))-Assumptions!$E$79)+(1-$E$31)*(1-(E$33+Assumptions!$E$75+Assumptions!$E$76+Assumptions!$E$77)/(Assumptions!$E$70*(1-Assumptions!$E$80))-Assumptions!$E$79)</f>
        <v>0.463937918614533</v>
      </c>
      <c r="F38" s="62" t="n">
        <f aca="false">$E$31*(1-$A38/(1-Assumptions!$E$80)-Assumptions!$E$56/(Assumptions!$E$50*(1-Assumptions!$E$80))-Assumptions!$E$79)+(1-$E$31)*(1-(F$33+Assumptions!$E$75+Assumptions!$E$76+Assumptions!$E$77)/(Assumptions!$E$70*(1-Assumptions!$E$80))-Assumptions!$E$79)</f>
        <v>0.440053573385186</v>
      </c>
    </row>
    <row r="42" customFormat="false" ht="15" hidden="false" customHeight="false" outlineLevel="0" collapsed="false">
      <c r="A42" s="2" t="s">
        <v>451</v>
      </c>
    </row>
    <row r="43" customFormat="false" ht="43.5" hidden="false" customHeight="true" outlineLevel="0" collapsed="false">
      <c r="A43" s="58" t="s">
        <v>452</v>
      </c>
      <c r="B43" s="58"/>
      <c r="C43" s="58"/>
      <c r="D43" s="58"/>
      <c r="E43" s="58"/>
      <c r="F43" s="58"/>
      <c r="G43" s="58"/>
      <c r="H43" s="58"/>
    </row>
    <row r="45" customFormat="false" ht="26.85" hidden="false" customHeight="false" outlineLevel="0" collapsed="false">
      <c r="A45" s="6" t="s">
        <v>453</v>
      </c>
      <c r="B45" s="6" t="s">
        <v>454</v>
      </c>
      <c r="C45" s="6" t="s">
        <v>455</v>
      </c>
      <c r="D45" s="6" t="s">
        <v>456</v>
      </c>
      <c r="E45" s="6" t="s">
        <v>457</v>
      </c>
    </row>
    <row r="46" customFormat="false" ht="15" hidden="false" customHeight="false" outlineLevel="0" collapsed="false">
      <c r="A46" s="53" t="n">
        <v>15000</v>
      </c>
      <c r="B46" s="63" t="n">
        <f aca="false">IFERROR($A46/((MIN($A46,Model_Baseline!Z17*Assumptions!$E$30)/Assumptions!$E$30*Assumptions!$E$31*Assumptions!$E$32+MIN(MAX(0,$A46-MIN($A46,Model_Baseline!Z17*Assumptions!$E$30)),Model_Baseline!Z21*Assumptions!$E$37)/Assumptions!$E$37*Assumptions!$E$38*Assumptions!$E$39+(Assumptions!$E$21/(Assumptions!$E$41*Assumptions!$E$42))*(MAX(0,$A46-MIN($A46,Model_Baseline!Z17*Assumptions!$E$30)-MIN(MAX(0,$A46-MIN($A46,Model_Baseline!Z17*Assumptions!$E$30)),Model_Baseline!Z21*Assumptions!$E$37))/Assumptions!$E$21)^Assumptions!$E$25*Assumptions!$E$43)*Assumptions!$E$49),0)</f>
        <v>118.117467985066</v>
      </c>
      <c r="C46" s="63" t="n">
        <f aca="false">IFERROR($A46/((MIN($A46,Model_No_Partner!Z17*Assumptions!$E$30)/Assumptions!$E$30*Assumptions!$E$31*Assumptions!$E$32+MIN(MAX(0,$A46-MIN($A46,Model_No_Partner!Z17*Assumptions!$E$30)),Model_No_Partner!Z21*Assumptions!$E$37)/Assumptions!$E$37*Assumptions!$E$38*Assumptions!$E$39+(Assumptions!$E$21/(Assumptions!$E$41*Assumptions!$G$42))*(MAX(0,$A46-MIN($A46,Model_No_Partner!Z17*Assumptions!$E$30)-MIN(MAX(0,$A46-MIN($A46,Model_No_Partner!Z17*Assumptions!$E$30)),Model_No_Partner!Z21*Assumptions!$E$37))/Assumptions!$E$21)^Assumptions!$E$25*Assumptions!$E$43)*Assumptions!$E$49),0)</f>
        <v>129.29365406035</v>
      </c>
      <c r="D46" s="51" t="n">
        <f aca="false">C46-B46</f>
        <v>11.1761860752838</v>
      </c>
      <c r="E46" s="52" t="n">
        <f aca="false">IFERROR((C46-B46)/C46,0)</f>
        <v>0.0864403296241211</v>
      </c>
    </row>
    <row r="47" customFormat="false" ht="15" hidden="false" customHeight="false" outlineLevel="0" collapsed="false">
      <c r="A47" s="53" t="n">
        <v>30000</v>
      </c>
      <c r="B47" s="63" t="n">
        <f aca="false">IFERROR($A47/((MIN($A47,Model_Baseline!Z17*Assumptions!$E$30)/Assumptions!$E$30*Assumptions!$E$31*Assumptions!$E$32+MIN(MAX(0,$A47-MIN($A47,Model_Baseline!Z17*Assumptions!$E$30)),Model_Baseline!Z21*Assumptions!$E$37)/Assumptions!$E$37*Assumptions!$E$38*Assumptions!$E$39+(Assumptions!$E$21/(Assumptions!$E$41*Assumptions!$E$42))*(MAX(0,$A47-MIN($A47,Model_Baseline!Z17*Assumptions!$E$30)-MIN(MAX(0,$A47-MIN($A47,Model_Baseline!Z17*Assumptions!$E$30)),Model_Baseline!Z21*Assumptions!$E$37))/Assumptions!$E$21)^Assumptions!$E$25*Assumptions!$E$43)*Assumptions!$E$49),0)</f>
        <v>140.259814205925</v>
      </c>
      <c r="C47" s="63" t="n">
        <f aca="false">IFERROR($A47/((MIN($A47,Model_No_Partner!Z17*Assumptions!$E$30)/Assumptions!$E$30*Assumptions!$E$31*Assumptions!$E$32+MIN(MAX(0,$A47-MIN($A47,Model_No_Partner!Z17*Assumptions!$E$30)),Model_No_Partner!Z21*Assumptions!$E$37)/Assumptions!$E$37*Assumptions!$E$38*Assumptions!$E$39+(Assumptions!$E$21/(Assumptions!$E$41*Assumptions!$G$42))*(MAX(0,$A47-MIN($A47,Model_No_Partner!Z17*Assumptions!$E$30)-MIN(MAX(0,$A47-MIN($A47,Model_No_Partner!Z17*Assumptions!$E$30)),Model_No_Partner!Z21*Assumptions!$E$37))/Assumptions!$E$21)^Assumptions!$E$25*Assumptions!$E$43)*Assumptions!$E$49),0)</f>
        <v>152.440471766864</v>
      </c>
      <c r="D47" s="51" t="n">
        <f aca="false">C47-B47</f>
        <v>12.1806575609389</v>
      </c>
      <c r="E47" s="52" t="n">
        <f aca="false">IFERROR((C47-B47)/C47,0)</f>
        <v>0.079904354924639</v>
      </c>
    </row>
    <row r="48" customFormat="false" ht="15" hidden="false" customHeight="false" outlineLevel="0" collapsed="false">
      <c r="A48" s="53" t="n">
        <v>60000</v>
      </c>
      <c r="B48" s="63" t="n">
        <f aca="false">IFERROR($A48/((MIN($A48,Model_Baseline!Z17*Assumptions!$E$30)/Assumptions!$E$30*Assumptions!$E$31*Assumptions!$E$32+MIN(MAX(0,$A48-MIN($A48,Model_Baseline!Z17*Assumptions!$E$30)),Model_Baseline!Z21*Assumptions!$E$37)/Assumptions!$E$37*Assumptions!$E$38*Assumptions!$E$39+(Assumptions!$E$21/(Assumptions!$E$41*Assumptions!$E$42))*(MAX(0,$A48-MIN($A48,Model_Baseline!Z17*Assumptions!$E$30)-MIN(MAX(0,$A48-MIN($A48,Model_Baseline!Z17*Assumptions!$E$30)),Model_Baseline!Z21*Assumptions!$E$37))/Assumptions!$E$21)^Assumptions!$E$25*Assumptions!$E$43)*Assumptions!$E$49),0)</f>
        <v>137.075520070935</v>
      </c>
      <c r="C48" s="63" t="n">
        <f aca="false">IFERROR($A48/((MIN($A48,Model_No_Partner!Z17*Assumptions!$E$30)/Assumptions!$E$30*Assumptions!$E$31*Assumptions!$E$32+MIN(MAX(0,$A48-MIN($A48,Model_No_Partner!Z17*Assumptions!$E$30)),Model_No_Partner!Z21*Assumptions!$E$37)/Assumptions!$E$37*Assumptions!$E$38*Assumptions!$E$39+(Assumptions!$E$21/(Assumptions!$E$41*Assumptions!$G$42))*(MAX(0,$A48-MIN($A48,Model_No_Partner!Z17*Assumptions!$E$30)-MIN(MAX(0,$A48-MIN($A48,Model_No_Partner!Z17*Assumptions!$E$30)),Model_No_Partner!Z21*Assumptions!$E$37))/Assumptions!$E$21)^Assumptions!$E$25*Assumptions!$E$43)*Assumptions!$E$49),0)</f>
        <v>184.813568903888</v>
      </c>
      <c r="D48" s="51" t="n">
        <f aca="false">C48-B48</f>
        <v>47.7380488329523</v>
      </c>
      <c r="E48" s="52" t="n">
        <f aca="false">IFERROR((C48-B48)/C48,0)</f>
        <v>0.258303809163377</v>
      </c>
    </row>
    <row r="49" customFormat="false" ht="15" hidden="false" customHeight="false" outlineLevel="0" collapsed="false">
      <c r="A49" s="53" t="n">
        <v>120000</v>
      </c>
      <c r="B49" s="63" t="n">
        <f aca="false">IFERROR($A49/((MIN($A49,Model_Baseline!Z17*Assumptions!$E$30)/Assumptions!$E$30*Assumptions!$E$31*Assumptions!$E$32+MIN(MAX(0,$A49-MIN($A49,Model_Baseline!Z17*Assumptions!$E$30)),Model_Baseline!Z21*Assumptions!$E$37)/Assumptions!$E$37*Assumptions!$E$38*Assumptions!$E$39+(Assumptions!$E$21/(Assumptions!$E$41*Assumptions!$E$42))*(MAX(0,$A49-MIN($A49,Model_Baseline!Z17*Assumptions!$E$30)-MIN(MAX(0,$A49-MIN($A49,Model_Baseline!Z17*Assumptions!$E$30)),Model_Baseline!Z21*Assumptions!$E$37))/Assumptions!$E$21)^Assumptions!$E$25*Assumptions!$E$43)*Assumptions!$E$49),0)</f>
        <v>164.781971600576</v>
      </c>
      <c r="C49" s="63" t="n">
        <f aca="false">IFERROR($A49/((MIN($A49,Model_No_Partner!Z17*Assumptions!$E$30)/Assumptions!$E$30*Assumptions!$E$31*Assumptions!$E$32+MIN(MAX(0,$A49-MIN($A49,Model_No_Partner!Z17*Assumptions!$E$30)),Model_No_Partner!Z21*Assumptions!$E$37)/Assumptions!$E$37*Assumptions!$E$38*Assumptions!$E$39+(Assumptions!$E$21/(Assumptions!$E$41*Assumptions!$G$42))*(MAX(0,$A49-MIN($A49,Model_No_Partner!Z17*Assumptions!$E$30)-MIN(MAX(0,$A49-MIN($A49,Model_No_Partner!Z17*Assumptions!$E$30)),Model_No_Partner!Z21*Assumptions!$E$37))/Assumptions!$E$21)^Assumptions!$E$25*Assumptions!$E$43)*Assumptions!$E$49),0)</f>
        <v>224.588534128109</v>
      </c>
      <c r="D49" s="51" t="n">
        <f aca="false">C49-B49</f>
        <v>59.8065625275328</v>
      </c>
      <c r="E49" s="52" t="n">
        <f aca="false">IFERROR((C49-B49)/C49,0)</f>
        <v>0.266293926177987</v>
      </c>
    </row>
    <row r="50" customFormat="false" ht="15" hidden="false" customHeight="false" outlineLevel="0" collapsed="false">
      <c r="A50" s="53" t="n">
        <v>250000</v>
      </c>
      <c r="B50" s="63" t="n">
        <f aca="false">IFERROR($A50/((MIN($A50,Model_Baseline!Z17*Assumptions!$E$30)/Assumptions!$E$30*Assumptions!$E$31*Assumptions!$E$32+MIN(MAX(0,$A50-MIN($A50,Model_Baseline!Z17*Assumptions!$E$30)),Model_Baseline!Z21*Assumptions!$E$37)/Assumptions!$E$37*Assumptions!$E$38*Assumptions!$E$39+(Assumptions!$E$21/(Assumptions!$E$41*Assumptions!$E$42))*(MAX(0,$A50-MIN($A50,Model_Baseline!Z17*Assumptions!$E$30)-MIN(MAX(0,$A50-MIN($A50,Model_Baseline!Z17*Assumptions!$E$30)),Model_Baseline!Z21*Assumptions!$E$37))/Assumptions!$E$21)^Assumptions!$E$25*Assumptions!$E$43)*Assumptions!$E$49),0)</f>
        <v>205.352414959508</v>
      </c>
      <c r="C50" s="63" t="n">
        <f aca="false">IFERROR($A50/((MIN($A50,Model_No_Partner!Z17*Assumptions!$E$30)/Assumptions!$E$30*Assumptions!$E$31*Assumptions!$E$32+MIN(MAX(0,$A50-MIN($A50,Model_No_Partner!Z17*Assumptions!$E$30)),Model_No_Partner!Z21*Assumptions!$E$37)/Assumptions!$E$37*Assumptions!$E$38*Assumptions!$E$39+(Assumptions!$E$21/(Assumptions!$E$41*Assumptions!$G$42))*(MAX(0,$A50-MIN($A50,Model_No_Partner!Z17*Assumptions!$E$30)-MIN(MAX(0,$A50-MIN($A50,Model_No_Partner!Z17*Assumptions!$E$30)),Model_No_Partner!Z21*Assumptions!$E$37))/Assumptions!$E$21)^Assumptions!$E$25*Assumptions!$E$43)*Assumptions!$E$49),0)</f>
        <v>274.88985902135</v>
      </c>
      <c r="D50" s="51" t="n">
        <f aca="false">C50-B50</f>
        <v>69.5374440618423</v>
      </c>
      <c r="E50" s="52" t="n">
        <f aca="false">IFERROR((C50-B50)/C50,0)</f>
        <v>0.252964748533854</v>
      </c>
    </row>
    <row r="51" customFormat="false" ht="15" hidden="false" customHeight="false" outlineLevel="0" collapsed="false">
      <c r="A51" s="53" t="n">
        <v>500000</v>
      </c>
      <c r="B51" s="63" t="n">
        <f aca="false">IFERROR($A51/((MIN($A51,Model_Baseline!Z17*Assumptions!$E$30)/Assumptions!$E$30*Assumptions!$E$31*Assumptions!$E$32+MIN(MAX(0,$A51-MIN($A51,Model_Baseline!Z17*Assumptions!$E$30)),Model_Baseline!Z21*Assumptions!$E$37)/Assumptions!$E$37*Assumptions!$E$38*Assumptions!$E$39+(Assumptions!$E$21/(Assumptions!$E$41*Assumptions!$E$42))*(MAX(0,$A51-MIN($A51,Model_Baseline!Z17*Assumptions!$E$30)-MIN(MAX(0,$A51-MIN($A51,Model_Baseline!Z17*Assumptions!$E$30)),Model_Baseline!Z21*Assumptions!$E$37))/Assumptions!$E$21)^Assumptions!$E$25*Assumptions!$E$43)*Assumptions!$E$49),0)</f>
        <v>252.135357960837</v>
      </c>
      <c r="C51" s="63" t="n">
        <f aca="false">IFERROR($A51/((MIN($A51,Model_No_Partner!Z17*Assumptions!$E$30)/Assumptions!$E$30*Assumptions!$E$31*Assumptions!$E$32+MIN(MAX(0,$A51-MIN($A51,Model_No_Partner!Z17*Assumptions!$E$30)),Model_No_Partner!Z21*Assumptions!$E$37)/Assumptions!$E$37*Assumptions!$E$38*Assumptions!$E$39+(Assumptions!$E$21/(Assumptions!$E$41*Assumptions!$G$42))*(MAX(0,$A51-MIN($A51,Model_No_Partner!Z17*Assumptions!$E$30)-MIN(MAX(0,$A51-MIN($A51,Model_No_Partner!Z17*Assumptions!$E$30)),Model_No_Partner!Z21*Assumptions!$E$37))/Assumptions!$E$21)^Assumptions!$E$25*Assumptions!$E$43)*Assumptions!$E$49),0)</f>
        <v>331.066797269547</v>
      </c>
      <c r="D51" s="51" t="n">
        <f aca="false">C51-B51</f>
        <v>78.9314393087105</v>
      </c>
      <c r="E51" s="52" t="n">
        <f aca="false">IFERROR((C51-B51)/C51,0)</f>
        <v>0.238415449569974</v>
      </c>
    </row>
    <row r="52" customFormat="false" ht="15" hidden="false" customHeight="false" outlineLevel="0" collapsed="false">
      <c r="A52" s="53" t="n">
        <v>1000000</v>
      </c>
      <c r="B52" s="63" t="n">
        <f aca="false">IFERROR($A52/((MIN($A52,Model_Baseline!Z17*Assumptions!$E$30)/Assumptions!$E$30*Assumptions!$E$31*Assumptions!$E$32+MIN(MAX(0,$A52-MIN($A52,Model_Baseline!Z17*Assumptions!$E$30)),Model_Baseline!Z21*Assumptions!$E$37)/Assumptions!$E$37*Assumptions!$E$38*Assumptions!$E$39+(Assumptions!$E$21/(Assumptions!$E$41*Assumptions!$E$42))*(MAX(0,$A52-MIN($A52,Model_Baseline!Z17*Assumptions!$E$30)-MIN(MAX(0,$A52-MIN($A52,Model_Baseline!Z17*Assumptions!$E$30)),Model_Baseline!Z21*Assumptions!$E$37))/Assumptions!$E$21)^Assumptions!$E$25*Assumptions!$E$43)*Assumptions!$E$49),0)</f>
        <v>307.258323566439</v>
      </c>
      <c r="C52" s="63" t="n">
        <f aca="false">IFERROR($A52/((MIN($A52,Model_No_Partner!Z17*Assumptions!$E$30)/Assumptions!$E$30*Assumptions!$E$31*Assumptions!$E$32+MIN(MAX(0,$A52-MIN($A52,Model_No_Partner!Z17*Assumptions!$E$30)),Model_No_Partner!Z21*Assumptions!$E$37)/Assumptions!$E$37*Assumptions!$E$38*Assumptions!$E$39+(Assumptions!$E$21/(Assumptions!$E$41*Assumptions!$G$42))*(MAX(0,$A52-MIN($A52,Model_No_Partner!Z17*Assumptions!$E$30)-MIN(MAX(0,$A52-MIN($A52,Model_No_Partner!Z17*Assumptions!$E$30)),Model_No_Partner!Z21*Assumptions!$E$37))/Assumptions!$E$21)^Assumptions!$E$25*Assumptions!$E$43)*Assumptions!$E$49),0)</f>
        <v>397.134867006387</v>
      </c>
      <c r="D52" s="51" t="n">
        <f aca="false">C52-B52</f>
        <v>89.8765434399476</v>
      </c>
      <c r="E52" s="52" t="n">
        <f aca="false">IFERROR((C52-B52)/C52,0)</f>
        <v>0.226312396384229</v>
      </c>
    </row>
    <row r="53" customFormat="false" ht="15" hidden="false" customHeight="false" outlineLevel="0" collapsed="false">
      <c r="A53" s="53" t="n">
        <v>2500000</v>
      </c>
      <c r="B53" s="63" t="n">
        <f aca="false">IFERROR($A53/((MIN($A53,Model_Baseline!Z17*Assumptions!$E$30)/Assumptions!$E$30*Assumptions!$E$31*Assumptions!$E$32+MIN(MAX(0,$A53-MIN($A53,Model_Baseline!Z17*Assumptions!$E$30)),Model_Baseline!Z21*Assumptions!$E$37)/Assumptions!$E$37*Assumptions!$E$38*Assumptions!$E$39+(Assumptions!$E$21/(Assumptions!$E$41*Assumptions!$E$42))*(MAX(0,$A53-MIN($A53,Model_Baseline!Z17*Assumptions!$E$30)-MIN(MAX(0,$A53-MIN($A53,Model_Baseline!Z17*Assumptions!$E$30)),Model_Baseline!Z21*Assumptions!$E$37))/Assumptions!$E$21)^Assumptions!$E$25*Assumptions!$E$43)*Assumptions!$E$49),0)</f>
        <v>394.74266662891</v>
      </c>
      <c r="C53" s="63" t="n">
        <f aca="false">IFERROR($A53/((MIN($A53,Model_No_Partner!Z17*Assumptions!$E$30)/Assumptions!$E$30*Assumptions!$E$31*Assumptions!$E$32+MIN(MAX(0,$A53-MIN($A53,Model_No_Partner!Z17*Assumptions!$E$30)),Model_No_Partner!Z21*Assumptions!$E$37)/Assumptions!$E$37*Assumptions!$E$38*Assumptions!$E$39+(Assumptions!$E$21/(Assumptions!$E$41*Assumptions!$G$42))*(MAX(0,$A53-MIN($A53,Model_No_Partner!Z17*Assumptions!$E$30)-MIN(MAX(0,$A53-MIN($A53,Model_No_Partner!Z17*Assumptions!$E$30)),Model_No_Partner!Z21*Assumptions!$E$37))/Assumptions!$E$21)^Assumptions!$E$25*Assumptions!$E$43)*Assumptions!$E$49),0)</f>
        <v>502.923520560293</v>
      </c>
      <c r="D53" s="51" t="n">
        <f aca="false">C53-B53</f>
        <v>108.180853931384</v>
      </c>
      <c r="E53" s="52" t="n">
        <f aca="false">IFERROR((C53-B53)/C53,0)</f>
        <v>0.215103986011357</v>
      </c>
    </row>
    <row r="55" customFormat="false" ht="39.75" hidden="false" customHeight="true" outlineLevel="0" collapsed="false">
      <c r="A55" s="58" t="s">
        <v>458</v>
      </c>
      <c r="B55" s="58"/>
      <c r="C55" s="58"/>
      <c r="D55" s="58"/>
      <c r="E55" s="58"/>
      <c r="F55" s="58"/>
      <c r="G55" s="58"/>
      <c r="H55" s="58"/>
    </row>
  </sheetData>
  <mergeCells count="6">
    <mergeCell ref="A2:H2"/>
    <mergeCell ref="A15:H15"/>
    <mergeCell ref="A19:H19"/>
    <mergeCell ref="A30:H30"/>
    <mergeCell ref="A43:H43"/>
    <mergeCell ref="A55:H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4" min="2" style="0" width="20"/>
  </cols>
  <sheetData>
    <row r="1" customFormat="false" ht="17.35" hidden="false" customHeight="false" outlineLevel="0" collapsed="false">
      <c r="A1" s="4" t="s">
        <v>459</v>
      </c>
    </row>
    <row r="2" customFormat="false" ht="43.5" hidden="false" customHeight="true" outlineLevel="0" collapsed="false">
      <c r="A2" s="5" t="s">
        <v>460</v>
      </c>
      <c r="B2" s="5"/>
      <c r="C2" s="5"/>
      <c r="D2" s="5"/>
      <c r="E2" s="5"/>
    </row>
    <row r="4" customFormat="false" ht="64.15" hidden="false" customHeight="false" outlineLevel="0" collapsed="false">
      <c r="A4" s="38" t="s">
        <v>461</v>
      </c>
      <c r="C4" s="20" t="n">
        <v>3</v>
      </c>
      <c r="D4" s="13" t="s">
        <v>462</v>
      </c>
    </row>
    <row r="6" customFormat="false" ht="15" hidden="false" customHeight="false" outlineLevel="0" collapsed="false">
      <c r="A6" s="37" t="s">
        <v>463</v>
      </c>
      <c r="B6" s="37" t="s">
        <v>26</v>
      </c>
      <c r="C6" s="37" t="s">
        <v>27</v>
      </c>
      <c r="D6" s="37" t="s">
        <v>28</v>
      </c>
    </row>
    <row r="7" customFormat="false" ht="15" hidden="false" customHeight="false" outlineLevel="0" collapsed="false">
      <c r="A7" s="38" t="s">
        <v>464</v>
      </c>
      <c r="B7" s="39" t="n">
        <f aca="false">-SUM(Model_Conservative!C85:AL85)</f>
        <v>-0</v>
      </c>
      <c r="C7" s="39" t="n">
        <f aca="false">-SUM(Model_Baseline!C85:AL85)</f>
        <v>525000</v>
      </c>
      <c r="D7" s="39" t="n">
        <f aca="false">-SUM(Model_Aggressive!C85:AL85)</f>
        <v>875000</v>
      </c>
    </row>
    <row r="8" customFormat="false" ht="15" hidden="false" customHeight="false" outlineLevel="0" collapsed="false">
      <c r="A8" s="38" t="s">
        <v>465</v>
      </c>
      <c r="B8" s="39" t="n">
        <f aca="false">-SUM(Model_Conservative!C86:AL86)</f>
        <v>40084.9635557894</v>
      </c>
      <c r="C8" s="39" t="n">
        <f aca="false">-SUM(Model_Baseline!C86:AL86)</f>
        <v>937576.121479811</v>
      </c>
      <c r="D8" s="39" t="n">
        <f aca="false">-SUM(Model_Aggressive!C86:AL86)</f>
        <v>26787600.1717227</v>
      </c>
    </row>
    <row r="9" customFormat="false" ht="15" hidden="false" customHeight="false" outlineLevel="0" collapsed="false">
      <c r="A9" s="38" t="s">
        <v>466</v>
      </c>
      <c r="B9" s="39" t="n">
        <f aca="false">B7+B8</f>
        <v>40084.9635557894</v>
      </c>
      <c r="C9" s="39" t="n">
        <f aca="false">C7+C8</f>
        <v>1462576.12147981</v>
      </c>
      <c r="D9" s="39" t="n">
        <f aca="false">D7+D8</f>
        <v>27662600.1717227</v>
      </c>
    </row>
    <row r="10" customFormat="false" ht="15" hidden="false" customHeight="false" outlineLevel="0" collapsed="false">
      <c r="A10" s="38" t="s">
        <v>467</v>
      </c>
      <c r="B10" s="39" t="n">
        <f aca="false">-SUM(Model_Conservative!AA86:AL86)</f>
        <v>18868.0919889248</v>
      </c>
      <c r="C10" s="39" t="n">
        <f aca="false">-SUM(Model_Baseline!AA86:AL86)</f>
        <v>500031.707449772</v>
      </c>
      <c r="D10" s="39" t="n">
        <f aca="false">-SUM(Model_Aggressive!AA86:AL86)</f>
        <v>17808190.0690035</v>
      </c>
    </row>
    <row r="11" customFormat="false" ht="15" hidden="false" customHeight="false" outlineLevel="0" collapsed="false">
      <c r="A11" s="38" t="s">
        <v>468</v>
      </c>
      <c r="B11" s="41" t="n">
        <f aca="false">Assumptions!$D$100</f>
        <v>0.1</v>
      </c>
      <c r="C11" s="41" t="n">
        <f aca="false">Assumptions!$E$100</f>
        <v>0.15</v>
      </c>
      <c r="D11" s="41" t="n">
        <f aca="false">Assumptions!$F$100</f>
        <v>0.2</v>
      </c>
    </row>
    <row r="12" customFormat="false" ht="15" hidden="false" customHeight="false" outlineLevel="0" collapsed="false">
      <c r="A12" s="38" t="s">
        <v>469</v>
      </c>
      <c r="B12" s="39" t="n">
        <f aca="false">Summary!B7*$C$4*B11</f>
        <v>113208.551933549</v>
      </c>
      <c r="C12" s="39" t="n">
        <f aca="false">Summary!C7*$C$4*C11</f>
        <v>4500285.36704795</v>
      </c>
      <c r="D12" s="39" t="n">
        <f aca="false">Summary!D7*$C$4*D11</f>
        <v>213698280.828042</v>
      </c>
    </row>
    <row r="13" customFormat="false" ht="15" hidden="false" customHeight="false" outlineLevel="0" collapsed="false">
      <c r="A13" s="38" t="s">
        <v>470</v>
      </c>
      <c r="B13" s="39" t="n">
        <f aca="false">B9+B12</f>
        <v>153293.515489338</v>
      </c>
      <c r="C13" s="39" t="n">
        <f aca="false">C9+C12</f>
        <v>5962861.48852776</v>
      </c>
      <c r="D13" s="39" t="n">
        <f aca="false">D9+D12</f>
        <v>241360880.999764</v>
      </c>
    </row>
    <row r="14" customFormat="false" ht="15" hidden="false" customHeight="false" outlineLevel="0" collapsed="false">
      <c r="A14" s="38" t="s">
        <v>471</v>
      </c>
      <c r="B14" s="41" t="n">
        <f aca="false">IFERROR(B9/Summary!B8,0)</f>
        <v>0.05</v>
      </c>
      <c r="C14" s="41" t="n">
        <f aca="false">IFERROR(C9/Summary!C8,0)</f>
        <v>0.0779977266897206</v>
      </c>
      <c r="D14" s="41" t="n">
        <f aca="false">IFERROR(D9/Summary!D8,0)</f>
        <v>0.0516332183442914</v>
      </c>
    </row>
    <row r="16" customFormat="false" ht="15" hidden="false" customHeight="false" outlineLevel="0" collapsed="false">
      <c r="A16" s="2" t="s">
        <v>472</v>
      </c>
    </row>
    <row r="17" customFormat="false" ht="60" hidden="false" customHeight="true" outlineLevel="0" collapsed="false">
      <c r="A17" s="58" t="s">
        <v>473</v>
      </c>
      <c r="B17" s="58"/>
      <c r="C17" s="58"/>
      <c r="D17" s="58"/>
    </row>
    <row r="18" customFormat="false" ht="60" hidden="false" customHeight="true" outlineLevel="0" collapsed="false">
      <c r="A18" s="58" t="s">
        <v>474</v>
      </c>
      <c r="B18" s="58"/>
      <c r="C18" s="58"/>
      <c r="D18" s="58"/>
    </row>
    <row r="19" customFormat="false" ht="60" hidden="false" customHeight="true" outlineLevel="0" collapsed="false">
      <c r="A19" s="58" t="s">
        <v>475</v>
      </c>
      <c r="B19" s="58"/>
      <c r="C19" s="58"/>
      <c r="D19" s="58"/>
    </row>
    <row r="20" customFormat="false" ht="60" hidden="false" customHeight="true" outlineLevel="0" collapsed="false">
      <c r="A20" s="58" t="s">
        <v>476</v>
      </c>
      <c r="B20" s="58"/>
      <c r="C20" s="58"/>
      <c r="D20" s="58"/>
    </row>
    <row r="21" customFormat="false" ht="60" hidden="false" customHeight="true" outlineLevel="0" collapsed="false">
      <c r="A21" s="58" t="s">
        <v>477</v>
      </c>
      <c r="B21" s="58"/>
      <c r="C21" s="58"/>
      <c r="D21" s="58"/>
    </row>
  </sheetData>
  <mergeCells count="6">
    <mergeCell ref="A2:E2"/>
    <mergeCell ref="A17:D17"/>
    <mergeCell ref="A18:D18"/>
    <mergeCell ref="A19:D19"/>
    <mergeCell ref="A20:D20"/>
    <mergeCell ref="A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60"/>
    <col collapsed="false" customWidth="true" hidden="false" outlineLevel="0" max="3" min="3" style="0" width="78"/>
    <col collapsed="false" customWidth="true" hidden="false" outlineLevel="0" max="4" min="4" style="0" width="12"/>
  </cols>
  <sheetData>
    <row r="1" customFormat="false" ht="17.35" hidden="false" customHeight="false" outlineLevel="0" collapsed="false">
      <c r="A1" s="4" t="s">
        <v>478</v>
      </c>
    </row>
    <row r="2" customFormat="false" ht="39.75" hidden="false" customHeight="true" outlineLevel="0" collapsed="false">
      <c r="A2" s="5" t="s">
        <v>479</v>
      </c>
      <c r="B2" s="5"/>
      <c r="C2" s="5"/>
      <c r="D2" s="5"/>
    </row>
    <row r="4" customFormat="false" ht="15" hidden="false" customHeight="false" outlineLevel="0" collapsed="false">
      <c r="A4" s="37" t="s">
        <v>49</v>
      </c>
      <c r="B4" s="37" t="s">
        <v>480</v>
      </c>
      <c r="C4" s="37" t="s">
        <v>481</v>
      </c>
      <c r="D4" s="37" t="s">
        <v>482</v>
      </c>
    </row>
    <row r="5" customFormat="false" ht="57.75" hidden="false" customHeight="true" outlineLevel="0" collapsed="false">
      <c r="A5" s="38" t="n">
        <v>1</v>
      </c>
      <c r="B5" s="64" t="s">
        <v>483</v>
      </c>
      <c r="C5" s="13" t="s">
        <v>484</v>
      </c>
      <c r="D5" s="10" t="s">
        <v>485</v>
      </c>
    </row>
    <row r="6" customFormat="false" ht="57.75" hidden="false" customHeight="true" outlineLevel="0" collapsed="false">
      <c r="A6" s="38" t="n">
        <v>2</v>
      </c>
      <c r="B6" s="64" t="s">
        <v>486</v>
      </c>
      <c r="C6" s="13" t="s">
        <v>487</v>
      </c>
      <c r="D6" s="10" t="s">
        <v>485</v>
      </c>
    </row>
    <row r="7" customFormat="false" ht="57.75" hidden="false" customHeight="true" outlineLevel="0" collapsed="false">
      <c r="A7" s="38" t="n">
        <v>3</v>
      </c>
      <c r="B7" s="64" t="s">
        <v>488</v>
      </c>
      <c r="C7" s="13" t="s">
        <v>489</v>
      </c>
      <c r="D7" s="10" t="s">
        <v>485</v>
      </c>
    </row>
    <row r="8" customFormat="false" ht="57.75" hidden="false" customHeight="true" outlineLevel="0" collapsed="false">
      <c r="A8" s="38" t="n">
        <v>4</v>
      </c>
      <c r="B8" s="64" t="s">
        <v>490</v>
      </c>
      <c r="C8" s="13" t="s">
        <v>491</v>
      </c>
      <c r="D8" s="10" t="s">
        <v>485</v>
      </c>
    </row>
    <row r="9" customFormat="false" ht="57.75" hidden="false" customHeight="true" outlineLevel="0" collapsed="false">
      <c r="A9" s="38" t="n">
        <v>5</v>
      </c>
      <c r="B9" s="64" t="s">
        <v>492</v>
      </c>
      <c r="C9" s="13" t="s">
        <v>493</v>
      </c>
      <c r="D9" s="10" t="s">
        <v>485</v>
      </c>
    </row>
    <row r="10" customFormat="false" ht="57.75" hidden="false" customHeight="true" outlineLevel="0" collapsed="false">
      <c r="A10" s="38" t="n">
        <v>6</v>
      </c>
      <c r="B10" s="64" t="s">
        <v>494</v>
      </c>
      <c r="C10" s="13" t="s">
        <v>495</v>
      </c>
      <c r="D10" s="10" t="s">
        <v>485</v>
      </c>
    </row>
    <row r="11" customFormat="false" ht="57.75" hidden="false" customHeight="true" outlineLevel="0" collapsed="false">
      <c r="A11" s="38" t="n">
        <v>7</v>
      </c>
      <c r="B11" s="64" t="s">
        <v>496</v>
      </c>
      <c r="C11" s="13" t="s">
        <v>497</v>
      </c>
      <c r="D11" s="10" t="s">
        <v>485</v>
      </c>
    </row>
    <row r="12" customFormat="false" ht="57.75" hidden="false" customHeight="true" outlineLevel="0" collapsed="false">
      <c r="A12" s="38" t="n">
        <v>8</v>
      </c>
      <c r="B12" s="64" t="s">
        <v>498</v>
      </c>
      <c r="C12" s="13" t="s">
        <v>499</v>
      </c>
      <c r="D12" s="10" t="s">
        <v>485</v>
      </c>
    </row>
    <row r="13" customFormat="false" ht="57.75" hidden="false" customHeight="true" outlineLevel="0" collapsed="false">
      <c r="A13" s="38" t="n">
        <v>9</v>
      </c>
      <c r="B13" s="64" t="s">
        <v>500</v>
      </c>
      <c r="C13" s="13" t="s">
        <v>501</v>
      </c>
      <c r="D13" s="10" t="s">
        <v>485</v>
      </c>
    </row>
    <row r="14" customFormat="false" ht="57.75" hidden="false" customHeight="true" outlineLevel="0" collapsed="false">
      <c r="A14" s="38" t="n">
        <v>10</v>
      </c>
      <c r="B14" s="64" t="s">
        <v>502</v>
      </c>
      <c r="C14" s="13" t="s">
        <v>503</v>
      </c>
      <c r="D14" s="10" t="s">
        <v>485</v>
      </c>
    </row>
    <row r="15" customFormat="false" ht="57.75" hidden="false" customHeight="true" outlineLevel="0" collapsed="false">
      <c r="A15" s="38" t="n">
        <v>11</v>
      </c>
      <c r="B15" s="64" t="s">
        <v>504</v>
      </c>
      <c r="C15" s="13" t="s">
        <v>505</v>
      </c>
      <c r="D15" s="10" t="s">
        <v>485</v>
      </c>
    </row>
    <row r="16" customFormat="false" ht="57.75" hidden="false" customHeight="true" outlineLevel="0" collapsed="false">
      <c r="A16" s="38" t="n">
        <v>12</v>
      </c>
      <c r="B16" s="64" t="s">
        <v>506</v>
      </c>
      <c r="C16" s="13" t="s">
        <v>507</v>
      </c>
      <c r="D16" s="10" t="s">
        <v>485</v>
      </c>
    </row>
    <row r="17" customFormat="false" ht="57.75" hidden="false" customHeight="true" outlineLevel="0" collapsed="false">
      <c r="A17" s="38" t="n">
        <v>13</v>
      </c>
      <c r="B17" s="64" t="s">
        <v>508</v>
      </c>
      <c r="C17" s="13" t="s">
        <v>509</v>
      </c>
      <c r="D17" s="10" t="s">
        <v>485</v>
      </c>
    </row>
    <row r="18" customFormat="false" ht="57.75" hidden="false" customHeight="true" outlineLevel="0" collapsed="false">
      <c r="A18" s="38" t="n">
        <v>14</v>
      </c>
      <c r="B18" s="64" t="s">
        <v>510</v>
      </c>
      <c r="C18" s="13" t="s">
        <v>511</v>
      </c>
      <c r="D18" s="10" t="s">
        <v>485</v>
      </c>
    </row>
    <row r="19" customFormat="false" ht="57.75" hidden="false" customHeight="true" outlineLevel="0" collapsed="false">
      <c r="A19" s="38" t="n">
        <v>15</v>
      </c>
      <c r="B19" s="64" t="s">
        <v>512</v>
      </c>
      <c r="C19" s="13" t="s">
        <v>513</v>
      </c>
      <c r="D19" s="10" t="s">
        <v>485</v>
      </c>
    </row>
    <row r="20" customFormat="false" ht="57.75" hidden="false" customHeight="true" outlineLevel="0" collapsed="false">
      <c r="A20" s="38" t="n">
        <v>16</v>
      </c>
      <c r="B20" s="64" t="s">
        <v>514</v>
      </c>
      <c r="C20" s="13" t="s">
        <v>515</v>
      </c>
      <c r="D20" s="10" t="s">
        <v>485</v>
      </c>
    </row>
    <row r="21" customFormat="false" ht="57.75" hidden="false" customHeight="true" outlineLevel="0" collapsed="false">
      <c r="A21" s="38" t="n">
        <v>17</v>
      </c>
      <c r="B21" s="64" t="s">
        <v>516</v>
      </c>
      <c r="C21" s="13" t="s">
        <v>517</v>
      </c>
      <c r="D21" s="10" t="s">
        <v>485</v>
      </c>
    </row>
    <row r="22" customFormat="false" ht="57.75" hidden="false" customHeight="true" outlineLevel="0" collapsed="false">
      <c r="A22" s="38" t="n">
        <v>18</v>
      </c>
      <c r="B22" s="64" t="s">
        <v>518</v>
      </c>
      <c r="C22" s="13" t="s">
        <v>519</v>
      </c>
      <c r="D22" s="10" t="s">
        <v>485</v>
      </c>
    </row>
    <row r="23" customFormat="false" ht="57.75" hidden="false" customHeight="true" outlineLevel="0" collapsed="false">
      <c r="A23" s="38" t="n">
        <v>19</v>
      </c>
      <c r="B23" s="64" t="s">
        <v>520</v>
      </c>
      <c r="C23" s="13" t="s">
        <v>521</v>
      </c>
      <c r="D23" s="10" t="s">
        <v>485</v>
      </c>
    </row>
    <row r="24" customFormat="false" ht="57.75" hidden="false" customHeight="true" outlineLevel="0" collapsed="false">
      <c r="A24" s="38" t="n">
        <v>20</v>
      </c>
      <c r="B24" s="64" t="s">
        <v>522</v>
      </c>
      <c r="C24" s="13" t="s">
        <v>523</v>
      </c>
      <c r="D24" s="10" t="s">
        <v>485</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62"/>
    <col collapsed="false" customWidth="true" hidden="false" outlineLevel="0" max="4" min="4" style="0" width="58"/>
    <col collapsed="false" customWidth="true" hidden="false" outlineLevel="0" max="5" min="5" style="0" width="14"/>
    <col collapsed="false" customWidth="true" hidden="false" outlineLevel="0" max="6" min="6" style="0" width="46"/>
  </cols>
  <sheetData>
    <row r="1" customFormat="false" ht="17.35" hidden="false" customHeight="false" outlineLevel="0" collapsed="false">
      <c r="A1" s="4" t="s">
        <v>524</v>
      </c>
    </row>
    <row r="2" customFormat="false" ht="39.75" hidden="false" customHeight="true" outlineLevel="0" collapsed="false">
      <c r="A2" s="5" t="s">
        <v>525</v>
      </c>
      <c r="B2" s="5"/>
      <c r="C2" s="5"/>
      <c r="D2" s="5"/>
      <c r="E2" s="5"/>
      <c r="F2" s="5"/>
    </row>
    <row r="4" customFormat="false" ht="15" hidden="false" customHeight="false" outlineLevel="0" collapsed="false">
      <c r="A4" s="37" t="s">
        <v>526</v>
      </c>
      <c r="B4" s="37" t="s">
        <v>527</v>
      </c>
      <c r="C4" s="37" t="s">
        <v>528</v>
      </c>
      <c r="D4" s="37" t="s">
        <v>529</v>
      </c>
      <c r="E4" s="37" t="s">
        <v>31</v>
      </c>
      <c r="F4" s="37" t="s">
        <v>530</v>
      </c>
    </row>
    <row r="5" customFormat="false" ht="91.5" hidden="false" customHeight="true" outlineLevel="0" collapsed="false">
      <c r="A5" s="38" t="s">
        <v>531</v>
      </c>
      <c r="B5" s="64" t="s">
        <v>532</v>
      </c>
      <c r="C5" s="13" t="s">
        <v>533</v>
      </c>
      <c r="D5" s="13" t="s">
        <v>534</v>
      </c>
      <c r="E5" s="64" t="s">
        <v>535</v>
      </c>
      <c r="F5" s="65" t="s">
        <v>536</v>
      </c>
    </row>
    <row r="6" customFormat="false" ht="91.5" hidden="false" customHeight="true" outlineLevel="0" collapsed="false">
      <c r="A6" s="38" t="s">
        <v>537</v>
      </c>
      <c r="B6" s="64" t="s">
        <v>538</v>
      </c>
      <c r="C6" s="13" t="s">
        <v>539</v>
      </c>
      <c r="D6" s="13" t="s">
        <v>540</v>
      </c>
      <c r="E6" s="64" t="s">
        <v>535</v>
      </c>
      <c r="F6" s="65" t="s">
        <v>541</v>
      </c>
    </row>
    <row r="7" customFormat="false" ht="91.5" hidden="false" customHeight="true" outlineLevel="0" collapsed="false">
      <c r="A7" s="38" t="s">
        <v>542</v>
      </c>
      <c r="B7" s="64" t="s">
        <v>543</v>
      </c>
      <c r="C7" s="13" t="s">
        <v>544</v>
      </c>
      <c r="D7" s="13" t="s">
        <v>545</v>
      </c>
      <c r="E7" s="64" t="s">
        <v>546</v>
      </c>
      <c r="F7" s="65" t="s">
        <v>547</v>
      </c>
    </row>
    <row r="8" customFormat="false" ht="91.5" hidden="false" customHeight="true" outlineLevel="0" collapsed="false">
      <c r="A8" s="38" t="s">
        <v>548</v>
      </c>
      <c r="B8" s="64" t="s">
        <v>549</v>
      </c>
      <c r="C8" s="13" t="s">
        <v>550</v>
      </c>
      <c r="D8" s="13" t="s">
        <v>551</v>
      </c>
      <c r="E8" s="64" t="s">
        <v>40</v>
      </c>
      <c r="F8" s="65" t="s">
        <v>552</v>
      </c>
    </row>
    <row r="9" customFormat="false" ht="91.5" hidden="false" customHeight="true" outlineLevel="0" collapsed="false">
      <c r="A9" s="38" t="s">
        <v>553</v>
      </c>
      <c r="B9" s="64" t="s">
        <v>554</v>
      </c>
      <c r="C9" s="13" t="s">
        <v>555</v>
      </c>
      <c r="D9" s="13" t="s">
        <v>556</v>
      </c>
      <c r="E9" s="64" t="s">
        <v>40</v>
      </c>
      <c r="F9" s="65" t="s">
        <v>557</v>
      </c>
    </row>
    <row r="10" customFormat="false" ht="91.5" hidden="false" customHeight="true" outlineLevel="0" collapsed="false">
      <c r="A10" s="38" t="s">
        <v>558</v>
      </c>
      <c r="B10" s="64" t="s">
        <v>559</v>
      </c>
      <c r="C10" s="13" t="s">
        <v>560</v>
      </c>
      <c r="D10" s="13" t="s">
        <v>561</v>
      </c>
      <c r="E10" s="64" t="s">
        <v>40</v>
      </c>
      <c r="F10" s="65" t="s">
        <v>562</v>
      </c>
    </row>
    <row r="11" customFormat="false" ht="91.5" hidden="false" customHeight="true" outlineLevel="0" collapsed="false">
      <c r="A11" s="38" t="s">
        <v>563</v>
      </c>
      <c r="B11" s="64" t="s">
        <v>564</v>
      </c>
      <c r="C11" s="13" t="s">
        <v>565</v>
      </c>
      <c r="D11" s="13" t="s">
        <v>566</v>
      </c>
      <c r="E11" s="64" t="s">
        <v>567</v>
      </c>
      <c r="F11" s="65" t="s">
        <v>568</v>
      </c>
    </row>
    <row r="12" customFormat="false" ht="91.5" hidden="false" customHeight="true" outlineLevel="0" collapsed="false">
      <c r="A12" s="38" t="s">
        <v>569</v>
      </c>
      <c r="B12" s="64" t="s">
        <v>570</v>
      </c>
      <c r="C12" s="13" t="s">
        <v>571</v>
      </c>
      <c r="D12" s="13" t="s">
        <v>572</v>
      </c>
      <c r="E12" s="64" t="s">
        <v>40</v>
      </c>
      <c r="F12" s="65" t="s">
        <v>573</v>
      </c>
    </row>
    <row r="13" customFormat="false" ht="91.5" hidden="false" customHeight="true" outlineLevel="0" collapsed="false">
      <c r="A13" s="38" t="s">
        <v>574</v>
      </c>
      <c r="B13" s="64" t="s">
        <v>575</v>
      </c>
      <c r="C13" s="13" t="s">
        <v>576</v>
      </c>
      <c r="D13" s="13" t="s">
        <v>577</v>
      </c>
      <c r="E13" s="64" t="s">
        <v>578</v>
      </c>
      <c r="F13" s="65" t="s">
        <v>579</v>
      </c>
    </row>
    <row r="14" customFormat="false" ht="91.5" hidden="false" customHeight="true" outlineLevel="0" collapsed="false">
      <c r="A14" s="38" t="s">
        <v>580</v>
      </c>
      <c r="B14" s="64" t="s">
        <v>581</v>
      </c>
      <c r="C14" s="13" t="s">
        <v>582</v>
      </c>
      <c r="D14" s="13" t="s">
        <v>583</v>
      </c>
      <c r="E14" s="64" t="s">
        <v>584</v>
      </c>
      <c r="F14" s="65" t="s">
        <v>585</v>
      </c>
    </row>
    <row r="15" customFormat="false" ht="91.5" hidden="false" customHeight="true" outlineLevel="0" collapsed="false">
      <c r="A15" s="38" t="s">
        <v>586</v>
      </c>
      <c r="B15" s="64" t="s">
        <v>587</v>
      </c>
      <c r="C15" s="13" t="s">
        <v>588</v>
      </c>
      <c r="D15" s="13" t="s">
        <v>589</v>
      </c>
      <c r="E15" s="64" t="s">
        <v>40</v>
      </c>
      <c r="F15" s="65" t="s">
        <v>590</v>
      </c>
    </row>
    <row r="16" customFormat="false" ht="91.5" hidden="false" customHeight="true" outlineLevel="0" collapsed="false">
      <c r="A16" s="38" t="s">
        <v>591</v>
      </c>
      <c r="B16" s="64" t="s">
        <v>592</v>
      </c>
      <c r="C16" s="13" t="s">
        <v>593</v>
      </c>
      <c r="D16" s="13" t="s">
        <v>594</v>
      </c>
      <c r="E16" s="64" t="s">
        <v>595</v>
      </c>
      <c r="F16" s="65" t="s">
        <v>596</v>
      </c>
    </row>
    <row r="17" customFormat="false" ht="91.5" hidden="false" customHeight="true" outlineLevel="0" collapsed="false">
      <c r="A17" s="38" t="s">
        <v>597</v>
      </c>
      <c r="B17" s="64" t="s">
        <v>598</v>
      </c>
      <c r="C17" s="13" t="s">
        <v>599</v>
      </c>
      <c r="D17" s="13" t="s">
        <v>600</v>
      </c>
      <c r="E17" s="64" t="s">
        <v>601</v>
      </c>
      <c r="F17" s="65" t="s">
        <v>602</v>
      </c>
    </row>
    <row r="18" customFormat="false" ht="91.5" hidden="false" customHeight="true" outlineLevel="0" collapsed="false">
      <c r="A18" s="38" t="s">
        <v>603</v>
      </c>
      <c r="B18" s="64" t="s">
        <v>604</v>
      </c>
      <c r="C18" s="13" t="s">
        <v>605</v>
      </c>
      <c r="D18" s="13" t="s">
        <v>606</v>
      </c>
      <c r="E18" s="64" t="s">
        <v>607</v>
      </c>
      <c r="F18" s="65" t="s">
        <v>608</v>
      </c>
    </row>
    <row r="19" customFormat="false" ht="91.5" hidden="false" customHeight="true" outlineLevel="0" collapsed="false">
      <c r="A19" s="38" t="s">
        <v>609</v>
      </c>
      <c r="B19" s="64" t="s">
        <v>610</v>
      </c>
      <c r="C19" s="13" t="s">
        <v>611</v>
      </c>
      <c r="D19" s="13" t="s">
        <v>612</v>
      </c>
      <c r="E19" s="64" t="s">
        <v>40</v>
      </c>
      <c r="F19" s="65" t="s">
        <v>613</v>
      </c>
    </row>
    <row r="20" customFormat="false" ht="91.5" hidden="false" customHeight="true" outlineLevel="0" collapsed="false">
      <c r="A20" s="38" t="s">
        <v>614</v>
      </c>
      <c r="B20" s="64" t="s">
        <v>615</v>
      </c>
      <c r="C20" s="13" t="s">
        <v>616</v>
      </c>
      <c r="D20" s="13" t="s">
        <v>617</v>
      </c>
      <c r="E20" s="64" t="s">
        <v>618</v>
      </c>
      <c r="F20" s="65" t="s">
        <v>619</v>
      </c>
    </row>
    <row r="21" customFormat="false" ht="91.5" hidden="false" customHeight="true" outlineLevel="0" collapsed="false">
      <c r="A21" s="38" t="s">
        <v>620</v>
      </c>
      <c r="B21" s="64" t="s">
        <v>621</v>
      </c>
      <c r="C21" s="13" t="s">
        <v>622</v>
      </c>
      <c r="D21" s="13" t="s">
        <v>623</v>
      </c>
      <c r="E21" s="64" t="s">
        <v>624</v>
      </c>
      <c r="F21" s="65" t="s">
        <v>625</v>
      </c>
    </row>
    <row r="22" customFormat="false" ht="91.5" hidden="false" customHeight="true" outlineLevel="0" collapsed="false">
      <c r="A22" s="38" t="s">
        <v>626</v>
      </c>
      <c r="B22" s="64" t="s">
        <v>627</v>
      </c>
      <c r="C22" s="13" t="s">
        <v>628</v>
      </c>
      <c r="D22" s="13" t="s">
        <v>629</v>
      </c>
      <c r="E22" s="64" t="s">
        <v>630</v>
      </c>
      <c r="F22" s="65" t="s">
        <v>631</v>
      </c>
    </row>
    <row r="23" customFormat="false" ht="91.5" hidden="false" customHeight="true" outlineLevel="0" collapsed="false">
      <c r="A23" s="38" t="s">
        <v>632</v>
      </c>
      <c r="B23" s="64" t="s">
        <v>633</v>
      </c>
      <c r="C23" s="13" t="s">
        <v>634</v>
      </c>
      <c r="D23" s="13" t="s">
        <v>635</v>
      </c>
      <c r="E23" s="64" t="s">
        <v>636</v>
      </c>
      <c r="F23" s="65" t="s">
        <v>637</v>
      </c>
    </row>
    <row r="24" customFormat="false" ht="91.5" hidden="false" customHeight="true" outlineLevel="0" collapsed="false">
      <c r="A24" s="38" t="s">
        <v>638</v>
      </c>
      <c r="B24" s="64" t="s">
        <v>639</v>
      </c>
      <c r="C24" s="13" t="s">
        <v>640</v>
      </c>
      <c r="D24" s="13" t="s">
        <v>641</v>
      </c>
      <c r="E24" s="64" t="s">
        <v>642</v>
      </c>
      <c r="F24" s="65" t="s">
        <v>643</v>
      </c>
    </row>
    <row r="26" customFormat="false" ht="15" hidden="false" customHeight="false" outlineLevel="0" collapsed="false">
      <c r="A26" s="2" t="s">
        <v>644</v>
      </c>
    </row>
    <row r="27" customFormat="false" ht="30" hidden="false" customHeight="true" outlineLevel="0" collapsed="false">
      <c r="B27" s="58" t="s">
        <v>645</v>
      </c>
      <c r="C27" s="58"/>
      <c r="D27" s="58"/>
      <c r="E27" s="58"/>
      <c r="F27" s="58"/>
    </row>
    <row r="28" customFormat="false" ht="30" hidden="false" customHeight="true" outlineLevel="0" collapsed="false">
      <c r="B28" s="58" t="s">
        <v>646</v>
      </c>
      <c r="C28" s="58"/>
      <c r="D28" s="58"/>
      <c r="E28" s="58"/>
      <c r="F28" s="58"/>
    </row>
    <row r="29" customFormat="false" ht="30" hidden="false" customHeight="true" outlineLevel="0" collapsed="false">
      <c r="B29" s="58" t="s">
        <v>647</v>
      </c>
      <c r="C29" s="58"/>
      <c r="D29" s="58"/>
      <c r="E29" s="58"/>
      <c r="F29" s="58"/>
    </row>
    <row r="30" customFormat="false" ht="30" hidden="false" customHeight="true" outlineLevel="0" collapsed="false">
      <c r="B30" s="58" t="s">
        <v>648</v>
      </c>
      <c r="C30" s="58"/>
      <c r="D30" s="58"/>
      <c r="E30" s="58"/>
      <c r="F30" s="58"/>
    </row>
    <row r="31" customFormat="false" ht="30" hidden="false" customHeight="true" outlineLevel="0" collapsed="false">
      <c r="B31" s="58" t="s">
        <v>649</v>
      </c>
      <c r="C31" s="58"/>
      <c r="D31" s="58"/>
      <c r="E31" s="58"/>
      <c r="F31" s="58"/>
    </row>
    <row r="32" customFormat="false" ht="30" hidden="false" customHeight="true" outlineLevel="0" collapsed="false">
      <c r="B32" s="58" t="s">
        <v>650</v>
      </c>
      <c r="C32" s="58"/>
      <c r="D32" s="58"/>
      <c r="E32" s="58"/>
      <c r="F32" s="58"/>
    </row>
    <row r="33" customFormat="false" ht="30" hidden="false" customHeight="true" outlineLevel="0" collapsed="false">
      <c r="B33" s="58" t="s">
        <v>651</v>
      </c>
      <c r="C33" s="58"/>
      <c r="D33" s="58"/>
      <c r="E33" s="58"/>
      <c r="F33" s="58"/>
    </row>
  </sheetData>
  <mergeCells count="8">
    <mergeCell ref="A2:F2"/>
    <mergeCell ref="B27:F27"/>
    <mergeCell ref="B28:F28"/>
    <mergeCell ref="B29:F29"/>
    <mergeCell ref="B30:F30"/>
    <mergeCell ref="B31:F31"/>
    <mergeCell ref="B32:F32"/>
    <mergeCell ref="B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44"/>
    <col collapsed="false" customWidth="true" hidden="false" outlineLevel="0" max="5" min="5" style="0" width="50"/>
  </cols>
  <sheetData>
    <row r="1" customFormat="false" ht="17.35" hidden="false" customHeight="false" outlineLevel="0" collapsed="false">
      <c r="A1" s="4" t="s">
        <v>652</v>
      </c>
    </row>
    <row r="2" customFormat="false" ht="57.75" hidden="false" customHeight="true" outlineLevel="0" collapsed="false">
      <c r="A2" s="5" t="s">
        <v>653</v>
      </c>
      <c r="B2" s="5"/>
      <c r="C2" s="5"/>
      <c r="D2" s="5"/>
      <c r="E2" s="5"/>
      <c r="F2" s="5"/>
    </row>
    <row r="4" customFormat="false" ht="15" hidden="false" customHeight="false" outlineLevel="0" collapsed="false">
      <c r="A4" s="6" t="s">
        <v>654</v>
      </c>
      <c r="B4" s="6" t="s">
        <v>655</v>
      </c>
      <c r="C4" s="6" t="s">
        <v>656</v>
      </c>
      <c r="D4" s="6" t="s">
        <v>657</v>
      </c>
      <c r="E4" s="6" t="s">
        <v>658</v>
      </c>
    </row>
    <row r="5" customFormat="false" ht="103.5" hidden="false" customHeight="true" outlineLevel="0" collapsed="false">
      <c r="A5" s="66" t="s">
        <v>659</v>
      </c>
      <c r="B5" s="13" t="s">
        <v>660</v>
      </c>
      <c r="C5" s="13" t="s">
        <v>661</v>
      </c>
      <c r="D5" s="13" t="s">
        <v>662</v>
      </c>
      <c r="E5" s="13" t="s">
        <v>663</v>
      </c>
    </row>
    <row r="6" customFormat="false" ht="103.5" hidden="false" customHeight="true" outlineLevel="0" collapsed="false">
      <c r="A6" s="66" t="s">
        <v>664</v>
      </c>
      <c r="B6" s="13" t="s">
        <v>665</v>
      </c>
      <c r="C6" s="13" t="s">
        <v>666</v>
      </c>
      <c r="D6" s="13" t="s">
        <v>667</v>
      </c>
      <c r="E6" s="13" t="s">
        <v>668</v>
      </c>
    </row>
    <row r="7" customFormat="false" ht="103.5" hidden="false" customHeight="true" outlineLevel="0" collapsed="false">
      <c r="A7" s="66" t="s">
        <v>669</v>
      </c>
      <c r="B7" s="13" t="s">
        <v>670</v>
      </c>
      <c r="C7" s="13" t="s">
        <v>671</v>
      </c>
      <c r="D7" s="13" t="s">
        <v>672</v>
      </c>
      <c r="E7" s="13" t="s">
        <v>673</v>
      </c>
    </row>
    <row r="9" customFormat="false" ht="15" hidden="false" customHeight="false" outlineLevel="0" collapsed="false">
      <c r="A9" s="2" t="s">
        <v>674</v>
      </c>
    </row>
    <row r="10" customFormat="false" ht="51.75" hidden="false" customHeight="true" outlineLevel="0" collapsed="false">
      <c r="A10" s="54" t="s">
        <v>675</v>
      </c>
      <c r="B10" s="54"/>
      <c r="C10" s="54"/>
      <c r="D10" s="54"/>
      <c r="E10" s="54"/>
    </row>
    <row r="11" customFormat="false" ht="51.75" hidden="false" customHeight="true" outlineLevel="0" collapsed="false">
      <c r="A11" s="54" t="s">
        <v>676</v>
      </c>
      <c r="B11" s="54"/>
      <c r="C11" s="54"/>
      <c r="D11" s="54"/>
      <c r="E11" s="54"/>
    </row>
    <row r="12" customFormat="false" ht="51.75" hidden="false" customHeight="true" outlineLevel="0" collapsed="false">
      <c r="A12" s="54" t="s">
        <v>677</v>
      </c>
      <c r="B12" s="54"/>
      <c r="C12" s="54"/>
      <c r="D12" s="54"/>
      <c r="E12" s="54"/>
    </row>
    <row r="13" customFormat="false" ht="51.75" hidden="false" customHeight="true" outlineLevel="0" collapsed="false">
      <c r="A13" s="54" t="s">
        <v>678</v>
      </c>
      <c r="B13" s="54"/>
      <c r="C13" s="54"/>
      <c r="D13" s="54"/>
      <c r="E13" s="54"/>
    </row>
    <row r="14" customFormat="false" ht="51.75" hidden="false" customHeight="true" outlineLevel="0" collapsed="false">
      <c r="A14" s="54" t="s">
        <v>679</v>
      </c>
      <c r="B14" s="54"/>
      <c r="C14" s="54"/>
      <c r="D14" s="54"/>
      <c r="E14" s="54"/>
    </row>
  </sheetData>
  <mergeCells count="6">
    <mergeCell ref="A2:F2"/>
    <mergeCell ref="A10:E10"/>
    <mergeCell ref="A11:E11"/>
    <mergeCell ref="A12:E12"/>
    <mergeCell ref="A13:E13"/>
    <mergeCell ref="A14:E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680</v>
      </c>
    </row>
    <row r="2" customFormat="false" ht="15" hidden="false" customHeight="false" outlineLevel="0" collapsed="false">
      <c r="A2" s="67" t="s">
        <v>681</v>
      </c>
    </row>
    <row r="4" customFormat="false" ht="15" hidden="false" customHeight="false" outlineLevel="0" collapsed="false">
      <c r="A4" s="37" t="s">
        <v>682</v>
      </c>
      <c r="B4" s="37" t="s">
        <v>25</v>
      </c>
      <c r="C4" s="68" t="s">
        <v>683</v>
      </c>
      <c r="D4" s="68" t="s">
        <v>684</v>
      </c>
      <c r="E4" s="68" t="s">
        <v>685</v>
      </c>
      <c r="F4" s="68" t="s">
        <v>686</v>
      </c>
      <c r="G4" s="68" t="s">
        <v>687</v>
      </c>
      <c r="H4" s="68" t="s">
        <v>688</v>
      </c>
      <c r="I4" s="68" t="s">
        <v>689</v>
      </c>
      <c r="J4" s="68" t="s">
        <v>690</v>
      </c>
      <c r="K4" s="68" t="s">
        <v>691</v>
      </c>
      <c r="L4" s="68" t="s">
        <v>692</v>
      </c>
      <c r="M4" s="68" t="s">
        <v>693</v>
      </c>
      <c r="N4" s="68" t="s">
        <v>694</v>
      </c>
      <c r="O4" s="68" t="s">
        <v>695</v>
      </c>
      <c r="P4" s="68" t="s">
        <v>696</v>
      </c>
      <c r="Q4" s="68" t="s">
        <v>697</v>
      </c>
      <c r="R4" s="68" t="s">
        <v>698</v>
      </c>
      <c r="S4" s="68" t="s">
        <v>699</v>
      </c>
      <c r="T4" s="68" t="s">
        <v>700</v>
      </c>
      <c r="U4" s="68" t="s">
        <v>701</v>
      </c>
      <c r="V4" s="68" t="s">
        <v>702</v>
      </c>
      <c r="W4" s="68" t="s">
        <v>703</v>
      </c>
      <c r="X4" s="68" t="s">
        <v>704</v>
      </c>
      <c r="Y4" s="68" t="s">
        <v>705</v>
      </c>
      <c r="Z4" s="68" t="s">
        <v>706</v>
      </c>
      <c r="AA4" s="68" t="s">
        <v>707</v>
      </c>
      <c r="AB4" s="68" t="s">
        <v>708</v>
      </c>
      <c r="AC4" s="68" t="s">
        <v>709</v>
      </c>
      <c r="AD4" s="68" t="s">
        <v>710</v>
      </c>
      <c r="AE4" s="68" t="s">
        <v>711</v>
      </c>
      <c r="AF4" s="68" t="s">
        <v>712</v>
      </c>
      <c r="AG4" s="68" t="s">
        <v>713</v>
      </c>
      <c r="AH4" s="68" t="s">
        <v>714</v>
      </c>
      <c r="AI4" s="68" t="s">
        <v>715</v>
      </c>
      <c r="AJ4" s="68" t="s">
        <v>716</v>
      </c>
      <c r="AK4" s="68" t="s">
        <v>717</v>
      </c>
      <c r="AL4" s="68" t="s">
        <v>718</v>
      </c>
      <c r="AM4" s="37" t="s">
        <v>719</v>
      </c>
    </row>
    <row r="5" customFormat="false" ht="15" hidden="false" customHeight="false" outlineLevel="0" collapsed="false">
      <c r="A5" s="0" t="s">
        <v>720</v>
      </c>
      <c r="B5" s="0" t="s">
        <v>49</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721</v>
      </c>
      <c r="B6" s="0" t="s">
        <v>49</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722</v>
      </c>
      <c r="B8" s="9" t="s">
        <v>723</v>
      </c>
      <c r="C8" s="69" t="n">
        <f aca="false">IF(C$5&gt;=Assumptions!$D$6,1,0)</f>
        <v>0</v>
      </c>
      <c r="D8" s="69" t="n">
        <f aca="false">IF(D$5&gt;=Assumptions!$D$6,1,0)</f>
        <v>0</v>
      </c>
      <c r="E8" s="69" t="n">
        <f aca="false">IF(E$5&gt;=Assumptions!$D$6,1,0)</f>
        <v>1</v>
      </c>
      <c r="F8" s="69" t="n">
        <f aca="false">IF(F$5&gt;=Assumptions!$D$6,1,0)</f>
        <v>1</v>
      </c>
      <c r="G8" s="69" t="n">
        <f aca="false">IF(G$5&gt;=Assumptions!$D$6,1,0)</f>
        <v>1</v>
      </c>
      <c r="H8" s="69" t="n">
        <f aca="false">IF(H$5&gt;=Assumptions!$D$6,1,0)</f>
        <v>1</v>
      </c>
      <c r="I8" s="69" t="n">
        <f aca="false">IF(I$5&gt;=Assumptions!$D$6,1,0)</f>
        <v>1</v>
      </c>
      <c r="J8" s="69" t="n">
        <f aca="false">IF(J$5&gt;=Assumptions!$D$6,1,0)</f>
        <v>1</v>
      </c>
      <c r="K8" s="69" t="n">
        <f aca="false">IF(K$5&gt;=Assumptions!$D$6,1,0)</f>
        <v>1</v>
      </c>
      <c r="L8" s="69" t="n">
        <f aca="false">IF(L$5&gt;=Assumptions!$D$6,1,0)</f>
        <v>1</v>
      </c>
      <c r="M8" s="69" t="n">
        <f aca="false">IF(M$5&gt;=Assumptions!$D$6,1,0)</f>
        <v>1</v>
      </c>
      <c r="N8" s="69" t="n">
        <f aca="false">IF(N$5&gt;=Assumptions!$D$6,1,0)</f>
        <v>1</v>
      </c>
      <c r="O8" s="69" t="n">
        <f aca="false">IF(O$5&gt;=Assumptions!$D$6,1,0)</f>
        <v>1</v>
      </c>
      <c r="P8" s="69" t="n">
        <f aca="false">IF(P$5&gt;=Assumptions!$D$6,1,0)</f>
        <v>1</v>
      </c>
      <c r="Q8" s="69" t="n">
        <f aca="false">IF(Q$5&gt;=Assumptions!$D$6,1,0)</f>
        <v>1</v>
      </c>
      <c r="R8" s="69" t="n">
        <f aca="false">IF(R$5&gt;=Assumptions!$D$6,1,0)</f>
        <v>1</v>
      </c>
      <c r="S8" s="69" t="n">
        <f aca="false">IF(S$5&gt;=Assumptions!$D$6,1,0)</f>
        <v>1</v>
      </c>
      <c r="T8" s="69" t="n">
        <f aca="false">IF(T$5&gt;=Assumptions!$D$6,1,0)</f>
        <v>1</v>
      </c>
      <c r="U8" s="69" t="n">
        <f aca="false">IF(U$5&gt;=Assumptions!$D$6,1,0)</f>
        <v>1</v>
      </c>
      <c r="V8" s="69" t="n">
        <f aca="false">IF(V$5&gt;=Assumptions!$D$6,1,0)</f>
        <v>1</v>
      </c>
      <c r="W8" s="69" t="n">
        <f aca="false">IF(W$5&gt;=Assumptions!$D$6,1,0)</f>
        <v>1</v>
      </c>
      <c r="X8" s="69" t="n">
        <f aca="false">IF(X$5&gt;=Assumptions!$D$6,1,0)</f>
        <v>1</v>
      </c>
      <c r="Y8" s="69" t="n">
        <f aca="false">IF(Y$5&gt;=Assumptions!$D$6,1,0)</f>
        <v>1</v>
      </c>
      <c r="Z8" s="69" t="n">
        <f aca="false">IF(Z$5&gt;=Assumptions!$D$6,1,0)</f>
        <v>1</v>
      </c>
      <c r="AA8" s="69" t="n">
        <f aca="false">IF(AA$5&gt;=Assumptions!$D$6,1,0)</f>
        <v>1</v>
      </c>
      <c r="AB8" s="69" t="n">
        <f aca="false">IF(AB$5&gt;=Assumptions!$D$6,1,0)</f>
        <v>1</v>
      </c>
      <c r="AC8" s="69" t="n">
        <f aca="false">IF(AC$5&gt;=Assumptions!$D$6,1,0)</f>
        <v>1</v>
      </c>
      <c r="AD8" s="69" t="n">
        <f aca="false">IF(AD$5&gt;=Assumptions!$D$6,1,0)</f>
        <v>1</v>
      </c>
      <c r="AE8" s="69" t="n">
        <f aca="false">IF(AE$5&gt;=Assumptions!$D$6,1,0)</f>
        <v>1</v>
      </c>
      <c r="AF8" s="69" t="n">
        <f aca="false">IF(AF$5&gt;=Assumptions!$D$6,1,0)</f>
        <v>1</v>
      </c>
      <c r="AG8" s="69" t="n">
        <f aca="false">IF(AG$5&gt;=Assumptions!$D$6,1,0)</f>
        <v>1</v>
      </c>
      <c r="AH8" s="69" t="n">
        <f aca="false">IF(AH$5&gt;=Assumptions!$D$6,1,0)</f>
        <v>1</v>
      </c>
      <c r="AI8" s="69" t="n">
        <f aca="false">IF(AI$5&gt;=Assumptions!$D$6,1,0)</f>
        <v>1</v>
      </c>
      <c r="AJ8" s="69" t="n">
        <f aca="false">IF(AJ$5&gt;=Assumptions!$D$6,1,0)</f>
        <v>1</v>
      </c>
      <c r="AK8" s="69" t="n">
        <f aca="false">IF(AK$5&gt;=Assumptions!$D$6,1,0)</f>
        <v>1</v>
      </c>
      <c r="AL8" s="69" t="n">
        <f aca="false">IF(AL$5&gt;=Assumptions!$D$6,1,0)</f>
        <v>1</v>
      </c>
      <c r="AM8" s="69"/>
    </row>
    <row r="9" customFormat="false" ht="15" hidden="false" customHeight="false" outlineLevel="0" collapsed="false">
      <c r="A9" s="10" t="s">
        <v>724</v>
      </c>
      <c r="B9" s="9" t="s">
        <v>723</v>
      </c>
      <c r="C9" s="69" t="n">
        <f aca="false">IF(C$5&gt;=Assumptions!$D$7,1,0)</f>
        <v>0</v>
      </c>
      <c r="D9" s="69" t="n">
        <f aca="false">IF(D$5&gt;=Assumptions!$D$7,1,0)</f>
        <v>0</v>
      </c>
      <c r="E9" s="69" t="n">
        <f aca="false">IF(E$5&gt;=Assumptions!$D$7,1,0)</f>
        <v>0</v>
      </c>
      <c r="F9" s="69" t="n">
        <f aca="false">IF(F$5&gt;=Assumptions!$D$7,1,0)</f>
        <v>0</v>
      </c>
      <c r="G9" s="69" t="n">
        <f aca="false">IF(G$5&gt;=Assumptions!$D$7,1,0)</f>
        <v>0</v>
      </c>
      <c r="H9" s="69" t="n">
        <f aca="false">IF(H$5&gt;=Assumptions!$D$7,1,0)</f>
        <v>0</v>
      </c>
      <c r="I9" s="69" t="n">
        <f aca="false">IF(I$5&gt;=Assumptions!$D$7,1,0)</f>
        <v>0</v>
      </c>
      <c r="J9" s="69" t="n">
        <f aca="false">IF(J$5&gt;=Assumptions!$D$7,1,0)</f>
        <v>0</v>
      </c>
      <c r="K9" s="69" t="n">
        <f aca="false">IF(K$5&gt;=Assumptions!$D$7,1,0)</f>
        <v>1</v>
      </c>
      <c r="L9" s="69" t="n">
        <f aca="false">IF(L$5&gt;=Assumptions!$D$7,1,0)</f>
        <v>1</v>
      </c>
      <c r="M9" s="69" t="n">
        <f aca="false">IF(M$5&gt;=Assumptions!$D$7,1,0)</f>
        <v>1</v>
      </c>
      <c r="N9" s="69" t="n">
        <f aca="false">IF(N$5&gt;=Assumptions!$D$7,1,0)</f>
        <v>1</v>
      </c>
      <c r="O9" s="69" t="n">
        <f aca="false">IF(O$5&gt;=Assumptions!$D$7,1,0)</f>
        <v>1</v>
      </c>
      <c r="P9" s="69" t="n">
        <f aca="false">IF(P$5&gt;=Assumptions!$D$7,1,0)</f>
        <v>1</v>
      </c>
      <c r="Q9" s="69" t="n">
        <f aca="false">IF(Q$5&gt;=Assumptions!$D$7,1,0)</f>
        <v>1</v>
      </c>
      <c r="R9" s="69" t="n">
        <f aca="false">IF(R$5&gt;=Assumptions!$D$7,1,0)</f>
        <v>1</v>
      </c>
      <c r="S9" s="69" t="n">
        <f aca="false">IF(S$5&gt;=Assumptions!$D$7,1,0)</f>
        <v>1</v>
      </c>
      <c r="T9" s="69" t="n">
        <f aca="false">IF(T$5&gt;=Assumptions!$D$7,1,0)</f>
        <v>1</v>
      </c>
      <c r="U9" s="69" t="n">
        <f aca="false">IF(U$5&gt;=Assumptions!$D$7,1,0)</f>
        <v>1</v>
      </c>
      <c r="V9" s="69" t="n">
        <f aca="false">IF(V$5&gt;=Assumptions!$D$7,1,0)</f>
        <v>1</v>
      </c>
      <c r="W9" s="69" t="n">
        <f aca="false">IF(W$5&gt;=Assumptions!$D$7,1,0)</f>
        <v>1</v>
      </c>
      <c r="X9" s="69" t="n">
        <f aca="false">IF(X$5&gt;=Assumptions!$D$7,1,0)</f>
        <v>1</v>
      </c>
      <c r="Y9" s="69" t="n">
        <f aca="false">IF(Y$5&gt;=Assumptions!$D$7,1,0)</f>
        <v>1</v>
      </c>
      <c r="Z9" s="69" t="n">
        <f aca="false">IF(Z$5&gt;=Assumptions!$D$7,1,0)</f>
        <v>1</v>
      </c>
      <c r="AA9" s="69" t="n">
        <f aca="false">IF(AA$5&gt;=Assumptions!$D$7,1,0)</f>
        <v>1</v>
      </c>
      <c r="AB9" s="69" t="n">
        <f aca="false">IF(AB$5&gt;=Assumptions!$D$7,1,0)</f>
        <v>1</v>
      </c>
      <c r="AC9" s="69" t="n">
        <f aca="false">IF(AC$5&gt;=Assumptions!$D$7,1,0)</f>
        <v>1</v>
      </c>
      <c r="AD9" s="69" t="n">
        <f aca="false">IF(AD$5&gt;=Assumptions!$D$7,1,0)</f>
        <v>1</v>
      </c>
      <c r="AE9" s="69" t="n">
        <f aca="false">IF(AE$5&gt;=Assumptions!$D$7,1,0)</f>
        <v>1</v>
      </c>
      <c r="AF9" s="69" t="n">
        <f aca="false">IF(AF$5&gt;=Assumptions!$D$7,1,0)</f>
        <v>1</v>
      </c>
      <c r="AG9" s="69" t="n">
        <f aca="false">IF(AG$5&gt;=Assumptions!$D$7,1,0)</f>
        <v>1</v>
      </c>
      <c r="AH9" s="69" t="n">
        <f aca="false">IF(AH$5&gt;=Assumptions!$D$7,1,0)</f>
        <v>1</v>
      </c>
      <c r="AI9" s="69" t="n">
        <f aca="false">IF(AI$5&gt;=Assumptions!$D$7,1,0)</f>
        <v>1</v>
      </c>
      <c r="AJ9" s="69" t="n">
        <f aca="false">IF(AJ$5&gt;=Assumptions!$D$7,1,0)</f>
        <v>1</v>
      </c>
      <c r="AK9" s="69" t="n">
        <f aca="false">IF(AK$5&gt;=Assumptions!$D$7,1,0)</f>
        <v>1</v>
      </c>
      <c r="AL9" s="69" t="n">
        <f aca="false">IF(AL$5&gt;=Assumptions!$D$7,1,0)</f>
        <v>1</v>
      </c>
      <c r="AM9" s="69"/>
    </row>
    <row r="10" customFormat="false" ht="15" hidden="false" customHeight="false" outlineLevel="0" collapsed="false">
      <c r="A10" s="10" t="s">
        <v>725</v>
      </c>
      <c r="B10" s="9" t="s">
        <v>49</v>
      </c>
      <c r="C10" s="69" t="n">
        <f aca="false">MAX(0,C$5-Assumptions!$D$6)</f>
        <v>0</v>
      </c>
      <c r="D10" s="69" t="n">
        <f aca="false">MAX(0,D$5-Assumptions!$D$6)</f>
        <v>0</v>
      </c>
      <c r="E10" s="69" t="n">
        <f aca="false">MAX(0,E$5-Assumptions!$D$6)</f>
        <v>0</v>
      </c>
      <c r="F10" s="69" t="n">
        <f aca="false">MAX(0,F$5-Assumptions!$D$6)</f>
        <v>1</v>
      </c>
      <c r="G10" s="69" t="n">
        <f aca="false">MAX(0,G$5-Assumptions!$D$6)</f>
        <v>2</v>
      </c>
      <c r="H10" s="69" t="n">
        <f aca="false">MAX(0,H$5-Assumptions!$D$6)</f>
        <v>3</v>
      </c>
      <c r="I10" s="69" t="n">
        <f aca="false">MAX(0,I$5-Assumptions!$D$6)</f>
        <v>4</v>
      </c>
      <c r="J10" s="69" t="n">
        <f aca="false">MAX(0,J$5-Assumptions!$D$6)</f>
        <v>5</v>
      </c>
      <c r="K10" s="69" t="n">
        <f aca="false">MAX(0,K$5-Assumptions!$D$6)</f>
        <v>6</v>
      </c>
      <c r="L10" s="69" t="n">
        <f aca="false">MAX(0,L$5-Assumptions!$D$6)</f>
        <v>7</v>
      </c>
      <c r="M10" s="69" t="n">
        <f aca="false">MAX(0,M$5-Assumptions!$D$6)</f>
        <v>8</v>
      </c>
      <c r="N10" s="69" t="n">
        <f aca="false">MAX(0,N$5-Assumptions!$D$6)</f>
        <v>9</v>
      </c>
      <c r="O10" s="69" t="n">
        <f aca="false">MAX(0,O$5-Assumptions!$D$6)</f>
        <v>10</v>
      </c>
      <c r="P10" s="69" t="n">
        <f aca="false">MAX(0,P$5-Assumptions!$D$6)</f>
        <v>11</v>
      </c>
      <c r="Q10" s="69" t="n">
        <f aca="false">MAX(0,Q$5-Assumptions!$D$6)</f>
        <v>12</v>
      </c>
      <c r="R10" s="69" t="n">
        <f aca="false">MAX(0,R$5-Assumptions!$D$6)</f>
        <v>13</v>
      </c>
      <c r="S10" s="69" t="n">
        <f aca="false">MAX(0,S$5-Assumptions!$D$6)</f>
        <v>14</v>
      </c>
      <c r="T10" s="69" t="n">
        <f aca="false">MAX(0,T$5-Assumptions!$D$6)</f>
        <v>15</v>
      </c>
      <c r="U10" s="69" t="n">
        <f aca="false">MAX(0,U$5-Assumptions!$D$6)</f>
        <v>16</v>
      </c>
      <c r="V10" s="69" t="n">
        <f aca="false">MAX(0,V$5-Assumptions!$D$6)</f>
        <v>17</v>
      </c>
      <c r="W10" s="69" t="n">
        <f aca="false">MAX(0,W$5-Assumptions!$D$6)</f>
        <v>18</v>
      </c>
      <c r="X10" s="69" t="n">
        <f aca="false">MAX(0,X$5-Assumptions!$D$6)</f>
        <v>19</v>
      </c>
      <c r="Y10" s="69" t="n">
        <f aca="false">MAX(0,Y$5-Assumptions!$D$6)</f>
        <v>20</v>
      </c>
      <c r="Z10" s="69" t="n">
        <f aca="false">MAX(0,Z$5-Assumptions!$D$6)</f>
        <v>21</v>
      </c>
      <c r="AA10" s="69" t="n">
        <f aca="false">MAX(0,AA$5-Assumptions!$D$6)</f>
        <v>22</v>
      </c>
      <c r="AB10" s="69" t="n">
        <f aca="false">MAX(0,AB$5-Assumptions!$D$6)</f>
        <v>23</v>
      </c>
      <c r="AC10" s="69" t="n">
        <f aca="false">MAX(0,AC$5-Assumptions!$D$6)</f>
        <v>24</v>
      </c>
      <c r="AD10" s="69" t="n">
        <f aca="false">MAX(0,AD$5-Assumptions!$D$6)</f>
        <v>25</v>
      </c>
      <c r="AE10" s="69" t="n">
        <f aca="false">MAX(0,AE$5-Assumptions!$D$6)</f>
        <v>26</v>
      </c>
      <c r="AF10" s="69" t="n">
        <f aca="false">MAX(0,AF$5-Assumptions!$D$6)</f>
        <v>27</v>
      </c>
      <c r="AG10" s="69" t="n">
        <f aca="false">MAX(0,AG$5-Assumptions!$D$6)</f>
        <v>28</v>
      </c>
      <c r="AH10" s="69" t="n">
        <f aca="false">MAX(0,AH$5-Assumptions!$D$6)</f>
        <v>29</v>
      </c>
      <c r="AI10" s="69" t="n">
        <f aca="false">MAX(0,AI$5-Assumptions!$D$6)</f>
        <v>30</v>
      </c>
      <c r="AJ10" s="69" t="n">
        <f aca="false">MAX(0,AJ$5-Assumptions!$D$6)</f>
        <v>31</v>
      </c>
      <c r="AK10" s="69" t="n">
        <f aca="false">MAX(0,AK$5-Assumptions!$D$6)</f>
        <v>32</v>
      </c>
      <c r="AL10" s="69" t="n">
        <f aca="false">MAX(0,AL$5-Assumptions!$D$6)</f>
        <v>33</v>
      </c>
      <c r="AM10" s="69"/>
    </row>
    <row r="11" customFormat="false" ht="15" hidden="false" customHeight="false" outlineLevel="0" collapsed="false">
      <c r="A11" s="10" t="s">
        <v>726</v>
      </c>
      <c r="B11" s="9" t="s">
        <v>82</v>
      </c>
      <c r="C11" s="61" t="n">
        <f aca="false">Assumptions!$D$9*Assumptions!$D$10*Assumptions!$D$11*Assumptions!$D$12</f>
        <v>7672</v>
      </c>
      <c r="D11" s="61" t="n">
        <f aca="false">Assumptions!$D$9*Assumptions!$D$10*Assumptions!$D$11*Assumptions!$D$12</f>
        <v>7672</v>
      </c>
      <c r="E11" s="61" t="n">
        <f aca="false">Assumptions!$D$9*Assumptions!$D$10*Assumptions!$D$11*Assumptions!$D$12</f>
        <v>7672</v>
      </c>
      <c r="F11" s="61" t="n">
        <f aca="false">Assumptions!$D$9*Assumptions!$D$10*Assumptions!$D$11*Assumptions!$D$12</f>
        <v>7672</v>
      </c>
      <c r="G11" s="61" t="n">
        <f aca="false">Assumptions!$D$9*Assumptions!$D$10*Assumptions!$D$11*Assumptions!$D$12</f>
        <v>7672</v>
      </c>
      <c r="H11" s="61" t="n">
        <f aca="false">Assumptions!$D$9*Assumptions!$D$10*Assumptions!$D$11*Assumptions!$D$12</f>
        <v>7672</v>
      </c>
      <c r="I11" s="61" t="n">
        <f aca="false">Assumptions!$D$9*Assumptions!$D$10*Assumptions!$D$11*Assumptions!$D$12</f>
        <v>7672</v>
      </c>
      <c r="J11" s="61" t="n">
        <f aca="false">Assumptions!$D$9*Assumptions!$D$10*Assumptions!$D$11*Assumptions!$D$12</f>
        <v>7672</v>
      </c>
      <c r="K11" s="61" t="n">
        <f aca="false">Assumptions!$D$9*Assumptions!$D$10*Assumptions!$D$11*Assumptions!$D$12</f>
        <v>7672</v>
      </c>
      <c r="L11" s="61" t="n">
        <f aca="false">Assumptions!$D$9*Assumptions!$D$10*Assumptions!$D$11*Assumptions!$D$12</f>
        <v>7672</v>
      </c>
      <c r="M11" s="61" t="n">
        <f aca="false">Assumptions!$D$9*Assumptions!$D$10*Assumptions!$D$11*Assumptions!$D$12</f>
        <v>7672</v>
      </c>
      <c r="N11" s="61" t="n">
        <f aca="false">Assumptions!$D$9*Assumptions!$D$10*Assumptions!$D$11*Assumptions!$D$12</f>
        <v>7672</v>
      </c>
      <c r="O11" s="61" t="n">
        <f aca="false">Assumptions!$D$9*Assumptions!$D$10*Assumptions!$D$11*Assumptions!$D$12</f>
        <v>7672</v>
      </c>
      <c r="P11" s="61" t="n">
        <f aca="false">Assumptions!$D$9*Assumptions!$D$10*Assumptions!$D$11*Assumptions!$D$12</f>
        <v>7672</v>
      </c>
      <c r="Q11" s="61" t="n">
        <f aca="false">Assumptions!$D$9*Assumptions!$D$10*Assumptions!$D$11*Assumptions!$D$12</f>
        <v>7672</v>
      </c>
      <c r="R11" s="61" t="n">
        <f aca="false">Assumptions!$D$9*Assumptions!$D$10*Assumptions!$D$11*Assumptions!$D$12</f>
        <v>7672</v>
      </c>
      <c r="S11" s="61" t="n">
        <f aca="false">Assumptions!$D$9*Assumptions!$D$10*Assumptions!$D$11*Assumptions!$D$12</f>
        <v>7672</v>
      </c>
      <c r="T11" s="61" t="n">
        <f aca="false">Assumptions!$D$9*Assumptions!$D$10*Assumptions!$D$11*Assumptions!$D$12</f>
        <v>7672</v>
      </c>
      <c r="U11" s="61" t="n">
        <f aca="false">Assumptions!$D$9*Assumptions!$D$10*Assumptions!$D$11*Assumptions!$D$12</f>
        <v>7672</v>
      </c>
      <c r="V11" s="61" t="n">
        <f aca="false">Assumptions!$D$9*Assumptions!$D$10*Assumptions!$D$11*Assumptions!$D$12</f>
        <v>7672</v>
      </c>
      <c r="W11" s="61" t="n">
        <f aca="false">Assumptions!$D$9*Assumptions!$D$10*Assumptions!$D$11*Assumptions!$D$12</f>
        <v>7672</v>
      </c>
      <c r="X11" s="61" t="n">
        <f aca="false">Assumptions!$D$9*Assumptions!$D$10*Assumptions!$D$11*Assumptions!$D$12</f>
        <v>7672</v>
      </c>
      <c r="Y11" s="61" t="n">
        <f aca="false">Assumptions!$D$9*Assumptions!$D$10*Assumptions!$D$11*Assumptions!$D$12</f>
        <v>7672</v>
      </c>
      <c r="Z11" s="61" t="n">
        <f aca="false">Assumptions!$D$9*Assumptions!$D$10*Assumptions!$D$11*Assumptions!$D$12</f>
        <v>7672</v>
      </c>
      <c r="AA11" s="61" t="n">
        <f aca="false">Assumptions!$D$9*Assumptions!$D$10*Assumptions!$D$11*Assumptions!$D$12</f>
        <v>7672</v>
      </c>
      <c r="AB11" s="61" t="n">
        <f aca="false">Assumptions!$D$9*Assumptions!$D$10*Assumptions!$D$11*Assumptions!$D$12</f>
        <v>7672</v>
      </c>
      <c r="AC11" s="61" t="n">
        <f aca="false">Assumptions!$D$9*Assumptions!$D$10*Assumptions!$D$11*Assumptions!$D$12</f>
        <v>7672</v>
      </c>
      <c r="AD11" s="61" t="n">
        <f aca="false">Assumptions!$D$9*Assumptions!$D$10*Assumptions!$D$11*Assumptions!$D$12</f>
        <v>7672</v>
      </c>
      <c r="AE11" s="61" t="n">
        <f aca="false">Assumptions!$D$9*Assumptions!$D$10*Assumptions!$D$11*Assumptions!$D$12</f>
        <v>7672</v>
      </c>
      <c r="AF11" s="61" t="n">
        <f aca="false">Assumptions!$D$9*Assumptions!$D$10*Assumptions!$D$11*Assumptions!$D$12</f>
        <v>7672</v>
      </c>
      <c r="AG11" s="61" t="n">
        <f aca="false">Assumptions!$D$9*Assumptions!$D$10*Assumptions!$D$11*Assumptions!$D$12</f>
        <v>7672</v>
      </c>
      <c r="AH11" s="61" t="n">
        <f aca="false">Assumptions!$D$9*Assumptions!$D$10*Assumptions!$D$11*Assumptions!$D$12</f>
        <v>7672</v>
      </c>
      <c r="AI11" s="61" t="n">
        <f aca="false">Assumptions!$D$9*Assumptions!$D$10*Assumptions!$D$11*Assumptions!$D$12</f>
        <v>7672</v>
      </c>
      <c r="AJ11" s="61" t="n">
        <f aca="false">Assumptions!$D$9*Assumptions!$D$10*Assumptions!$D$11*Assumptions!$D$12</f>
        <v>7672</v>
      </c>
      <c r="AK11" s="61" t="n">
        <f aca="false">Assumptions!$D$9*Assumptions!$D$10*Assumptions!$D$11*Assumptions!$D$12</f>
        <v>7672</v>
      </c>
      <c r="AL11" s="61" t="n">
        <f aca="false">Assumptions!$D$9*Assumptions!$D$10*Assumptions!$D$11*Assumptions!$D$12</f>
        <v>7672</v>
      </c>
      <c r="AM11" s="61"/>
    </row>
    <row r="12" customFormat="false" ht="15" hidden="false" customHeight="false" outlineLevel="0" collapsed="false">
      <c r="A12" s="10" t="s">
        <v>727</v>
      </c>
      <c r="B12" s="9" t="s">
        <v>76</v>
      </c>
      <c r="C12" s="57" t="n">
        <f aca="false">IF(C8=0,0,IF(C10=0,Assumptions!$D$15,Assumptions!$D$14+(1-Assumptions!$D$14)*Assumptions!$D$13^C10))</f>
        <v>0</v>
      </c>
      <c r="D12" s="57" t="n">
        <f aca="false">IF(D8=0,0,IF(D10=0,Assumptions!$D$15,Assumptions!$D$14+(1-Assumptions!$D$14)*Assumptions!$D$13^D10))</f>
        <v>0</v>
      </c>
      <c r="E12" s="57" t="n">
        <f aca="false">IF(E8=0,0,IF(E10=0,Assumptions!$D$15,Assumptions!$D$14+(1-Assumptions!$D$14)*Assumptions!$D$13^E10))</f>
        <v>1.6</v>
      </c>
      <c r="F12" s="57" t="n">
        <f aca="false">IF(F8=0,0,IF(F10=0,Assumptions!$D$15,Assumptions!$D$14+(1-Assumptions!$D$14)*Assumptions!$D$13^F10))</f>
        <v>0.7984</v>
      </c>
      <c r="G12" s="57" t="n">
        <f aca="false">IF(G8=0,0,IF(G10=0,Assumptions!$D$15,Assumptions!$D$14+(1-Assumptions!$D$14)*Assumptions!$D$13^G10))</f>
        <v>0.653248</v>
      </c>
      <c r="H12" s="57" t="n">
        <f aca="false">IF(H8=0,0,IF(H10=0,Assumptions!$D$15,Assumptions!$D$14+(1-Assumptions!$D$14)*Assumptions!$D$13^H10))</f>
        <v>0.54873856</v>
      </c>
      <c r="I12" s="57" t="n">
        <f aca="false">IF(I8=0,0,IF(I10=0,Assumptions!$D$15,Assumptions!$D$14+(1-Assumptions!$D$14)*Assumptions!$D$13^I10))</f>
        <v>0.4734917632</v>
      </c>
      <c r="J12" s="57" t="n">
        <f aca="false">IF(J8=0,0,IF(J10=0,Assumptions!$D$15,Assumptions!$D$14+(1-Assumptions!$D$14)*Assumptions!$D$13^J10))</f>
        <v>0.419314069504</v>
      </c>
      <c r="K12" s="57" t="n">
        <f aca="false">IF(K8=0,0,IF(K10=0,Assumptions!$D$15,Assumptions!$D$14+(1-Assumptions!$D$14)*Assumptions!$D$13^K10))</f>
        <v>0.38030613004288</v>
      </c>
      <c r="L12" s="57" t="n">
        <f aca="false">IF(L8=0,0,IF(L10=0,Assumptions!$D$15,Assumptions!$D$14+(1-Assumptions!$D$14)*Assumptions!$D$13^L10))</f>
        <v>0.352220413630874</v>
      </c>
      <c r="M12" s="57" t="n">
        <f aca="false">IF(M8=0,0,IF(M10=0,Assumptions!$D$15,Assumptions!$D$14+(1-Assumptions!$D$14)*Assumptions!$D$13^M10))</f>
        <v>0.331998697814229</v>
      </c>
      <c r="N12" s="57" t="n">
        <f aca="false">IF(N8=0,0,IF(N10=0,Assumptions!$D$15,Assumptions!$D$14+(1-Assumptions!$D$14)*Assumptions!$D$13^N10))</f>
        <v>0.317439062426245</v>
      </c>
      <c r="O12" s="57" t="n">
        <f aca="false">IF(O8=0,0,IF(O10=0,Assumptions!$D$15,Assumptions!$D$14+(1-Assumptions!$D$14)*Assumptions!$D$13^O10))</f>
        <v>0.306956124946896</v>
      </c>
      <c r="P12" s="57" t="n">
        <f aca="false">IF(P8=0,0,IF(P10=0,Assumptions!$D$15,Assumptions!$D$14+(1-Assumptions!$D$14)*Assumptions!$D$13^P10))</f>
        <v>0.299408409961765</v>
      </c>
      <c r="Q12" s="57" t="n">
        <f aca="false">IF(Q8=0,0,IF(Q10=0,Assumptions!$D$15,Assumptions!$D$14+(1-Assumptions!$D$14)*Assumptions!$D$13^Q10))</f>
        <v>0.293974055172471</v>
      </c>
      <c r="R12" s="57" t="n">
        <f aca="false">IF(R8=0,0,IF(R10=0,Assumptions!$D$15,Assumptions!$D$14+(1-Assumptions!$D$14)*Assumptions!$D$13^R10))</f>
        <v>0.290061319724179</v>
      </c>
      <c r="S12" s="57" t="n">
        <f aca="false">IF(S8=0,0,IF(S10=0,Assumptions!$D$15,Assumptions!$D$14+(1-Assumptions!$D$14)*Assumptions!$D$13^S10))</f>
        <v>0.287244150201409</v>
      </c>
      <c r="T12" s="57" t="n">
        <f aca="false">IF(T8=0,0,IF(T10=0,Assumptions!$D$15,Assumptions!$D$14+(1-Assumptions!$D$14)*Assumptions!$D$13^T10))</f>
        <v>0.285215788145014</v>
      </c>
      <c r="U12" s="57" t="n">
        <f aca="false">IF(U8=0,0,IF(U10=0,Assumptions!$D$15,Assumptions!$D$14+(1-Assumptions!$D$14)*Assumptions!$D$13^U10))</f>
        <v>0.28375536746441</v>
      </c>
      <c r="V12" s="57" t="n">
        <f aca="false">IF(V8=0,0,IF(V10=0,Assumptions!$D$15,Assumptions!$D$14+(1-Assumptions!$D$14)*Assumptions!$D$13^V10))</f>
        <v>0.282703864574376</v>
      </c>
      <c r="W12" s="57" t="n">
        <f aca="false">IF(W8=0,0,IF(W10=0,Assumptions!$D$15,Assumptions!$D$14+(1-Assumptions!$D$14)*Assumptions!$D$13^W10))</f>
        <v>0.28194678249355</v>
      </c>
      <c r="X12" s="57" t="n">
        <f aca="false">IF(X8=0,0,IF(X10=0,Assumptions!$D$15,Assumptions!$D$14+(1-Assumptions!$D$14)*Assumptions!$D$13^X10))</f>
        <v>0.281401683395356</v>
      </c>
      <c r="Y12" s="57" t="n">
        <f aca="false">IF(Y8=0,0,IF(Y10=0,Assumptions!$D$15,Assumptions!$D$14+(1-Assumptions!$D$14)*Assumptions!$D$13^Y10))</f>
        <v>0.281009212044657</v>
      </c>
      <c r="Z12" s="57" t="n">
        <f aca="false">IF(Z8=0,0,IF(Z10=0,Assumptions!$D$15,Assumptions!$D$14+(1-Assumptions!$D$14)*Assumptions!$D$13^Z10))</f>
        <v>0.280726632672153</v>
      </c>
      <c r="AA12" s="57" t="n">
        <f aca="false">IF(AA8=0,0,IF(AA10=0,Assumptions!$D$15,Assumptions!$D$14+(1-Assumptions!$D$14)*Assumptions!$D$13^AA10))</f>
        <v>0.28052317552395</v>
      </c>
      <c r="AB12" s="57" t="n">
        <f aca="false">IF(AB8=0,0,IF(AB10=0,Assumptions!$D$15,Assumptions!$D$14+(1-Assumptions!$D$14)*Assumptions!$D$13^AB10))</f>
        <v>0.280376686377244</v>
      </c>
      <c r="AC12" s="57" t="n">
        <f aca="false">IF(AC8=0,0,IF(AC10=0,Assumptions!$D$15,Assumptions!$D$14+(1-Assumptions!$D$14)*Assumptions!$D$13^AC10))</f>
        <v>0.280271214191616</v>
      </c>
      <c r="AD12" s="57" t="n">
        <f aca="false">IF(AD8=0,0,IF(AD10=0,Assumptions!$D$15,Assumptions!$D$14+(1-Assumptions!$D$14)*Assumptions!$D$13^AD10))</f>
        <v>0.280195274217963</v>
      </c>
      <c r="AE12" s="57" t="n">
        <f aca="false">IF(AE8=0,0,IF(AE10=0,Assumptions!$D$15,Assumptions!$D$14+(1-Assumptions!$D$14)*Assumptions!$D$13^AE10))</f>
        <v>0.280140597436934</v>
      </c>
      <c r="AF12" s="57" t="n">
        <f aca="false">IF(AF8=0,0,IF(AF10=0,Assumptions!$D$15,Assumptions!$D$14+(1-Assumptions!$D$14)*Assumptions!$D$13^AF10))</f>
        <v>0.280101230154592</v>
      </c>
      <c r="AG12" s="57" t="n">
        <f aca="false">IF(AG8=0,0,IF(AG10=0,Assumptions!$D$15,Assumptions!$D$14+(1-Assumptions!$D$14)*Assumptions!$D$13^AG10))</f>
        <v>0.280072885711306</v>
      </c>
      <c r="AH12" s="57" t="n">
        <f aca="false">IF(AH8=0,0,IF(AH10=0,Assumptions!$D$15,Assumptions!$D$14+(1-Assumptions!$D$14)*Assumptions!$D$13^AH10))</f>
        <v>0.280052477712141</v>
      </c>
      <c r="AI12" s="57" t="n">
        <f aca="false">IF(AI8=0,0,IF(AI10=0,Assumptions!$D$15,Assumptions!$D$14+(1-Assumptions!$D$14)*Assumptions!$D$13^AI10))</f>
        <v>0.280037783952741</v>
      </c>
      <c r="AJ12" s="57" t="n">
        <f aca="false">IF(AJ8=0,0,IF(AJ10=0,Assumptions!$D$15,Assumptions!$D$14+(1-Assumptions!$D$14)*Assumptions!$D$13^AJ10))</f>
        <v>0.280027204445974</v>
      </c>
      <c r="AK12" s="57" t="n">
        <f aca="false">IF(AK8=0,0,IF(AK10=0,Assumptions!$D$15,Assumptions!$D$14+(1-Assumptions!$D$14)*Assumptions!$D$13^AK10))</f>
        <v>0.280019587201101</v>
      </c>
      <c r="AL12" s="57" t="n">
        <f aca="false">IF(AL8=0,0,IF(AL10=0,Assumptions!$D$15,Assumptions!$D$14+(1-Assumptions!$D$14)*Assumptions!$D$13^AL10))</f>
        <v>0.280014102784793</v>
      </c>
      <c r="AM12" s="57"/>
    </row>
    <row r="13" customFormat="false" ht="15" hidden="false" customHeight="false" outlineLevel="0" collapsed="false">
      <c r="A13" s="10" t="s">
        <v>728</v>
      </c>
      <c r="B13" s="9" t="s">
        <v>82</v>
      </c>
      <c r="C13" s="61" t="n">
        <f aca="false">C11*C12</f>
        <v>0</v>
      </c>
      <c r="D13" s="61" t="n">
        <f aca="false">D11*D12</f>
        <v>0</v>
      </c>
      <c r="E13" s="61" t="n">
        <f aca="false">E11*E12</f>
        <v>12275.2</v>
      </c>
      <c r="F13" s="61" t="n">
        <f aca="false">F11*F12</f>
        <v>6125.3248</v>
      </c>
      <c r="G13" s="61" t="n">
        <f aca="false">G11*G12</f>
        <v>5011.718656</v>
      </c>
      <c r="H13" s="61" t="n">
        <f aca="false">H11*H12</f>
        <v>4209.92223232</v>
      </c>
      <c r="I13" s="61" t="n">
        <f aca="false">I11*I12</f>
        <v>3632.6288072704</v>
      </c>
      <c r="J13" s="61" t="n">
        <f aca="false">J11*J12</f>
        <v>3216.97754123469</v>
      </c>
      <c r="K13" s="61" t="n">
        <f aca="false">K11*K12</f>
        <v>2917.70862968898</v>
      </c>
      <c r="L13" s="61" t="n">
        <f aca="false">L11*L12</f>
        <v>2702.23501337606</v>
      </c>
      <c r="M13" s="61" t="n">
        <f aca="false">M11*M12</f>
        <v>2547.09400963076</v>
      </c>
      <c r="N13" s="61" t="n">
        <f aca="false">N11*N12</f>
        <v>2435.39248693415</v>
      </c>
      <c r="O13" s="61" t="n">
        <f aca="false">O11*O12</f>
        <v>2354.96739059259</v>
      </c>
      <c r="P13" s="61" t="n">
        <f aca="false">P11*P12</f>
        <v>2297.06132122666</v>
      </c>
      <c r="Q13" s="61" t="n">
        <f aca="false">Q11*Q12</f>
        <v>2255.3689512832</v>
      </c>
      <c r="R13" s="61" t="n">
        <f aca="false">R11*R12</f>
        <v>2225.3504449239</v>
      </c>
      <c r="S13" s="61" t="n">
        <f aca="false">S11*S12</f>
        <v>2203.73712034521</v>
      </c>
      <c r="T13" s="61" t="n">
        <f aca="false">T11*T12</f>
        <v>2188.17552664855</v>
      </c>
      <c r="U13" s="61" t="n">
        <f aca="false">U11*U12</f>
        <v>2176.97117918696</v>
      </c>
      <c r="V13" s="61" t="n">
        <f aca="false">V11*V12</f>
        <v>2168.90404901461</v>
      </c>
      <c r="W13" s="61" t="n">
        <f aca="false">W11*W12</f>
        <v>2163.09571529052</v>
      </c>
      <c r="X13" s="61" t="n">
        <f aca="false">X11*X12</f>
        <v>2158.91371500917</v>
      </c>
      <c r="Y13" s="61" t="n">
        <f aca="false">Y11*Y12</f>
        <v>2155.90267480661</v>
      </c>
      <c r="Z13" s="61" t="n">
        <f aca="false">Z11*Z12</f>
        <v>2153.73472586076</v>
      </c>
      <c r="AA13" s="61" t="n">
        <f aca="false">AA11*AA12</f>
        <v>2152.17380261974</v>
      </c>
      <c r="AB13" s="61" t="n">
        <f aca="false">AB11*AB12</f>
        <v>2151.04993788622</v>
      </c>
      <c r="AC13" s="61" t="n">
        <f aca="false">AC11*AC12</f>
        <v>2150.24075527808</v>
      </c>
      <c r="AD13" s="61" t="n">
        <f aca="false">AD11*AD12</f>
        <v>2149.65814380021</v>
      </c>
      <c r="AE13" s="61" t="n">
        <f aca="false">AE11*AE12</f>
        <v>2149.23866353615</v>
      </c>
      <c r="AF13" s="61" t="n">
        <f aca="false">AF11*AF12</f>
        <v>2148.93663774603</v>
      </c>
      <c r="AG13" s="61" t="n">
        <f aca="false">AG11*AG12</f>
        <v>2148.71917917714</v>
      </c>
      <c r="AH13" s="61" t="n">
        <f aca="false">AH11*AH12</f>
        <v>2148.56260900754</v>
      </c>
      <c r="AI13" s="61" t="n">
        <f aca="false">AI11*AI12</f>
        <v>2148.44987848543</v>
      </c>
      <c r="AJ13" s="61" t="n">
        <f aca="false">AJ11*AJ12</f>
        <v>2148.36871250951</v>
      </c>
      <c r="AK13" s="61" t="n">
        <f aca="false">AK11*AK12</f>
        <v>2148.31027300685</v>
      </c>
      <c r="AL13" s="61" t="n">
        <f aca="false">AL11*AL12</f>
        <v>2148.26819656493</v>
      </c>
      <c r="AM13" s="61" t="n">
        <f aca="false">SUM(C13:AL13)</f>
        <v>97368.3617802616</v>
      </c>
    </row>
    <row r="14" customFormat="false" ht="15" hidden="false" customHeight="false" outlineLevel="0" collapsed="false">
      <c r="A14" s="10" t="s">
        <v>729</v>
      </c>
      <c r="B14" s="9" t="s">
        <v>730</v>
      </c>
      <c r="C14" s="61" t="n">
        <f aca="false">Assumptions!$D$9*Assumptions!$D$10*Assumptions!$D$11*C12</f>
        <v>0</v>
      </c>
      <c r="D14" s="61" t="n">
        <f aca="false">Assumptions!$D$9*Assumptions!$D$10*Assumptions!$D$11*D12</f>
        <v>0</v>
      </c>
      <c r="E14" s="61" t="n">
        <f aca="false">Assumptions!$D$9*Assumptions!$D$10*Assumptions!$D$11*E12</f>
        <v>3507200</v>
      </c>
      <c r="F14" s="61" t="n">
        <f aca="false">Assumptions!$D$9*Assumptions!$D$10*Assumptions!$D$11*F12</f>
        <v>1750092.8</v>
      </c>
      <c r="G14" s="61" t="n">
        <f aca="false">Assumptions!$D$9*Assumptions!$D$10*Assumptions!$D$11*G12</f>
        <v>1431919.616</v>
      </c>
      <c r="H14" s="61" t="n">
        <f aca="false">Assumptions!$D$9*Assumptions!$D$10*Assumptions!$D$11*H12</f>
        <v>1202834.92352</v>
      </c>
      <c r="I14" s="61" t="n">
        <f aca="false">Assumptions!$D$9*Assumptions!$D$10*Assumptions!$D$11*I12</f>
        <v>1037893.9449344</v>
      </c>
      <c r="J14" s="61" t="n">
        <f aca="false">Assumptions!$D$9*Assumptions!$D$10*Assumptions!$D$11*J12</f>
        <v>919136.440352768</v>
      </c>
      <c r="K14" s="61" t="n">
        <f aca="false">Assumptions!$D$9*Assumptions!$D$10*Assumptions!$D$11*K12</f>
        <v>833631.037053993</v>
      </c>
      <c r="L14" s="61" t="n">
        <f aca="false">Assumptions!$D$9*Assumptions!$D$10*Assumptions!$D$11*L12</f>
        <v>772067.146678875</v>
      </c>
      <c r="M14" s="61" t="n">
        <f aca="false">Assumptions!$D$9*Assumptions!$D$10*Assumptions!$D$11*M12</f>
        <v>727741.14560879</v>
      </c>
      <c r="N14" s="61" t="n">
        <f aca="false">Assumptions!$D$9*Assumptions!$D$10*Assumptions!$D$11*N12</f>
        <v>695826.424838329</v>
      </c>
      <c r="O14" s="61" t="n">
        <f aca="false">Assumptions!$D$9*Assumptions!$D$10*Assumptions!$D$11*O12</f>
        <v>672847.825883597</v>
      </c>
      <c r="P14" s="61" t="n">
        <f aca="false">Assumptions!$D$9*Assumptions!$D$10*Assumptions!$D$11*P12</f>
        <v>656303.23463619</v>
      </c>
      <c r="Q14" s="61" t="n">
        <f aca="false">Assumptions!$D$9*Assumptions!$D$10*Assumptions!$D$11*Q12</f>
        <v>644391.128938057</v>
      </c>
      <c r="R14" s="61" t="n">
        <f aca="false">Assumptions!$D$9*Assumptions!$D$10*Assumptions!$D$11*R12</f>
        <v>635814.412835401</v>
      </c>
      <c r="S14" s="61" t="n">
        <f aca="false">Assumptions!$D$9*Assumptions!$D$10*Assumptions!$D$11*S12</f>
        <v>629639.177241489</v>
      </c>
      <c r="T14" s="61" t="n">
        <f aca="false">Assumptions!$D$9*Assumptions!$D$10*Assumptions!$D$11*T12</f>
        <v>625193.007613872</v>
      </c>
      <c r="U14" s="61" t="n">
        <f aca="false">Assumptions!$D$9*Assumptions!$D$10*Assumptions!$D$11*U12</f>
        <v>621991.765481988</v>
      </c>
      <c r="V14" s="61" t="n">
        <f aca="false">Assumptions!$D$9*Assumptions!$D$10*Assumptions!$D$11*V12</f>
        <v>619686.871147031</v>
      </c>
      <c r="W14" s="61" t="n">
        <f aca="false">Assumptions!$D$9*Assumptions!$D$10*Assumptions!$D$11*W12</f>
        <v>618027.347225862</v>
      </c>
      <c r="X14" s="61" t="n">
        <f aca="false">Assumptions!$D$9*Assumptions!$D$10*Assumptions!$D$11*X12</f>
        <v>616832.490002621</v>
      </c>
      <c r="Y14" s="61" t="n">
        <f aca="false">Assumptions!$D$9*Assumptions!$D$10*Assumptions!$D$11*Y12</f>
        <v>615972.192801887</v>
      </c>
      <c r="Z14" s="61" t="n">
        <f aca="false">Assumptions!$D$9*Assumptions!$D$10*Assumptions!$D$11*Z12</f>
        <v>615352.778817359</v>
      </c>
      <c r="AA14" s="61" t="n">
        <f aca="false">Assumptions!$D$9*Assumptions!$D$10*Assumptions!$D$11*AA12</f>
        <v>614906.800748498</v>
      </c>
      <c r="AB14" s="61" t="n">
        <f aca="false">Assumptions!$D$9*Assumptions!$D$10*Assumptions!$D$11*AB12</f>
        <v>614585.696538919</v>
      </c>
      <c r="AC14" s="61" t="n">
        <f aca="false">Assumptions!$D$9*Assumptions!$D$10*Assumptions!$D$11*AC12</f>
        <v>614354.501508022</v>
      </c>
      <c r="AD14" s="61" t="n">
        <f aca="false">Assumptions!$D$9*Assumptions!$D$10*Assumptions!$D$11*AD12</f>
        <v>614188.041085776</v>
      </c>
      <c r="AE14" s="61" t="n">
        <f aca="false">Assumptions!$D$9*Assumptions!$D$10*Assumptions!$D$11*AE12</f>
        <v>614068.189581759</v>
      </c>
      <c r="AF14" s="61" t="n">
        <f aca="false">Assumptions!$D$9*Assumptions!$D$10*Assumptions!$D$11*AF12</f>
        <v>613981.896498866</v>
      </c>
      <c r="AG14" s="61" t="n">
        <f aca="false">Assumptions!$D$9*Assumptions!$D$10*Assumptions!$D$11*AG12</f>
        <v>613919.765479184</v>
      </c>
      <c r="AH14" s="61" t="n">
        <f aca="false">Assumptions!$D$9*Assumptions!$D$10*Assumptions!$D$11*AH12</f>
        <v>613875.031145012</v>
      </c>
      <c r="AI14" s="61" t="n">
        <f aca="false">Assumptions!$D$9*Assumptions!$D$10*Assumptions!$D$11*AI12</f>
        <v>613842.822424409</v>
      </c>
      <c r="AJ14" s="61" t="n">
        <f aca="false">Assumptions!$D$9*Assumptions!$D$10*Assumptions!$D$11*AJ12</f>
        <v>613819.632145574</v>
      </c>
      <c r="AK14" s="61" t="n">
        <f aca="false">Assumptions!$D$9*Assumptions!$D$10*Assumptions!$D$11*AK12</f>
        <v>613802.935144814</v>
      </c>
      <c r="AL14" s="61" t="n">
        <f aca="false">Assumptions!$D$9*Assumptions!$D$10*Assumptions!$D$11*AL12</f>
        <v>613790.913304266</v>
      </c>
      <c r="AM14" s="61" t="n">
        <f aca="false">SUM(C14:AL14)</f>
        <v>27819531.9372176</v>
      </c>
    </row>
    <row r="15" customFormat="false" ht="15" hidden="false" customHeight="false" outlineLevel="0" collapsed="false">
      <c r="A15" s="10" t="s">
        <v>731</v>
      </c>
      <c r="B15" s="9" t="s">
        <v>82</v>
      </c>
      <c r="C15" s="61" t="n">
        <f aca="false">MIN(Assumptions!$D$19,Assumptions!$D$17*(1+Assumptions!$D$18)^(C$5-1))</f>
        <v>1200</v>
      </c>
      <c r="D15" s="61" t="n">
        <f aca="false">MIN(Assumptions!$D$19,Assumptions!$D$17*(1+Assumptions!$D$18)^(D$5-1))</f>
        <v>1272</v>
      </c>
      <c r="E15" s="61" t="n">
        <f aca="false">MIN(Assumptions!$D$19,Assumptions!$D$17*(1+Assumptions!$D$18)^(E$5-1))</f>
        <v>1348.32</v>
      </c>
      <c r="F15" s="61" t="n">
        <f aca="false">MIN(Assumptions!$D$19,Assumptions!$D$17*(1+Assumptions!$D$18)^(F$5-1))</f>
        <v>1429.2192</v>
      </c>
      <c r="G15" s="61" t="n">
        <f aca="false">MIN(Assumptions!$D$19,Assumptions!$D$17*(1+Assumptions!$D$18)^(G$5-1))</f>
        <v>1514.972352</v>
      </c>
      <c r="H15" s="61" t="n">
        <f aca="false">MIN(Assumptions!$D$19,Assumptions!$D$17*(1+Assumptions!$D$18)^(H$5-1))</f>
        <v>1605.87069312</v>
      </c>
      <c r="I15" s="61" t="n">
        <f aca="false">MIN(Assumptions!$D$19,Assumptions!$D$17*(1+Assumptions!$D$18)^(I$5-1))</f>
        <v>1702.2229347072</v>
      </c>
      <c r="J15" s="61" t="n">
        <f aca="false">MIN(Assumptions!$D$19,Assumptions!$D$17*(1+Assumptions!$D$18)^(J$5-1))</f>
        <v>1804.35631078963</v>
      </c>
      <c r="K15" s="61" t="n">
        <f aca="false">MIN(Assumptions!$D$19,Assumptions!$D$17*(1+Assumptions!$D$18)^(K$5-1))</f>
        <v>1912.61768943701</v>
      </c>
      <c r="L15" s="61" t="n">
        <f aca="false">MIN(Assumptions!$D$19,Assumptions!$D$17*(1+Assumptions!$D$18)^(L$5-1))</f>
        <v>2027.37475080323</v>
      </c>
      <c r="M15" s="61" t="n">
        <f aca="false">MIN(Assumptions!$D$19,Assumptions!$D$17*(1+Assumptions!$D$18)^(M$5-1))</f>
        <v>2149.01723585143</v>
      </c>
      <c r="N15" s="61" t="n">
        <f aca="false">MIN(Assumptions!$D$19,Assumptions!$D$17*(1+Assumptions!$D$18)^(N$5-1))</f>
        <v>2277.95827000251</v>
      </c>
      <c r="O15" s="61" t="n">
        <f aca="false">MIN(Assumptions!$D$19,Assumptions!$D$17*(1+Assumptions!$D$18)^(O$5-1))</f>
        <v>2414.63576620266</v>
      </c>
      <c r="P15" s="61" t="n">
        <f aca="false">MIN(Assumptions!$D$19,Assumptions!$D$17*(1+Assumptions!$D$18)^(P$5-1))</f>
        <v>2559.51391217482</v>
      </c>
      <c r="Q15" s="61" t="n">
        <f aca="false">MIN(Assumptions!$D$19,Assumptions!$D$17*(1+Assumptions!$D$18)^(Q$5-1))</f>
        <v>2713.08474690531</v>
      </c>
      <c r="R15" s="61" t="n">
        <f aca="false">MIN(Assumptions!$D$19,Assumptions!$D$17*(1+Assumptions!$D$18)^(R$5-1))</f>
        <v>2875.86983171963</v>
      </c>
      <c r="S15" s="61" t="n">
        <f aca="false">MIN(Assumptions!$D$19,Assumptions!$D$17*(1+Assumptions!$D$18)^(S$5-1))</f>
        <v>3048.42202162281</v>
      </c>
      <c r="T15" s="61" t="n">
        <f aca="false">MIN(Assumptions!$D$19,Assumptions!$D$17*(1+Assumptions!$D$18)^(T$5-1))</f>
        <v>3231.32734292018</v>
      </c>
      <c r="U15" s="61" t="n">
        <f aca="false">MIN(Assumptions!$D$19,Assumptions!$D$17*(1+Assumptions!$D$18)^(U$5-1))</f>
        <v>3425.20698349539</v>
      </c>
      <c r="V15" s="61" t="n">
        <f aca="false">MIN(Assumptions!$D$19,Assumptions!$D$17*(1+Assumptions!$D$18)^(V$5-1))</f>
        <v>3630.71940250511</v>
      </c>
      <c r="W15" s="61" t="n">
        <f aca="false">MIN(Assumptions!$D$19,Assumptions!$D$17*(1+Assumptions!$D$18)^(W$5-1))</f>
        <v>3848.56256665542</v>
      </c>
      <c r="X15" s="61" t="n">
        <f aca="false">MIN(Assumptions!$D$19,Assumptions!$D$17*(1+Assumptions!$D$18)^(X$5-1))</f>
        <v>4079.47632065474</v>
      </c>
      <c r="Y15" s="61" t="n">
        <f aca="false">MIN(Assumptions!$D$19,Assumptions!$D$17*(1+Assumptions!$D$18)^(Y$5-1))</f>
        <v>4324.24489989403</v>
      </c>
      <c r="Z15" s="61" t="n">
        <f aca="false">MIN(Assumptions!$D$19,Assumptions!$D$17*(1+Assumptions!$D$18)^(Z$5-1))</f>
        <v>4583.69959388767</v>
      </c>
      <c r="AA15" s="61" t="n">
        <f aca="false">MIN(Assumptions!$D$19,Assumptions!$D$17*(1+Assumptions!$D$18)^(AA$5-1))</f>
        <v>4858.72156952093</v>
      </c>
      <c r="AB15" s="61" t="n">
        <f aca="false">MIN(Assumptions!$D$19,Assumptions!$D$17*(1+Assumptions!$D$18)^(AB$5-1))</f>
        <v>5150.24486369219</v>
      </c>
      <c r="AC15" s="61" t="n">
        <f aca="false">MIN(Assumptions!$D$19,Assumptions!$D$17*(1+Assumptions!$D$18)^(AC$5-1))</f>
        <v>5459.25955551372</v>
      </c>
      <c r="AD15" s="61" t="n">
        <f aca="false">MIN(Assumptions!$D$19,Assumptions!$D$17*(1+Assumptions!$D$18)^(AD$5-1))</f>
        <v>5786.81512884454</v>
      </c>
      <c r="AE15" s="61" t="n">
        <f aca="false">MIN(Assumptions!$D$19,Assumptions!$D$17*(1+Assumptions!$D$18)^(AE$5-1))</f>
        <v>6134.02403657521</v>
      </c>
      <c r="AF15" s="61" t="n">
        <f aca="false">MIN(Assumptions!$D$19,Assumptions!$D$17*(1+Assumptions!$D$18)^(AF$5-1))</f>
        <v>6502.06547876973</v>
      </c>
      <c r="AG15" s="61" t="n">
        <f aca="false">MIN(Assumptions!$D$19,Assumptions!$D$17*(1+Assumptions!$D$18)^(AG$5-1))</f>
        <v>6892.18940749591</v>
      </c>
      <c r="AH15" s="61" t="n">
        <f aca="false">MIN(Assumptions!$D$19,Assumptions!$D$17*(1+Assumptions!$D$18)^(AH$5-1))</f>
        <v>7305.72077194567</v>
      </c>
      <c r="AI15" s="61" t="n">
        <f aca="false">MIN(Assumptions!$D$19,Assumptions!$D$17*(1+Assumptions!$D$18)^(AI$5-1))</f>
        <v>7744.06401826241</v>
      </c>
      <c r="AJ15" s="61" t="n">
        <f aca="false">MIN(Assumptions!$D$19,Assumptions!$D$17*(1+Assumptions!$D$18)^(AJ$5-1))</f>
        <v>8208.70785935815</v>
      </c>
      <c r="AK15" s="61" t="n">
        <f aca="false">MIN(Assumptions!$D$19,Assumptions!$D$17*(1+Assumptions!$D$18)^(AK$5-1))</f>
        <v>8701.23033091964</v>
      </c>
      <c r="AL15" s="61" t="n">
        <f aca="false">MIN(Assumptions!$D$19,Assumptions!$D$17*(1+Assumptions!$D$18)^(AL$5-1))</f>
        <v>9223.30415077482</v>
      </c>
      <c r="AM15" s="61" t="n">
        <f aca="false">SUM(C15:AL15)</f>
        <v>142945.039997022</v>
      </c>
    </row>
    <row r="16" customFormat="false" ht="15" hidden="false" customHeight="false" outlineLevel="0" collapsed="false">
      <c r="A16" s="38" t="s">
        <v>732</v>
      </c>
      <c r="B16" s="9" t="s">
        <v>95</v>
      </c>
      <c r="C16" s="53" t="n">
        <f aca="false">Assumptions!$D$20</f>
        <v>4000</v>
      </c>
      <c r="D16" s="53" t="n">
        <f aca="false">IF(D8=0,Assumptions!$D$20,MIN(Assumptions!$D$24,MAX(Assumptions!$D$21,C72*Assumptions!$D$22)))</f>
        <v>4000</v>
      </c>
      <c r="E16" s="53" t="n">
        <f aca="false">IF(E8=0,Assumptions!$D$20,MIN(Assumptions!$D$24,MAX(Assumptions!$D$21,D72*Assumptions!$D$22)))</f>
        <v>10000</v>
      </c>
      <c r="F16" s="53" t="n">
        <f aca="false">IF(F8=0,Assumptions!$D$20,MIN(Assumptions!$D$24,MAX(Assumptions!$D$21,E72*Assumptions!$D$22)))</f>
        <v>10000</v>
      </c>
      <c r="G16" s="53" t="n">
        <f aca="false">IF(G8=0,Assumptions!$D$20,MIN(Assumptions!$D$24,MAX(Assumptions!$D$21,F72*Assumptions!$D$22)))</f>
        <v>10000</v>
      </c>
      <c r="H16" s="53" t="n">
        <f aca="false">IF(H8=0,Assumptions!$D$20,MIN(Assumptions!$D$24,MAX(Assumptions!$D$21,G72*Assumptions!$D$22)))</f>
        <v>10000</v>
      </c>
      <c r="I16" s="53" t="n">
        <f aca="false">IF(I8=0,Assumptions!$D$20,MIN(Assumptions!$D$24,MAX(Assumptions!$D$21,H72*Assumptions!$D$22)))</f>
        <v>10000</v>
      </c>
      <c r="J16" s="53" t="n">
        <f aca="false">IF(J8=0,Assumptions!$D$20,MIN(Assumptions!$D$24,MAX(Assumptions!$D$21,I72*Assumptions!$D$22)))</f>
        <v>10000</v>
      </c>
      <c r="K16" s="53" t="n">
        <f aca="false">IF(K8=0,Assumptions!$D$20,MIN(Assumptions!$D$24,MAX(Assumptions!$D$21,J72*Assumptions!$D$22)))</f>
        <v>10000</v>
      </c>
      <c r="L16" s="53" t="n">
        <f aca="false">IF(L8=0,Assumptions!$D$20,MIN(Assumptions!$D$24,MAX(Assumptions!$D$21,K72*Assumptions!$D$22)))</f>
        <v>10000</v>
      </c>
      <c r="M16" s="53" t="n">
        <f aca="false">IF(M8=0,Assumptions!$D$20,MIN(Assumptions!$D$24,MAX(Assumptions!$D$21,L72*Assumptions!$D$22)))</f>
        <v>10000</v>
      </c>
      <c r="N16" s="53" t="n">
        <f aca="false">IF(N8=0,Assumptions!$D$20,MIN(Assumptions!$D$24,MAX(Assumptions!$D$21,M72*Assumptions!$D$22)))</f>
        <v>10000</v>
      </c>
      <c r="O16" s="53" t="n">
        <f aca="false">IF(O8=0,Assumptions!$D$20,MIN(Assumptions!$D$24,MAX(Assumptions!$D$21,N72*Assumptions!$D$22)))</f>
        <v>10000</v>
      </c>
      <c r="P16" s="53" t="n">
        <f aca="false">IF(P8=0,Assumptions!$D$20,MIN(Assumptions!$D$24,MAX(Assumptions!$D$21,O72*Assumptions!$D$22)))</f>
        <v>10000</v>
      </c>
      <c r="Q16" s="53" t="n">
        <f aca="false">IF(Q8=0,Assumptions!$D$20,MIN(Assumptions!$D$24,MAX(Assumptions!$D$21,P72*Assumptions!$D$22)))</f>
        <v>10000</v>
      </c>
      <c r="R16" s="53" t="n">
        <f aca="false">IF(R8=0,Assumptions!$D$20,MIN(Assumptions!$D$24,MAX(Assumptions!$D$21,Q72*Assumptions!$D$22)))</f>
        <v>10000</v>
      </c>
      <c r="S16" s="53" t="n">
        <f aca="false">IF(S8=0,Assumptions!$D$20,MIN(Assumptions!$D$24,MAX(Assumptions!$D$21,R72*Assumptions!$D$22)))</f>
        <v>10000</v>
      </c>
      <c r="T16" s="53" t="n">
        <f aca="false">IF(T8=0,Assumptions!$D$20,MIN(Assumptions!$D$24,MAX(Assumptions!$D$21,S72*Assumptions!$D$22)))</f>
        <v>10000</v>
      </c>
      <c r="U16" s="53" t="n">
        <f aca="false">IF(U8=0,Assumptions!$D$20,MIN(Assumptions!$D$24,MAX(Assumptions!$D$21,T72*Assumptions!$D$22)))</f>
        <v>10000</v>
      </c>
      <c r="V16" s="53" t="n">
        <f aca="false">IF(V8=0,Assumptions!$D$20,MIN(Assumptions!$D$24,MAX(Assumptions!$D$21,U72*Assumptions!$D$22)))</f>
        <v>10000</v>
      </c>
      <c r="W16" s="53" t="n">
        <f aca="false">IF(W8=0,Assumptions!$D$20,MIN(Assumptions!$D$24,MAX(Assumptions!$D$21,V72*Assumptions!$D$22)))</f>
        <v>10000</v>
      </c>
      <c r="X16" s="53" t="n">
        <f aca="false">IF(X8=0,Assumptions!$D$20,MIN(Assumptions!$D$24,MAX(Assumptions!$D$21,W72*Assumptions!$D$22)))</f>
        <v>10000</v>
      </c>
      <c r="Y16" s="53" t="n">
        <f aca="false">IF(Y8=0,Assumptions!$D$20,MIN(Assumptions!$D$24,MAX(Assumptions!$D$21,X72*Assumptions!$D$22)))</f>
        <v>10000</v>
      </c>
      <c r="Z16" s="53" t="n">
        <f aca="false">IF(Z8=0,Assumptions!$D$20,MIN(Assumptions!$D$24,MAX(Assumptions!$D$21,Y72*Assumptions!$D$22)))</f>
        <v>10000</v>
      </c>
      <c r="AA16" s="53" t="n">
        <f aca="false">IF(AA8=0,Assumptions!$D$20,MIN(Assumptions!$D$24,MAX(Assumptions!$D$21,Z72*Assumptions!$D$22)))</f>
        <v>10000</v>
      </c>
      <c r="AB16" s="53" t="n">
        <f aca="false">IF(AB8=0,Assumptions!$D$20,MIN(Assumptions!$D$24,MAX(Assumptions!$D$21,AA72*Assumptions!$D$22)))</f>
        <v>10000</v>
      </c>
      <c r="AC16" s="53" t="n">
        <f aca="false">IF(AC8=0,Assumptions!$D$20,MIN(Assumptions!$D$24,MAX(Assumptions!$D$21,AB72*Assumptions!$D$22)))</f>
        <v>10000</v>
      </c>
      <c r="AD16" s="53" t="n">
        <f aca="false">IF(AD8=0,Assumptions!$D$20,MIN(Assumptions!$D$24,MAX(Assumptions!$D$21,AC72*Assumptions!$D$22)))</f>
        <v>10000</v>
      </c>
      <c r="AE16" s="53" t="n">
        <f aca="false">IF(AE8=0,Assumptions!$D$20,MIN(Assumptions!$D$24,MAX(Assumptions!$D$21,AD72*Assumptions!$D$22)))</f>
        <v>10000</v>
      </c>
      <c r="AF16" s="53" t="n">
        <f aca="false">IF(AF8=0,Assumptions!$D$20,MIN(Assumptions!$D$24,MAX(Assumptions!$D$21,AE72*Assumptions!$D$22)))</f>
        <v>10000</v>
      </c>
      <c r="AG16" s="53" t="n">
        <f aca="false">IF(AG8=0,Assumptions!$D$20,MIN(Assumptions!$D$24,MAX(Assumptions!$D$21,AF72*Assumptions!$D$22)))</f>
        <v>10000</v>
      </c>
      <c r="AH16" s="53" t="n">
        <f aca="false">IF(AH8=0,Assumptions!$D$20,MIN(Assumptions!$D$24,MAX(Assumptions!$D$21,AG72*Assumptions!$D$22)))</f>
        <v>10000</v>
      </c>
      <c r="AI16" s="53" t="n">
        <f aca="false">IF(AI8=0,Assumptions!$D$20,MIN(Assumptions!$D$24,MAX(Assumptions!$D$21,AH72*Assumptions!$D$22)))</f>
        <v>10000</v>
      </c>
      <c r="AJ16" s="53" t="n">
        <f aca="false">IF(AJ8=0,Assumptions!$D$20,MIN(Assumptions!$D$24,MAX(Assumptions!$D$21,AI72*Assumptions!$D$22)))</f>
        <v>10080.7852667649</v>
      </c>
      <c r="AK16" s="53" t="n">
        <f aca="false">IF(AK8=0,Assumptions!$D$20,MIN(Assumptions!$D$24,MAX(Assumptions!$D$21,AJ72*Assumptions!$D$22)))</f>
        <v>10409.9166301373</v>
      </c>
      <c r="AL16" s="53" t="n">
        <f aca="false">IF(AL8=0,Assumptions!$D$20,MIN(Assumptions!$D$24,MAX(Assumptions!$D$21,AK72*Assumptions!$D$22)))</f>
        <v>10774.1150275972</v>
      </c>
      <c r="AM16" s="53" t="n">
        <f aca="false">SUM(C16:AL16)</f>
        <v>349264.816924499</v>
      </c>
    </row>
    <row r="17" customFormat="false" ht="15" hidden="false" customHeight="false" outlineLevel="0" collapsed="false">
      <c r="A17" s="10" t="s">
        <v>733</v>
      </c>
      <c r="B17" s="9" t="s">
        <v>82</v>
      </c>
      <c r="C17" s="61" t="n">
        <f aca="false">(C14*Assumptions!$D$27+C15*Assumptions!$D$28)*Assumptions!$D$29*C8</f>
        <v>0</v>
      </c>
      <c r="D17" s="61" t="n">
        <f aca="false">(D14*Assumptions!$D$27+D15*Assumptions!$D$28)*Assumptions!$D$29*D8</f>
        <v>0</v>
      </c>
      <c r="E17" s="61" t="n">
        <f aca="false">(E14*Assumptions!$D$27+E15*Assumptions!$D$28)*Assumptions!$D$29*E8</f>
        <v>1580.2468</v>
      </c>
      <c r="F17" s="61" t="n">
        <f aca="false">(F14*Assumptions!$D$27+F15*Assumptions!$D$28)*Assumptions!$D$29*F8</f>
        <v>809.34436</v>
      </c>
      <c r="G17" s="61" t="n">
        <f aca="false">(G14*Assumptions!$D$27+G15*Assumptions!$D$28)*Assumptions!$D$29*G8</f>
        <v>671.70637072</v>
      </c>
      <c r="H17" s="61" t="n">
        <f aca="false">(H14*Assumptions!$D$27+H15*Assumptions!$D$28)*Assumptions!$D$29*H8</f>
        <v>573.4088104096</v>
      </c>
      <c r="I17" s="61" t="n">
        <f aca="false">(I14*Assumptions!$D$27+I15*Assumptions!$D$28)*Assumptions!$D$29*I8</f>
        <v>503.484466475584</v>
      </c>
      <c r="J17" s="61" t="n">
        <f aca="false">(J14*Assumptions!$D$27+J15*Assumptions!$D$28)*Assumptions!$D$29*J8</f>
        <v>454.039832301933</v>
      </c>
      <c r="K17" s="61" t="n">
        <f aca="false">(K14*Assumptions!$D$27+K15*Assumptions!$D$28)*Assumptions!$D$29*K8</f>
        <v>419.394642763275</v>
      </c>
      <c r="L17" s="61" t="n">
        <f aca="false">(L14*Assumptions!$D$27+L15*Assumptions!$D$28)*Assumptions!$D$29*L8</f>
        <v>395.462350185794</v>
      </c>
      <c r="M17" s="61" t="n">
        <f aca="false">(M14*Assumptions!$D$27+M15*Assumptions!$D$28)*Assumptions!$D$29*M8</f>
        <v>379.304078053782</v>
      </c>
      <c r="N17" s="61" t="n">
        <f aca="false">(N14*Assumptions!$D$27+N15*Assumptions!$D$28)*Assumptions!$D$29*N8</f>
        <v>368.807479353934</v>
      </c>
      <c r="O17" s="61" t="n">
        <f aca="false">(O14*Assumptions!$D$27+O15*Assumptions!$D$28)*Assumptions!$D$29*O8</f>
        <v>362.455526959356</v>
      </c>
      <c r="P17" s="61" t="n">
        <f aca="false">(P14*Assumptions!$D$27+P15*Assumptions!$D$28)*Assumptions!$D$29*P8</f>
        <v>359.160055824731</v>
      </c>
      <c r="Q17" s="61" t="n">
        <f aca="false">(Q14*Assumptions!$D$27+Q15*Assumptions!$D$28)*Assumptions!$D$29*Q8</f>
        <v>358.141927272641</v>
      </c>
      <c r="R17" s="61" t="n">
        <f aca="false">(R14*Assumptions!$D$27+R15*Assumptions!$D$28)*Assumptions!$D$29*R8</f>
        <v>358.844762019866</v>
      </c>
      <c r="S17" s="61" t="n">
        <f aca="false">(S14*Assumptions!$D$27+S15*Assumptions!$D$28)*Assumptions!$D$29*S8</f>
        <v>360.872843580882</v>
      </c>
      <c r="T17" s="61" t="n">
        <f aca="false">(T14*Assumptions!$D$27+T15*Assumptions!$D$28)*Assumptions!$D$29*T8</f>
        <v>363.946425280408</v>
      </c>
      <c r="U17" s="61" t="n">
        <f aca="false">(U14*Assumptions!$D$27+U15*Assumptions!$D$28)*Assumptions!$D$29*U8</f>
        <v>367.869568858198</v>
      </c>
      <c r="V17" s="61" t="n">
        <f aca="false">(V14*Assumptions!$D$27+V15*Assumptions!$D$28)*Assumptions!$D$29*V8</f>
        <v>372.507006873584</v>
      </c>
      <c r="W17" s="61" t="n">
        <f aca="false">(W14*Assumptions!$D$27+W15*Assumptions!$D$28)*Assumptions!$D$29*W8</f>
        <v>377.767503362404</v>
      </c>
      <c r="X17" s="61" t="n">
        <f aca="false">(X14*Assumptions!$D$27+X15*Assumptions!$D$28)*Assumptions!$D$29*X8</f>
        <v>383.591894419159</v>
      </c>
      <c r="Y17" s="61" t="n">
        <f aca="false">(Y14*Assumptions!$D$27+Y15*Assumptions!$D$28)*Assumptions!$D$29*Y8</f>
        <v>389.944499579916</v>
      </c>
      <c r="Z17" s="61" t="n">
        <f aca="false">(Z14*Assumptions!$D$27+Z15*Assumptions!$D$28)*Assumptions!$D$29*Z8</f>
        <v>396.806961511549</v>
      </c>
      <c r="AA17" s="61" t="n">
        <f aca="false">(AA14*Assumptions!$D$27+AA15*Assumptions!$D$28)*Assumptions!$D$29*AA8</f>
        <v>404.173835491165</v>
      </c>
      <c r="AB17" s="61" t="n">
        <f aca="false">(AB14*Assumptions!$D$27+AB15*Assumptions!$D$28)*Assumptions!$D$29*AB8</f>
        <v>412.04944022866</v>
      </c>
      <c r="AC17" s="61" t="n">
        <f aca="false">(AC14*Assumptions!$D$27+AC15*Assumptions!$D$28)*Assumptions!$D$29*AC8</f>
        <v>420.445618440157</v>
      </c>
      <c r="AD17" s="61" t="n">
        <f aca="false">(AD14*Assumptions!$D$27+AD15*Assumptions!$D$28)*Assumptions!$D$29*AD8</f>
        <v>429.380154120966</v>
      </c>
      <c r="AE17" s="61" t="n">
        <f aca="false">(AE14*Assumptions!$D$27+AE15*Assumptions!$D$28)*Assumptions!$D$29*AE8</f>
        <v>438.875664421792</v>
      </c>
      <c r="AF17" s="61" t="n">
        <f aca="false">(AF14*Assumptions!$D$27+AF15*Assumptions!$D$28)*Assumptions!$D$29*AF8</f>
        <v>448.958835125669</v>
      </c>
      <c r="AG17" s="61" t="n">
        <f aca="false">(AG14*Assumptions!$D$27+AG15*Assumptions!$D$28)*Assumptions!$D$29*AG8</f>
        <v>459.659905516978</v>
      </c>
      <c r="AH17" s="61" t="n">
        <f aca="false">(AH14*Assumptions!$D$27+AH15*Assumptions!$D$28)*Assumptions!$D$29*AH8</f>
        <v>471.012334932311</v>
      </c>
      <c r="AI17" s="61" t="n">
        <f aca="false">(AI14*Assumptions!$D$27+AI15*Assumptions!$D$28)*Assumptions!$D$29*AI8</f>
        <v>483.052602368956</v>
      </c>
      <c r="AJ17" s="61" t="n">
        <f aca="false">(AJ14*Assumptions!$D$27+AJ15*Assumptions!$D$28)*Assumptions!$D$29*AJ8</f>
        <v>495.820104276402</v>
      </c>
      <c r="AK17" s="61" t="n">
        <f aca="false">(AK14*Assumptions!$D$27+AK15*Assumptions!$D$28)*Assumptions!$D$29*AK8</f>
        <v>509.357125564008</v>
      </c>
      <c r="AL17" s="61" t="n">
        <f aca="false">(AL14*Assumptions!$D$27+AL15*Assumptions!$D$28)*Assumptions!$D$29*AL8</f>
        <v>523.708866000185</v>
      </c>
      <c r="AM17" s="61" t="n">
        <f aca="false">SUM(C17:AL17)</f>
        <v>16103.6026522938</v>
      </c>
    </row>
    <row r="18" customFormat="false" ht="15" hidden="false" customHeight="false" outlineLevel="0" collapsed="false">
      <c r="A18" s="10" t="s">
        <v>734</v>
      </c>
      <c r="B18" s="9" t="s">
        <v>95</v>
      </c>
      <c r="C18" s="70" t="n">
        <f aca="false">MIN(C16,C17*Assumptions!$D$30)</f>
        <v>0</v>
      </c>
      <c r="D18" s="70" t="n">
        <f aca="false">MIN(D16,D17*Assumptions!$D$30)</f>
        <v>0</v>
      </c>
      <c r="E18" s="70" t="n">
        <f aca="false">MIN(E16,E17*Assumptions!$D$30)</f>
        <v>2054.32084</v>
      </c>
      <c r="F18" s="70" t="n">
        <f aca="false">MIN(F16,F17*Assumptions!$D$30)</f>
        <v>1052.147668</v>
      </c>
      <c r="G18" s="70" t="n">
        <f aca="false">MIN(G16,G17*Assumptions!$D$30)</f>
        <v>873.218281936</v>
      </c>
      <c r="H18" s="70" t="n">
        <f aca="false">MIN(H16,H17*Assumptions!$D$30)</f>
        <v>745.43145353248</v>
      </c>
      <c r="I18" s="70" t="n">
        <f aca="false">MIN(I16,I17*Assumptions!$D$30)</f>
        <v>654.529806418259</v>
      </c>
      <c r="J18" s="70" t="n">
        <f aca="false">MIN(J16,J17*Assumptions!$D$30)</f>
        <v>590.251781992513</v>
      </c>
      <c r="K18" s="70" t="n">
        <f aca="false">MIN(K16,K17*Assumptions!$D$30)</f>
        <v>545.213035592257</v>
      </c>
      <c r="L18" s="70" t="n">
        <f aca="false">MIN(L16,L17*Assumptions!$D$30)</f>
        <v>514.101055241532</v>
      </c>
      <c r="M18" s="70" t="n">
        <f aca="false">MIN(M16,M17*Assumptions!$D$30)</f>
        <v>493.095301469916</v>
      </c>
      <c r="N18" s="70" t="n">
        <f aca="false">MIN(N16,N17*Assumptions!$D$30)</f>
        <v>479.449723160114</v>
      </c>
      <c r="O18" s="70" t="n">
        <f aca="false">MIN(O16,O17*Assumptions!$D$30)</f>
        <v>471.192185047163</v>
      </c>
      <c r="P18" s="70" t="n">
        <f aca="false">MIN(P16,P17*Assumptions!$D$30)</f>
        <v>466.90807257215</v>
      </c>
      <c r="Q18" s="70" t="n">
        <f aca="false">MIN(Q16,Q17*Assumptions!$D$30)</f>
        <v>465.584505454433</v>
      </c>
      <c r="R18" s="70" t="n">
        <f aca="false">MIN(R16,R17*Assumptions!$D$30)</f>
        <v>466.498190625826</v>
      </c>
      <c r="S18" s="70" t="n">
        <f aca="false">MIN(S16,S17*Assumptions!$D$30)</f>
        <v>469.134696655147</v>
      </c>
      <c r="T18" s="70" t="n">
        <f aca="false">MIN(T16,T17*Assumptions!$D$30)</f>
        <v>473.130352864531</v>
      </c>
      <c r="U18" s="70" t="n">
        <f aca="false">MIN(U16,U17*Assumptions!$D$30)</f>
        <v>478.230439515657</v>
      </c>
      <c r="V18" s="70" t="n">
        <f aca="false">MIN(V16,V17*Assumptions!$D$30)</f>
        <v>484.259108935659</v>
      </c>
      <c r="W18" s="70" t="n">
        <f aca="false">MIN(W16,W17*Assumptions!$D$30)</f>
        <v>491.097754371125</v>
      </c>
      <c r="X18" s="70" t="n">
        <f aca="false">MIN(X16,X17*Assumptions!$D$30)</f>
        <v>498.669462744906</v>
      </c>
      <c r="Y18" s="70" t="n">
        <f aca="false">MIN(Y16,Y17*Assumptions!$D$30)</f>
        <v>506.927849453891</v>
      </c>
      <c r="Z18" s="70" t="n">
        <f aca="false">MIN(Z16,Z17*Assumptions!$D$30)</f>
        <v>515.849049965013</v>
      </c>
      <c r="AA18" s="70" t="n">
        <f aca="false">MIN(AA16,AA17*Assumptions!$D$30)</f>
        <v>525.425986138514</v>
      </c>
      <c r="AB18" s="70" t="n">
        <f aca="false">MIN(AB16,AB17*Assumptions!$D$30)</f>
        <v>535.664272297257</v>
      </c>
      <c r="AC18" s="70" t="n">
        <f aca="false">MIN(AC16,AC17*Assumptions!$D$30)</f>
        <v>546.579303972204</v>
      </c>
      <c r="AD18" s="70" t="n">
        <f aca="false">MIN(AD16,AD17*Assumptions!$D$30)</f>
        <v>558.194200357256</v>
      </c>
      <c r="AE18" s="70" t="n">
        <f aca="false">MIN(AE16,AE17*Assumptions!$D$30)</f>
        <v>570.53836374833</v>
      </c>
      <c r="AF18" s="70" t="n">
        <f aca="false">MIN(AF16,AF17*Assumptions!$D$30)</f>
        <v>583.646485663369</v>
      </c>
      <c r="AG18" s="70" t="n">
        <f aca="false">MIN(AG16,AG17*Assumptions!$D$30)</f>
        <v>597.557877172072</v>
      </c>
      <c r="AH18" s="70" t="n">
        <f aca="false">MIN(AH16,AH17*Assumptions!$D$30)</f>
        <v>612.316035412005</v>
      </c>
      <c r="AI18" s="70" t="n">
        <f aca="false">MIN(AI16,AI17*Assumptions!$D$30)</f>
        <v>627.968383079643</v>
      </c>
      <c r="AJ18" s="70" t="n">
        <f aca="false">MIN(AJ16,AJ17*Assumptions!$D$30)</f>
        <v>644.566135559322</v>
      </c>
      <c r="AK18" s="70" t="n">
        <f aca="false">MIN(AK16,AK17*Assumptions!$D$30)</f>
        <v>662.164263233211</v>
      </c>
      <c r="AL18" s="70" t="n">
        <f aca="false">MIN(AL16,AL17*Assumptions!$D$30)</f>
        <v>680.82152580024</v>
      </c>
      <c r="AM18" s="70" t="n">
        <f aca="false">SUM(C18:AL18)</f>
        <v>20934.683447982</v>
      </c>
    </row>
    <row r="19" customFormat="false" ht="15" hidden="false" customHeight="false" outlineLevel="0" collapsed="false">
      <c r="A19" s="10" t="s">
        <v>735</v>
      </c>
      <c r="B19" s="9" t="s">
        <v>82</v>
      </c>
      <c r="C19" s="61" t="n">
        <f aca="false">C18/Assumptions!$D$30</f>
        <v>0</v>
      </c>
      <c r="D19" s="61" t="n">
        <f aca="false">D18/Assumptions!$D$30</f>
        <v>0</v>
      </c>
      <c r="E19" s="61" t="n">
        <f aca="false">E18/Assumptions!$D$30</f>
        <v>1580.2468</v>
      </c>
      <c r="F19" s="61" t="n">
        <f aca="false">F18/Assumptions!$D$30</f>
        <v>809.34436</v>
      </c>
      <c r="G19" s="61" t="n">
        <f aca="false">G18/Assumptions!$D$30</f>
        <v>671.70637072</v>
      </c>
      <c r="H19" s="61" t="n">
        <f aca="false">H18/Assumptions!$D$30</f>
        <v>573.4088104096</v>
      </c>
      <c r="I19" s="61" t="n">
        <f aca="false">I18/Assumptions!$D$30</f>
        <v>503.484466475584</v>
      </c>
      <c r="J19" s="61" t="n">
        <f aca="false">J18/Assumptions!$D$30</f>
        <v>454.039832301933</v>
      </c>
      <c r="K19" s="61" t="n">
        <f aca="false">K18/Assumptions!$D$30</f>
        <v>419.394642763275</v>
      </c>
      <c r="L19" s="61" t="n">
        <f aca="false">L18/Assumptions!$D$30</f>
        <v>395.462350185794</v>
      </c>
      <c r="M19" s="61" t="n">
        <f aca="false">M18/Assumptions!$D$30</f>
        <v>379.304078053782</v>
      </c>
      <c r="N19" s="61" t="n">
        <f aca="false">N18/Assumptions!$D$30</f>
        <v>368.807479353934</v>
      </c>
      <c r="O19" s="61" t="n">
        <f aca="false">O18/Assumptions!$D$30</f>
        <v>362.455526959356</v>
      </c>
      <c r="P19" s="61" t="n">
        <f aca="false">P18/Assumptions!$D$30</f>
        <v>359.160055824731</v>
      </c>
      <c r="Q19" s="61" t="n">
        <f aca="false">Q18/Assumptions!$D$30</f>
        <v>358.141927272641</v>
      </c>
      <c r="R19" s="61" t="n">
        <f aca="false">R18/Assumptions!$D$30</f>
        <v>358.844762019866</v>
      </c>
      <c r="S19" s="61" t="n">
        <f aca="false">S18/Assumptions!$D$30</f>
        <v>360.872843580882</v>
      </c>
      <c r="T19" s="61" t="n">
        <f aca="false">T18/Assumptions!$D$30</f>
        <v>363.946425280408</v>
      </c>
      <c r="U19" s="61" t="n">
        <f aca="false">U18/Assumptions!$D$30</f>
        <v>367.869568858198</v>
      </c>
      <c r="V19" s="61" t="n">
        <f aca="false">V18/Assumptions!$D$30</f>
        <v>372.507006873584</v>
      </c>
      <c r="W19" s="61" t="n">
        <f aca="false">W18/Assumptions!$D$30</f>
        <v>377.767503362404</v>
      </c>
      <c r="X19" s="61" t="n">
        <f aca="false">X18/Assumptions!$D$30</f>
        <v>383.591894419159</v>
      </c>
      <c r="Y19" s="61" t="n">
        <f aca="false">Y18/Assumptions!$D$30</f>
        <v>389.944499579916</v>
      </c>
      <c r="Z19" s="61" t="n">
        <f aca="false">Z18/Assumptions!$D$30</f>
        <v>396.806961511549</v>
      </c>
      <c r="AA19" s="61" t="n">
        <f aca="false">AA18/Assumptions!$D$30</f>
        <v>404.173835491165</v>
      </c>
      <c r="AB19" s="61" t="n">
        <f aca="false">AB18/Assumptions!$D$30</f>
        <v>412.049440228659</v>
      </c>
      <c r="AC19" s="61" t="n">
        <f aca="false">AC18/Assumptions!$D$30</f>
        <v>420.445618440157</v>
      </c>
      <c r="AD19" s="61" t="n">
        <f aca="false">AD18/Assumptions!$D$30</f>
        <v>429.380154120966</v>
      </c>
      <c r="AE19" s="61" t="n">
        <f aca="false">AE18/Assumptions!$D$30</f>
        <v>438.875664421792</v>
      </c>
      <c r="AF19" s="61" t="n">
        <f aca="false">AF18/Assumptions!$D$30</f>
        <v>448.958835125669</v>
      </c>
      <c r="AG19" s="61" t="n">
        <f aca="false">AG18/Assumptions!$D$30</f>
        <v>459.659905516978</v>
      </c>
      <c r="AH19" s="61" t="n">
        <f aca="false">AH18/Assumptions!$D$30</f>
        <v>471.012334932311</v>
      </c>
      <c r="AI19" s="61" t="n">
        <f aca="false">AI18/Assumptions!$D$30</f>
        <v>483.052602368956</v>
      </c>
      <c r="AJ19" s="61" t="n">
        <f aca="false">AJ18/Assumptions!$D$30</f>
        <v>495.820104276402</v>
      </c>
      <c r="AK19" s="61" t="n">
        <f aca="false">AK18/Assumptions!$D$30</f>
        <v>509.357125564008</v>
      </c>
      <c r="AL19" s="61" t="n">
        <f aca="false">AL18/Assumptions!$D$30</f>
        <v>523.708866000185</v>
      </c>
      <c r="AM19" s="61" t="n">
        <f aca="false">SUM(C19:AL19)</f>
        <v>16103.6026522938</v>
      </c>
    </row>
    <row r="20" customFormat="false" ht="15" hidden="false" customHeight="false" outlineLevel="0" collapsed="false">
      <c r="A20" s="10" t="s">
        <v>736</v>
      </c>
      <c r="B20" s="9" t="s">
        <v>49</v>
      </c>
      <c r="C20" s="61" t="n">
        <f aca="false">C8*(Assumptions!$D$35*C14)</f>
        <v>0</v>
      </c>
      <c r="D20" s="61" t="n">
        <f aca="false">D8*(Assumptions!$D$35*D14+Assumptions!$D$34*C29)</f>
        <v>0</v>
      </c>
      <c r="E20" s="61" t="n">
        <f aca="false">E8*(Assumptions!$D$35*E14+Assumptions!$D$34*D29)</f>
        <v>22595.0282004117</v>
      </c>
      <c r="F20" s="61" t="n">
        <f aca="false">F8*(Assumptions!$D$35*F14+Assumptions!$D$34*E29)</f>
        <v>19562.1754034657</v>
      </c>
      <c r="G20" s="61" t="n">
        <f aca="false">G8*(Assumptions!$D$35*G14+Assumptions!$D$34*F29)</f>
        <v>14738.2254245057</v>
      </c>
      <c r="H20" s="61" t="n">
        <f aca="false">H8*(Assumptions!$D$35*H14+Assumptions!$D$34*G29)</f>
        <v>12729.8493881516</v>
      </c>
      <c r="I20" s="61" t="n">
        <f aca="false">I8*(Assumptions!$D$35*I14+Assumptions!$D$34*H29)</f>
        <v>11328.6051626794</v>
      </c>
      <c r="J20" s="61" t="n">
        <f aca="false">J8*(Assumptions!$D$35*J14+Assumptions!$D$34*I29)</f>
        <v>10332.293036268</v>
      </c>
      <c r="K20" s="61" t="n">
        <f aca="false">K8*(Assumptions!$D$35*K14+Assumptions!$D$34*J29)</f>
        <v>9629.03336143451</v>
      </c>
      <c r="L20" s="61" t="n">
        <f aca="false">L8*(Assumptions!$D$35*L14+Assumptions!$D$34*K29)</f>
        <v>9138.4636754331</v>
      </c>
      <c r="M20" s="61" t="n">
        <f aca="false">M8*(Assumptions!$D$35*M14+Assumptions!$D$34*L29)</f>
        <v>8802.38802852089</v>
      </c>
      <c r="N20" s="61" t="n">
        <f aca="false">N8*(Assumptions!$D$35*N14+Assumptions!$D$34*M29)</f>
        <v>8578.7723361958</v>
      </c>
      <c r="O20" s="61" t="n">
        <f aca="false">O8*(Assumptions!$D$35*O14+Assumptions!$D$34*N29)</f>
        <v>8437.32399523795</v>
      </c>
      <c r="P20" s="61" t="n">
        <f aca="false">P8*(Assumptions!$D$35*P14+Assumptions!$D$34*O29)</f>
        <v>8356.25501067084</v>
      </c>
      <c r="Q20" s="61" t="n">
        <f aca="false">Q8*(Assumptions!$D$35*Q14+Assumptions!$D$34*P29)</f>
        <v>8319.92700206991</v>
      </c>
      <c r="R20" s="61" t="n">
        <f aca="false">R8*(Assumptions!$D$35*R14+Assumptions!$D$34*Q29)</f>
        <v>8317.14437151461</v>
      </c>
      <c r="S20" s="61" t="n">
        <f aca="false">S8*(Assumptions!$D$35*S14+Assumptions!$D$34*R29)</f>
        <v>8339.9201377826</v>
      </c>
      <c r="T20" s="61" t="n">
        <f aca="false">T8*(Assumptions!$D$35*T14+Assumptions!$D$34*S29)</f>
        <v>8382.5849112183</v>
      </c>
      <c r="U20" s="61" t="n">
        <f aca="false">U8*(Assumptions!$D$35*U14+Assumptions!$D$34*T29)</f>
        <v>8441.14429979111</v>
      </c>
      <c r="V20" s="61" t="n">
        <f aca="false">V8*(Assumptions!$D$35*V14+Assumptions!$D$34*U29)</f>
        <v>8512.81586836572</v>
      </c>
      <c r="W20" s="61" t="n">
        <f aca="false">W8*(Assumptions!$D$35*W14+Assumptions!$D$34*V29)</f>
        <v>8595.69572575329</v>
      </c>
      <c r="X20" s="61" t="n">
        <f aca="false">X8*(Assumptions!$D$35*X14+Assumptions!$D$34*W29)</f>
        <v>8688.51862894953</v>
      </c>
      <c r="Y20" s="61" t="n">
        <f aca="false">Y8*(Assumptions!$D$35*Y14+Assumptions!$D$34*X29)</f>
        <v>8790.48552320135</v>
      </c>
      <c r="Z20" s="61" t="n">
        <f aca="false">Z8*(Assumptions!$D$35*Z14+Assumptions!$D$34*Y29)</f>
        <v>8901.13969858622</v>
      </c>
      <c r="AA20" s="61" t="n">
        <f aca="false">AA8*(Assumptions!$D$35*AA14+Assumptions!$D$34*Z29)</f>
        <v>9020.27799305731</v>
      </c>
      <c r="AB20" s="61" t="n">
        <f aca="false">AB8*(Assumptions!$D$35*AB14+Assumptions!$D$34*AA29)</f>
        <v>9147.88726182081</v>
      </c>
      <c r="AC20" s="61" t="n">
        <f aca="false">AC8*(Assumptions!$D$35*AC14+Assumptions!$D$34*AB29)</f>
        <v>9284.09906696922</v>
      </c>
      <c r="AD20" s="61" t="n">
        <f aca="false">AD8*(Assumptions!$D$35*AD14+Assumptions!$D$34*AC29)</f>
        <v>9429.15751253601</v>
      </c>
      <c r="AE20" s="61" t="n">
        <f aca="false">AE8*(Assumptions!$D$35*AE14+Assumptions!$D$34*AD29)</f>
        <v>9583.39657081837</v>
      </c>
      <c r="AF20" s="61" t="n">
        <f aca="false">AF8*(Assumptions!$D$35*AF14+Assumptions!$D$34*AE29)</f>
        <v>9747.22426940353</v>
      </c>
      <c r="AG20" s="61" t="n">
        <f aca="false">AG8*(Assumptions!$D$35*AG14+Assumptions!$D$34*AF29)</f>
        <v>9921.11184565458</v>
      </c>
      <c r="AH20" s="61" t="n">
        <f aca="false">AH8*(Assumptions!$D$35*AH14+Assumptions!$D$34*AG29)</f>
        <v>10105.5865064185</v>
      </c>
      <c r="AI20" s="61" t="n">
        <f aca="false">AI8*(Assumptions!$D$35*AI14+Assumptions!$D$34*AH29)</f>
        <v>10301.2268130617</v>
      </c>
      <c r="AJ20" s="61" t="n">
        <f aca="false">AJ8*(Assumptions!$D$35*AJ14+Assumptions!$D$34*AI29)</f>
        <v>10508.6599871571</v>
      </c>
      <c r="AK20" s="61" t="n">
        <f aca="false">AK8*(Assumptions!$D$35*AK14+Assumptions!$D$34*AJ29)</f>
        <v>10740.2635413876</v>
      </c>
      <c r="AL20" s="61" t="n">
        <f aca="false">AL8*(Assumptions!$D$35*AL14+Assumptions!$D$34*AK29)</f>
        <v>11021.2307337737</v>
      </c>
      <c r="AM20" s="61" t="n">
        <f aca="false">AL20</f>
        <v>11021.2307337737</v>
      </c>
    </row>
    <row r="21" customFormat="false" ht="15" hidden="false" customHeight="false" outlineLevel="0" collapsed="false">
      <c r="A21" s="10" t="s">
        <v>737</v>
      </c>
      <c r="B21" s="9" t="s">
        <v>82</v>
      </c>
      <c r="C21" s="61" t="n">
        <f aca="false">C20*Assumptions!$D$36</f>
        <v>0</v>
      </c>
      <c r="D21" s="61" t="n">
        <f aca="false">D20*Assumptions!$D$36</f>
        <v>0</v>
      </c>
      <c r="E21" s="61" t="n">
        <f aca="false">E20*Assumptions!$D$36</f>
        <v>4067.10507607411</v>
      </c>
      <c r="F21" s="61" t="n">
        <f aca="false">F20*Assumptions!$D$36</f>
        <v>3521.19157262382</v>
      </c>
      <c r="G21" s="61" t="n">
        <f aca="false">G20*Assumptions!$D$36</f>
        <v>2652.88057641103</v>
      </c>
      <c r="H21" s="61" t="n">
        <f aca="false">H20*Assumptions!$D$36</f>
        <v>2291.37288986729</v>
      </c>
      <c r="I21" s="61" t="n">
        <f aca="false">I20*Assumptions!$D$36</f>
        <v>2039.1489292823</v>
      </c>
      <c r="J21" s="61" t="n">
        <f aca="false">J20*Assumptions!$D$36</f>
        <v>1859.81274652823</v>
      </c>
      <c r="K21" s="61" t="n">
        <f aca="false">K20*Assumptions!$D$36</f>
        <v>1733.22600505821</v>
      </c>
      <c r="L21" s="61" t="n">
        <f aca="false">L20*Assumptions!$D$36</f>
        <v>1644.92346157796</v>
      </c>
      <c r="M21" s="61" t="n">
        <f aca="false">M20*Assumptions!$D$36</f>
        <v>1584.42984513376</v>
      </c>
      <c r="N21" s="61" t="n">
        <f aca="false">N20*Assumptions!$D$36</f>
        <v>1544.17902051524</v>
      </c>
      <c r="O21" s="61" t="n">
        <f aca="false">O20*Assumptions!$D$36</f>
        <v>1518.71831914283</v>
      </c>
      <c r="P21" s="61" t="n">
        <f aca="false">P20*Assumptions!$D$36</f>
        <v>1504.12590192075</v>
      </c>
      <c r="Q21" s="61" t="n">
        <f aca="false">Q20*Assumptions!$D$36</f>
        <v>1497.58686037258</v>
      </c>
      <c r="R21" s="61" t="n">
        <f aca="false">R20*Assumptions!$D$36</f>
        <v>1497.08598687263</v>
      </c>
      <c r="S21" s="61" t="n">
        <f aca="false">S20*Assumptions!$D$36</f>
        <v>1501.18562480087</v>
      </c>
      <c r="T21" s="61" t="n">
        <f aca="false">T20*Assumptions!$D$36</f>
        <v>1508.86528401929</v>
      </c>
      <c r="U21" s="61" t="n">
        <f aca="false">U20*Assumptions!$D$36</f>
        <v>1519.4059739624</v>
      </c>
      <c r="V21" s="61" t="n">
        <f aca="false">V20*Assumptions!$D$36</f>
        <v>1532.30685630583</v>
      </c>
      <c r="W21" s="61" t="n">
        <f aca="false">W20*Assumptions!$D$36</f>
        <v>1547.22523063559</v>
      </c>
      <c r="X21" s="61" t="n">
        <f aca="false">X20*Assumptions!$D$36</f>
        <v>1563.93335321092</v>
      </c>
      <c r="Y21" s="61" t="n">
        <f aca="false">Y20*Assumptions!$D$36</f>
        <v>1582.28739417624</v>
      </c>
      <c r="Z21" s="61" t="n">
        <f aca="false">Z20*Assumptions!$D$36</f>
        <v>1602.20514574552</v>
      </c>
      <c r="AA21" s="61" t="n">
        <f aca="false">AA20*Assumptions!$D$36</f>
        <v>1623.65003875032</v>
      </c>
      <c r="AB21" s="61" t="n">
        <f aca="false">AB20*Assumptions!$D$36</f>
        <v>1646.61970712775</v>
      </c>
      <c r="AC21" s="61" t="n">
        <f aca="false">AC20*Assumptions!$D$36</f>
        <v>1671.13783205446</v>
      </c>
      <c r="AD21" s="61" t="n">
        <f aca="false">AD20*Assumptions!$D$36</f>
        <v>1697.24835225648</v>
      </c>
      <c r="AE21" s="61" t="n">
        <f aca="false">AE20*Assumptions!$D$36</f>
        <v>1725.01138274731</v>
      </c>
      <c r="AF21" s="61" t="n">
        <f aca="false">AF20*Assumptions!$D$36</f>
        <v>1754.50036849263</v>
      </c>
      <c r="AG21" s="61" t="n">
        <f aca="false">AG20*Assumptions!$D$36</f>
        <v>1785.80013221782</v>
      </c>
      <c r="AH21" s="61" t="n">
        <f aca="false">AH20*Assumptions!$D$36</f>
        <v>1819.00557115534</v>
      </c>
      <c r="AI21" s="61" t="n">
        <f aca="false">AI20*Assumptions!$D$36</f>
        <v>1854.2208263511</v>
      </c>
      <c r="AJ21" s="61" t="n">
        <f aca="false">AJ20*Assumptions!$D$36</f>
        <v>1891.55879768828</v>
      </c>
      <c r="AK21" s="61" t="n">
        <f aca="false">AK20*Assumptions!$D$36</f>
        <v>1933.24743744977</v>
      </c>
      <c r="AL21" s="61" t="n">
        <f aca="false">AL20*Assumptions!$D$36</f>
        <v>1983.82153207926</v>
      </c>
      <c r="AM21" s="61" t="n">
        <f aca="false">SUM(C21:AL21)</f>
        <v>62699.0240326079</v>
      </c>
    </row>
    <row r="22" customFormat="false" ht="15" hidden="false" customHeight="false" outlineLevel="0" collapsed="false">
      <c r="A22" s="10" t="s">
        <v>738</v>
      </c>
      <c r="B22" s="9" t="s">
        <v>95</v>
      </c>
      <c r="C22" s="70" t="n">
        <f aca="false">MIN(MAX(0,C16-C18),C21*Assumptions!$D$37)</f>
        <v>0</v>
      </c>
      <c r="D22" s="70" t="n">
        <f aca="false">MIN(MAX(0,D16-D18),D21*Assumptions!$D$37)</f>
        <v>0</v>
      </c>
      <c r="E22" s="70" t="n">
        <f aca="false">MIN(MAX(0,E16-E18),E21*Assumptions!$D$37)</f>
        <v>6914.07862932598</v>
      </c>
      <c r="F22" s="70" t="n">
        <f aca="false">MIN(MAX(0,F16-F18),F21*Assumptions!$D$37)</f>
        <v>5986.02567346049</v>
      </c>
      <c r="G22" s="70" t="n">
        <f aca="false">MIN(MAX(0,G16-G18),G21*Assumptions!$D$37)</f>
        <v>4509.89697989875</v>
      </c>
      <c r="H22" s="70" t="n">
        <f aca="false">MIN(MAX(0,H16-H18),H21*Assumptions!$D$37)</f>
        <v>3895.33391277439</v>
      </c>
      <c r="I22" s="70" t="n">
        <f aca="false">MIN(MAX(0,I16-I18),I21*Assumptions!$D$37)</f>
        <v>3466.55317977991</v>
      </c>
      <c r="J22" s="70" t="n">
        <f aca="false">MIN(MAX(0,J16-J18),J21*Assumptions!$D$37)</f>
        <v>3161.681669098</v>
      </c>
      <c r="K22" s="70" t="n">
        <f aca="false">MIN(MAX(0,K16-K18),K21*Assumptions!$D$37)</f>
        <v>2946.48420859896</v>
      </c>
      <c r="L22" s="70" t="n">
        <f aca="false">MIN(MAX(0,L16-L18),L21*Assumptions!$D$37)</f>
        <v>2796.36988468253</v>
      </c>
      <c r="M22" s="70" t="n">
        <f aca="false">MIN(MAX(0,M16-M18),M21*Assumptions!$D$37)</f>
        <v>2693.53073672739</v>
      </c>
      <c r="N22" s="70" t="n">
        <f aca="false">MIN(MAX(0,N16-N18),N21*Assumptions!$D$37)</f>
        <v>2625.10433487591</v>
      </c>
      <c r="O22" s="70" t="n">
        <f aca="false">MIN(MAX(0,O16-O18),O21*Assumptions!$D$37)</f>
        <v>2581.82114254281</v>
      </c>
      <c r="P22" s="70" t="n">
        <f aca="false">MIN(MAX(0,P16-P18),P21*Assumptions!$D$37)</f>
        <v>2557.01403326528</v>
      </c>
      <c r="Q22" s="70" t="n">
        <f aca="false">MIN(MAX(0,Q16-Q18),Q21*Assumptions!$D$37)</f>
        <v>2545.89766263339</v>
      </c>
      <c r="R22" s="70" t="n">
        <f aca="false">MIN(MAX(0,R16-R18),R21*Assumptions!$D$37)</f>
        <v>2545.04617768347</v>
      </c>
      <c r="S22" s="70" t="n">
        <f aca="false">MIN(MAX(0,S16-S18),S21*Assumptions!$D$37)</f>
        <v>2552.01556216147</v>
      </c>
      <c r="T22" s="70" t="n">
        <f aca="false">MIN(MAX(0,T16-T18),T21*Assumptions!$D$37)</f>
        <v>2565.0709828328</v>
      </c>
      <c r="U22" s="70" t="n">
        <f aca="false">MIN(MAX(0,U16-U18),U21*Assumptions!$D$37)</f>
        <v>2582.99015573608</v>
      </c>
      <c r="V22" s="70" t="n">
        <f aca="false">MIN(MAX(0,V16-V18),V21*Assumptions!$D$37)</f>
        <v>2604.92165571991</v>
      </c>
      <c r="W22" s="70" t="n">
        <f aca="false">MIN(MAX(0,W16-W18),W21*Assumptions!$D$37)</f>
        <v>2630.28289208051</v>
      </c>
      <c r="X22" s="70" t="n">
        <f aca="false">MIN(MAX(0,X16-X18),X21*Assumptions!$D$37)</f>
        <v>2658.68670045856</v>
      </c>
      <c r="Y22" s="70" t="n">
        <f aca="false">MIN(MAX(0,Y16-Y18),Y21*Assumptions!$D$37)</f>
        <v>2689.88857009961</v>
      </c>
      <c r="Z22" s="70" t="n">
        <f aca="false">MIN(MAX(0,Z16-Z18),Z21*Assumptions!$D$37)</f>
        <v>2723.74874776738</v>
      </c>
      <c r="AA22" s="70" t="n">
        <f aca="false">MIN(MAX(0,AA16-AA18),AA21*Assumptions!$D$37)</f>
        <v>2760.20506587554</v>
      </c>
      <c r="AB22" s="70" t="n">
        <f aca="false">MIN(MAX(0,AB16-AB18),AB21*Assumptions!$D$37)</f>
        <v>2799.25350211717</v>
      </c>
      <c r="AC22" s="70" t="n">
        <f aca="false">MIN(MAX(0,AC16-AC18),AC21*Assumptions!$D$37)</f>
        <v>2840.93431449258</v>
      </c>
      <c r="AD22" s="70" t="n">
        <f aca="false">MIN(MAX(0,AD16-AD18),AD21*Assumptions!$D$37)</f>
        <v>2885.32219883602</v>
      </c>
      <c r="AE22" s="70" t="n">
        <f aca="false">MIN(MAX(0,AE16-AE18),AE21*Assumptions!$D$37)</f>
        <v>2932.51935067042</v>
      </c>
      <c r="AF22" s="70" t="n">
        <f aca="false">MIN(MAX(0,AF16-AF18),AF21*Assumptions!$D$37)</f>
        <v>2982.65062643748</v>
      </c>
      <c r="AG22" s="70" t="n">
        <f aca="false">MIN(MAX(0,AG16-AG18),AG21*Assumptions!$D$37)</f>
        <v>3035.8602247703</v>
      </c>
      <c r="AH22" s="70" t="n">
        <f aca="false">MIN(MAX(0,AH16-AH18),AH21*Assumptions!$D$37)</f>
        <v>3092.30947096407</v>
      </c>
      <c r="AI22" s="70" t="n">
        <f aca="false">MIN(MAX(0,AI16-AI18),AI21*Assumptions!$D$37)</f>
        <v>3152.17540479688</v>
      </c>
      <c r="AJ22" s="70" t="n">
        <f aca="false">MIN(MAX(0,AJ16-AJ18),AJ21*Assumptions!$D$37)</f>
        <v>3215.64995607007</v>
      </c>
      <c r="AK22" s="70" t="n">
        <f aca="false">MIN(MAX(0,AK16-AK18),AK21*Assumptions!$D$37)</f>
        <v>3286.52064366461</v>
      </c>
      <c r="AL22" s="70" t="n">
        <f aca="false">MIN(MAX(0,AL16-AL18),AL21*Assumptions!$D$37)</f>
        <v>3372.49660453474</v>
      </c>
      <c r="AM22" s="70" t="n">
        <f aca="false">SUM(C22:AL22)</f>
        <v>106588.340855433</v>
      </c>
    </row>
    <row r="23" customFormat="false" ht="15" hidden="false" customHeight="false" outlineLevel="0" collapsed="false">
      <c r="A23" s="10" t="s">
        <v>739</v>
      </c>
      <c r="B23" s="9" t="s">
        <v>82</v>
      </c>
      <c r="C23" s="61" t="n">
        <f aca="false">C22/Assumptions!$D$37</f>
        <v>0</v>
      </c>
      <c r="D23" s="61" t="n">
        <f aca="false">D22/Assumptions!$D$37</f>
        <v>0</v>
      </c>
      <c r="E23" s="61" t="n">
        <f aca="false">E22/Assumptions!$D$37</f>
        <v>4067.10507607411</v>
      </c>
      <c r="F23" s="61" t="n">
        <f aca="false">F22/Assumptions!$D$37</f>
        <v>3521.19157262382</v>
      </c>
      <c r="G23" s="61" t="n">
        <f aca="false">G22/Assumptions!$D$37</f>
        <v>2652.88057641103</v>
      </c>
      <c r="H23" s="61" t="n">
        <f aca="false">H22/Assumptions!$D$37</f>
        <v>2291.37288986729</v>
      </c>
      <c r="I23" s="61" t="n">
        <f aca="false">I22/Assumptions!$D$37</f>
        <v>2039.1489292823</v>
      </c>
      <c r="J23" s="61" t="n">
        <f aca="false">J22/Assumptions!$D$37</f>
        <v>1859.81274652823</v>
      </c>
      <c r="K23" s="61" t="n">
        <f aca="false">K22/Assumptions!$D$37</f>
        <v>1733.22600505821</v>
      </c>
      <c r="L23" s="61" t="n">
        <f aca="false">L22/Assumptions!$D$37</f>
        <v>1644.92346157796</v>
      </c>
      <c r="M23" s="61" t="n">
        <f aca="false">M22/Assumptions!$D$37</f>
        <v>1584.42984513376</v>
      </c>
      <c r="N23" s="61" t="n">
        <f aca="false">N22/Assumptions!$D$37</f>
        <v>1544.17902051524</v>
      </c>
      <c r="O23" s="61" t="n">
        <f aca="false">O22/Assumptions!$D$37</f>
        <v>1518.71831914283</v>
      </c>
      <c r="P23" s="61" t="n">
        <f aca="false">P22/Assumptions!$D$37</f>
        <v>1504.12590192075</v>
      </c>
      <c r="Q23" s="61" t="n">
        <f aca="false">Q22/Assumptions!$D$37</f>
        <v>1497.58686037258</v>
      </c>
      <c r="R23" s="61" t="n">
        <f aca="false">R22/Assumptions!$D$37</f>
        <v>1497.08598687263</v>
      </c>
      <c r="S23" s="61" t="n">
        <f aca="false">S22/Assumptions!$D$37</f>
        <v>1501.18562480087</v>
      </c>
      <c r="T23" s="61" t="n">
        <f aca="false">T22/Assumptions!$D$37</f>
        <v>1508.86528401929</v>
      </c>
      <c r="U23" s="61" t="n">
        <f aca="false">U22/Assumptions!$D$37</f>
        <v>1519.4059739624</v>
      </c>
      <c r="V23" s="61" t="n">
        <f aca="false">V22/Assumptions!$D$37</f>
        <v>1532.30685630583</v>
      </c>
      <c r="W23" s="61" t="n">
        <f aca="false">W22/Assumptions!$D$37</f>
        <v>1547.22523063559</v>
      </c>
      <c r="X23" s="61" t="n">
        <f aca="false">X22/Assumptions!$D$37</f>
        <v>1563.93335321092</v>
      </c>
      <c r="Y23" s="61" t="n">
        <f aca="false">Y22/Assumptions!$D$37</f>
        <v>1582.28739417624</v>
      </c>
      <c r="Z23" s="61" t="n">
        <f aca="false">Z22/Assumptions!$D$37</f>
        <v>1602.20514574552</v>
      </c>
      <c r="AA23" s="61" t="n">
        <f aca="false">AA22/Assumptions!$D$37</f>
        <v>1623.65003875032</v>
      </c>
      <c r="AB23" s="61" t="n">
        <f aca="false">AB22/Assumptions!$D$37</f>
        <v>1646.61970712775</v>
      </c>
      <c r="AC23" s="61" t="n">
        <f aca="false">AC22/Assumptions!$D$37</f>
        <v>1671.13783205446</v>
      </c>
      <c r="AD23" s="61" t="n">
        <f aca="false">AD22/Assumptions!$D$37</f>
        <v>1697.24835225648</v>
      </c>
      <c r="AE23" s="61" t="n">
        <f aca="false">AE22/Assumptions!$D$37</f>
        <v>1725.01138274731</v>
      </c>
      <c r="AF23" s="61" t="n">
        <f aca="false">AF22/Assumptions!$D$37</f>
        <v>1754.50036849263</v>
      </c>
      <c r="AG23" s="61" t="n">
        <f aca="false">AG22/Assumptions!$D$37</f>
        <v>1785.80013221782</v>
      </c>
      <c r="AH23" s="61" t="n">
        <f aca="false">AH22/Assumptions!$D$37</f>
        <v>1819.00557115534</v>
      </c>
      <c r="AI23" s="61" t="n">
        <f aca="false">AI22/Assumptions!$D$37</f>
        <v>1854.2208263511</v>
      </c>
      <c r="AJ23" s="61" t="n">
        <f aca="false">AJ22/Assumptions!$D$37</f>
        <v>1891.55879768828</v>
      </c>
      <c r="AK23" s="61" t="n">
        <f aca="false">AK22/Assumptions!$D$37</f>
        <v>1933.24743744977</v>
      </c>
      <c r="AL23" s="61" t="n">
        <f aca="false">AL22/Assumptions!$D$37</f>
        <v>1983.82153207926</v>
      </c>
      <c r="AM23" s="61" t="n">
        <f aca="false">SUM(C23:AL23)</f>
        <v>62699.0240326079</v>
      </c>
    </row>
    <row r="24" customFormat="false" ht="15" hidden="false" customHeight="false" outlineLevel="0" collapsed="false">
      <c r="A24" s="10" t="s">
        <v>740</v>
      </c>
      <c r="B24" s="9" t="s">
        <v>95</v>
      </c>
      <c r="C24" s="70" t="n">
        <f aca="false">MAX(0,C16-C18-C22)</f>
        <v>4000</v>
      </c>
      <c r="D24" s="70" t="n">
        <f aca="false">MAX(0,D16-D18-D22)</f>
        <v>4000</v>
      </c>
      <c r="E24" s="70" t="n">
        <f aca="false">MAX(0,E16-E18-E22)</f>
        <v>1031.60053067402</v>
      </c>
      <c r="F24" s="70" t="n">
        <f aca="false">MAX(0,F16-F18-F22)</f>
        <v>2961.82665853951</v>
      </c>
      <c r="G24" s="70" t="n">
        <f aca="false">MAX(0,G16-G18-G22)</f>
        <v>4616.88473816525</v>
      </c>
      <c r="H24" s="70" t="n">
        <f aca="false">MAX(0,H16-H18-H22)</f>
        <v>5359.23463369313</v>
      </c>
      <c r="I24" s="70" t="n">
        <f aca="false">MAX(0,I16-I18-I22)</f>
        <v>5878.91701380183</v>
      </c>
      <c r="J24" s="70" t="n">
        <f aca="false">MAX(0,J16-J18-J22)</f>
        <v>6248.06654890949</v>
      </c>
      <c r="K24" s="70" t="n">
        <f aca="false">MAX(0,K16-K18-K22)</f>
        <v>6508.30275580878</v>
      </c>
      <c r="L24" s="70" t="n">
        <f aca="false">MAX(0,L16-L18-L22)</f>
        <v>6689.52906007594</v>
      </c>
      <c r="M24" s="70" t="n">
        <f aca="false">MAX(0,M16-M18-M22)</f>
        <v>6813.37396180269</v>
      </c>
      <c r="N24" s="70" t="n">
        <f aca="false">MAX(0,N16-N18-N22)</f>
        <v>6895.44594196397</v>
      </c>
      <c r="O24" s="70" t="n">
        <f aca="false">MAX(0,O16-O18-O22)</f>
        <v>6946.98667241002</v>
      </c>
      <c r="P24" s="70" t="n">
        <f aca="false">MAX(0,P16-P18-P22)</f>
        <v>6976.07789416257</v>
      </c>
      <c r="Q24" s="70" t="n">
        <f aca="false">MAX(0,Q16-Q18-Q22)</f>
        <v>6988.51783191218</v>
      </c>
      <c r="R24" s="70" t="n">
        <f aca="false">MAX(0,R16-R18-R22)</f>
        <v>6988.4556316907</v>
      </c>
      <c r="S24" s="70" t="n">
        <f aca="false">MAX(0,S16-S18-S22)</f>
        <v>6978.84974118338</v>
      </c>
      <c r="T24" s="70" t="n">
        <f aca="false">MAX(0,T16-T18-T22)</f>
        <v>6961.79866430267</v>
      </c>
      <c r="U24" s="70" t="n">
        <f aca="false">MAX(0,U16-U18-U22)</f>
        <v>6938.77940474826</v>
      </c>
      <c r="V24" s="70" t="n">
        <f aca="false">MAX(0,V16-V18-V22)</f>
        <v>6910.81923534443</v>
      </c>
      <c r="W24" s="70" t="n">
        <f aca="false">MAX(0,W16-W18-W22)</f>
        <v>6878.61935354837</v>
      </c>
      <c r="X24" s="70" t="n">
        <f aca="false">MAX(0,X16-X18-X22)</f>
        <v>6842.64383679654</v>
      </c>
      <c r="Y24" s="70" t="n">
        <f aca="false">MAX(0,Y16-Y18-Y22)</f>
        <v>6803.1835804465</v>
      </c>
      <c r="Z24" s="70" t="n">
        <f aca="false">MAX(0,Z16-Z18-Z22)</f>
        <v>6760.4022022676</v>
      </c>
      <c r="AA24" s="70" t="n">
        <f aca="false">MAX(0,AA16-AA18-AA22)</f>
        <v>6714.36894798595</v>
      </c>
      <c r="AB24" s="70" t="n">
        <f aca="false">MAX(0,AB16-AB18-AB22)</f>
        <v>6665.08222558557</v>
      </c>
      <c r="AC24" s="70" t="n">
        <f aca="false">MAX(0,AC16-AC18-AC22)</f>
        <v>6612.48638153522</v>
      </c>
      <c r="AD24" s="70" t="n">
        <f aca="false">MAX(0,AD16-AD18-AD22)</f>
        <v>6556.48360080672</v>
      </c>
      <c r="AE24" s="70" t="n">
        <f aca="false">MAX(0,AE16-AE18-AE22)</f>
        <v>6496.94228558125</v>
      </c>
      <c r="AF24" s="70" t="n">
        <f aca="false">MAX(0,AF16-AF18-AF22)</f>
        <v>6433.70288789915</v>
      </c>
      <c r="AG24" s="70" t="n">
        <f aca="false">MAX(0,AG16-AG18-AG22)</f>
        <v>6366.58189805763</v>
      </c>
      <c r="AH24" s="70" t="n">
        <f aca="false">MAX(0,AH16-AH18-AH22)</f>
        <v>6295.37449362393</v>
      </c>
      <c r="AI24" s="70" t="n">
        <f aca="false">MAX(0,AI16-AI18-AI22)</f>
        <v>6219.85621212348</v>
      </c>
      <c r="AJ24" s="70" t="n">
        <f aca="false">MAX(0,AJ16-AJ18-AJ22)</f>
        <v>6220.56917513555</v>
      </c>
      <c r="AK24" s="70" t="n">
        <f aca="false">MAX(0,AK16-AK18-AK22)</f>
        <v>6461.23172323947</v>
      </c>
      <c r="AL24" s="70" t="n">
        <f aca="false">MAX(0,AL16-AL18-AL22)</f>
        <v>6720.79689726217</v>
      </c>
      <c r="AM24" s="70" t="n">
        <f aca="false">SUM(C24:AL24)</f>
        <v>221741.792621084</v>
      </c>
    </row>
    <row r="25" customFormat="false" ht="15" hidden="false" customHeight="false" outlineLevel="0" collapsed="false">
      <c r="A25" s="10" t="s">
        <v>741</v>
      </c>
      <c r="B25" s="9" t="s">
        <v>82</v>
      </c>
      <c r="C25" s="61" t="n">
        <f aca="false">(Assumptions!$D$21/(Assumptions!$D$41*Assumptions!$D$42))*(C24/Assumptions!$D$21)^Assumptions!$D$25</f>
        <v>2176.50711202601</v>
      </c>
      <c r="D25" s="61" t="n">
        <f aca="false">(Assumptions!$D$21/(Assumptions!$D$41*Assumptions!$D$42))*(D24/Assumptions!$D$21)^Assumptions!$D$25</f>
        <v>2176.50711202601</v>
      </c>
      <c r="E25" s="61" t="n">
        <f aca="false">(Assumptions!$D$21/(Assumptions!$D$41*Assumptions!$D$42))*(E24/Assumptions!$D$21)^Assumptions!$D$25</f>
        <v>866.058353849575</v>
      </c>
      <c r="F25" s="61" t="n">
        <f aca="false">(Assumptions!$D$21/(Assumptions!$D$41*Assumptions!$D$42))*(F24/Assumptions!$D$21)^Assumptions!$D$25</f>
        <v>1774.27057516668</v>
      </c>
      <c r="G25" s="61" t="n">
        <f aca="false">(Assumptions!$D$21/(Assumptions!$D$41*Assumptions!$D$42))*(G24/Assumptions!$D$21)^Assumptions!$D$25</f>
        <v>2399.47726049477</v>
      </c>
      <c r="H25" s="61" t="n">
        <f aca="false">(Assumptions!$D$21/(Assumptions!$D$41*Assumptions!$D$42))*(H24/Assumptions!$D$21)^Assumptions!$D$25</f>
        <v>2655.51758111207</v>
      </c>
      <c r="I25" s="61" t="n">
        <f aca="false">(Assumptions!$D$21/(Assumptions!$D$41*Assumptions!$D$42))*(I24/Assumptions!$D$21)^Assumptions!$D$25</f>
        <v>2828.0135159342</v>
      </c>
      <c r="J25" s="61" t="n">
        <f aca="false">(Assumptions!$D$21/(Assumptions!$D$41*Assumptions!$D$42))*(J24/Assumptions!$D$21)^Assumptions!$D$25</f>
        <v>2947.58498939119</v>
      </c>
      <c r="K25" s="61" t="n">
        <f aca="false">(Assumptions!$D$21/(Assumptions!$D$41*Assumptions!$D$42))*(K24/Assumptions!$D$21)^Assumptions!$D$25</f>
        <v>3030.52146718553</v>
      </c>
      <c r="L25" s="61" t="n">
        <f aca="false">(Assumptions!$D$21/(Assumptions!$D$41*Assumptions!$D$42))*(L24/Assumptions!$D$21)^Assumptions!$D$25</f>
        <v>3087.65143487507</v>
      </c>
      <c r="M25" s="61" t="n">
        <f aca="false">(Assumptions!$D$21/(Assumptions!$D$41*Assumptions!$D$42))*(M24/Assumptions!$D$21)^Assumptions!$D$25</f>
        <v>3126.40769169877</v>
      </c>
      <c r="N25" s="61" t="n">
        <f aca="false">(Assumptions!$D$21/(Assumptions!$D$41*Assumptions!$D$42))*(N24/Assumptions!$D$21)^Assumptions!$D$25</f>
        <v>3151.9672763861</v>
      </c>
      <c r="O25" s="61" t="n">
        <f aca="false">(Assumptions!$D$21/(Assumptions!$D$41*Assumptions!$D$42))*(O24/Assumptions!$D$21)^Assumptions!$D$25</f>
        <v>3167.96878122189</v>
      </c>
      <c r="P25" s="61" t="n">
        <f aca="false">(Assumptions!$D$21/(Assumptions!$D$41*Assumptions!$D$42))*(P24/Assumptions!$D$21)^Assumptions!$D$25</f>
        <v>3176.98376094541</v>
      </c>
      <c r="Q25" s="61" t="n">
        <f aca="false">(Assumptions!$D$21/(Assumptions!$D$41*Assumptions!$D$42))*(Q24/Assumptions!$D$21)^Assumptions!$D$25</f>
        <v>3180.8350575045</v>
      </c>
      <c r="R25" s="61" t="n">
        <f aca="false">(Assumptions!$D$21/(Assumptions!$D$41*Assumptions!$D$42))*(R24/Assumptions!$D$21)^Assumptions!$D$25</f>
        <v>3180.81580631656</v>
      </c>
      <c r="S25" s="61" t="n">
        <f aca="false">(Assumptions!$D$21/(Assumptions!$D$41*Assumptions!$D$42))*(S24/Assumptions!$D$21)^Assumptions!$D$25</f>
        <v>3177.84209083927</v>
      </c>
      <c r="T25" s="61" t="n">
        <f aca="false">(Assumptions!$D$21/(Assumptions!$D$41*Assumptions!$D$42))*(T24/Assumptions!$D$21)^Assumptions!$D$25</f>
        <v>3172.56032535199</v>
      </c>
      <c r="U25" s="61" t="n">
        <f aca="false">(Assumptions!$D$21/(Assumptions!$D$41*Assumptions!$D$42))*(U24/Assumptions!$D$21)^Assumptions!$D$25</f>
        <v>3165.42327557158</v>
      </c>
      <c r="V25" s="61" t="n">
        <f aca="false">(Assumptions!$D$21/(Assumptions!$D$41*Assumptions!$D$42))*(V24/Assumptions!$D$21)^Assumptions!$D$25</f>
        <v>3156.74411285223</v>
      </c>
      <c r="W25" s="61" t="n">
        <f aca="false">(Assumptions!$D$21/(Assumptions!$D$41*Assumptions!$D$42))*(W24/Assumptions!$D$21)^Assumptions!$D$25</f>
        <v>3146.73495946452</v>
      </c>
      <c r="X25" s="61" t="n">
        <f aca="false">(Assumptions!$D$21/(Assumptions!$D$41*Assumptions!$D$42))*(X24/Assumptions!$D$21)^Assumptions!$D$25</f>
        <v>3135.53441979497</v>
      </c>
      <c r="Y25" s="61" t="n">
        <f aca="false">(Assumptions!$D$21/(Assumptions!$D$41*Assumptions!$D$42))*(Y24/Assumptions!$D$21)^Assumptions!$D$25</f>
        <v>3123.22725528113</v>
      </c>
      <c r="Z25" s="61" t="n">
        <f aca="false">(Assumptions!$D$21/(Assumptions!$D$41*Assumptions!$D$42))*(Z24/Assumptions!$D$21)^Assumptions!$D$25</f>
        <v>3109.85843647522</v>
      </c>
      <c r="AA25" s="61" t="n">
        <f aca="false">(Assumptions!$D$21/(Assumptions!$D$41*Assumptions!$D$42))*(AA24/Assumptions!$D$21)^Assumptions!$D$25</f>
        <v>3095.4431593674</v>
      </c>
      <c r="AB25" s="61" t="n">
        <f aca="false">(Assumptions!$D$21/(Assumptions!$D$41*Assumptions!$D$42))*(AB24/Assumptions!$D$21)^Assumptions!$D$25</f>
        <v>3079.97395755649</v>
      </c>
      <c r="AC25" s="61" t="n">
        <f aca="false">(Assumptions!$D$21/(Assumptions!$D$41*Assumptions!$D$42))*(AC24/Assumptions!$D$21)^Assumptions!$D$25</f>
        <v>3063.42571876105</v>
      </c>
      <c r="AD25" s="61" t="n">
        <f aca="false">(Assumptions!$D$21/(Assumptions!$D$41*Assumptions!$D$42))*(AD24/Assumptions!$D$21)^Assumptions!$D$25</f>
        <v>3045.75918392851</v>
      </c>
      <c r="AE25" s="61" t="n">
        <f aca="false">(Assumptions!$D$21/(Assumptions!$D$41*Assumptions!$D$42))*(AE24/Assumptions!$D$21)^Assumptions!$D$25</f>
        <v>3026.92334252026</v>
      </c>
      <c r="AF25" s="61" t="n">
        <f aca="false">(Assumptions!$D$21/(Assumptions!$D$41*Assumptions!$D$42))*(AF24/Assumptions!$D$21)^Assumptions!$D$25</f>
        <v>3006.85701937588</v>
      </c>
      <c r="AG25" s="61" t="n">
        <f aca="false">(Assumptions!$D$21/(Assumptions!$D$41*Assumptions!$D$42))*(AG24/Assumptions!$D$21)^Assumptions!$D$25</f>
        <v>2985.4898634776</v>
      </c>
      <c r="AH25" s="61" t="n">
        <f aca="false">(Assumptions!$D$21/(Assumptions!$D$41*Assumptions!$D$42))*(AH24/Assumptions!$D$21)^Assumptions!$D$25</f>
        <v>2962.74288743744</v>
      </c>
      <c r="AI25" s="61" t="n">
        <f aca="false">(Assumptions!$D$21/(Assumptions!$D$41*Assumptions!$D$42))*(AI24/Assumptions!$D$21)^Assumptions!$D$25</f>
        <v>2938.5286618291</v>
      </c>
      <c r="AJ25" s="61" t="n">
        <f aca="false">(Assumptions!$D$21/(Assumptions!$D$41*Assumptions!$D$42))*(AJ24/Assumptions!$D$21)^Assumptions!$D$25</f>
        <v>2938.75770509818</v>
      </c>
      <c r="AK25" s="61" t="n">
        <f aca="false">(Assumptions!$D$21/(Assumptions!$D$41*Assumptions!$D$42))*(AK24/Assumptions!$D$21)^Assumptions!$D$25</f>
        <v>3015.59984183321</v>
      </c>
      <c r="AL25" s="61" t="n">
        <f aca="false">(Assumptions!$D$21/(Assumptions!$D$41*Assumptions!$D$42))*(AL24/Assumptions!$D$21)^Assumptions!$D$25</f>
        <v>3097.45796188883</v>
      </c>
      <c r="AM25" s="61" t="n">
        <f aca="false">SUM(C25:AL25)</f>
        <v>104371.971954839</v>
      </c>
    </row>
    <row r="26" customFormat="false" ht="15" hidden="false" customHeight="false" outlineLevel="0" collapsed="false">
      <c r="A26" s="38" t="s">
        <v>742</v>
      </c>
      <c r="B26" s="9" t="s">
        <v>95</v>
      </c>
      <c r="C26" s="53" t="n">
        <f aca="false">C18+C22+C24</f>
        <v>4000</v>
      </c>
      <c r="D26" s="53" t="n">
        <f aca="false">D18+D22+D24</f>
        <v>4000</v>
      </c>
      <c r="E26" s="53" t="n">
        <f aca="false">E18+E22+E24</f>
        <v>10000</v>
      </c>
      <c r="F26" s="53" t="n">
        <f aca="false">F18+F22+F24</f>
        <v>10000</v>
      </c>
      <c r="G26" s="53" t="n">
        <f aca="false">G18+G22+G24</f>
        <v>10000</v>
      </c>
      <c r="H26" s="53" t="n">
        <f aca="false">H18+H22+H24</f>
        <v>10000</v>
      </c>
      <c r="I26" s="53" t="n">
        <f aca="false">I18+I22+I24</f>
        <v>10000</v>
      </c>
      <c r="J26" s="53" t="n">
        <f aca="false">J18+J22+J24</f>
        <v>10000</v>
      </c>
      <c r="K26" s="53" t="n">
        <f aca="false">K18+K22+K24</f>
        <v>10000</v>
      </c>
      <c r="L26" s="53" t="n">
        <f aca="false">L18+L22+L24</f>
        <v>10000</v>
      </c>
      <c r="M26" s="53" t="n">
        <f aca="false">M18+M22+M24</f>
        <v>10000</v>
      </c>
      <c r="N26" s="53" t="n">
        <f aca="false">N18+N22+N24</f>
        <v>10000</v>
      </c>
      <c r="O26" s="53" t="n">
        <f aca="false">O18+O22+O24</f>
        <v>10000</v>
      </c>
      <c r="P26" s="53" t="n">
        <f aca="false">P18+P22+P24</f>
        <v>10000</v>
      </c>
      <c r="Q26" s="53" t="n">
        <f aca="false">Q18+Q22+Q24</f>
        <v>10000</v>
      </c>
      <c r="R26" s="53" t="n">
        <f aca="false">R18+R22+R24</f>
        <v>10000</v>
      </c>
      <c r="S26" s="53" t="n">
        <f aca="false">S18+S22+S24</f>
        <v>10000</v>
      </c>
      <c r="T26" s="53" t="n">
        <f aca="false">T18+T22+T24</f>
        <v>10000</v>
      </c>
      <c r="U26" s="53" t="n">
        <f aca="false">U18+U22+U24</f>
        <v>10000</v>
      </c>
      <c r="V26" s="53" t="n">
        <f aca="false">V18+V22+V24</f>
        <v>10000</v>
      </c>
      <c r="W26" s="53" t="n">
        <f aca="false">W18+W22+W24</f>
        <v>10000</v>
      </c>
      <c r="X26" s="53" t="n">
        <f aca="false">X18+X22+X24</f>
        <v>10000</v>
      </c>
      <c r="Y26" s="53" t="n">
        <f aca="false">Y18+Y22+Y24</f>
        <v>10000</v>
      </c>
      <c r="Z26" s="53" t="n">
        <f aca="false">Z18+Z22+Z24</f>
        <v>10000</v>
      </c>
      <c r="AA26" s="53" t="n">
        <f aca="false">AA18+AA22+AA24</f>
        <v>10000</v>
      </c>
      <c r="AB26" s="53" t="n">
        <f aca="false">AB18+AB22+AB24</f>
        <v>10000</v>
      </c>
      <c r="AC26" s="53" t="n">
        <f aca="false">AC18+AC22+AC24</f>
        <v>10000</v>
      </c>
      <c r="AD26" s="53" t="n">
        <f aca="false">AD18+AD22+AD24</f>
        <v>10000</v>
      </c>
      <c r="AE26" s="53" t="n">
        <f aca="false">AE18+AE22+AE24</f>
        <v>10000</v>
      </c>
      <c r="AF26" s="53" t="n">
        <f aca="false">AF18+AF22+AF24</f>
        <v>10000</v>
      </c>
      <c r="AG26" s="53" t="n">
        <f aca="false">AG18+AG22+AG24</f>
        <v>10000</v>
      </c>
      <c r="AH26" s="53" t="n">
        <f aca="false">AH18+AH22+AH24</f>
        <v>10000</v>
      </c>
      <c r="AI26" s="53" t="n">
        <f aca="false">AI18+AI22+AI24</f>
        <v>10000</v>
      </c>
      <c r="AJ26" s="53" t="n">
        <f aca="false">AJ18+AJ22+AJ24</f>
        <v>10080.7852667649</v>
      </c>
      <c r="AK26" s="53" t="n">
        <f aca="false">AK18+AK22+AK24</f>
        <v>10409.9166301373</v>
      </c>
      <c r="AL26" s="53" t="n">
        <f aca="false">AL18+AL22+AL24</f>
        <v>10774.1150275972</v>
      </c>
      <c r="AM26" s="53" t="n">
        <f aca="false">SUM(C26:AL26)</f>
        <v>349264.816924499</v>
      </c>
    </row>
    <row r="27" customFormat="false" ht="15" hidden="false" customHeight="false" outlineLevel="0" collapsed="false">
      <c r="A27" s="10" t="s">
        <v>743</v>
      </c>
      <c r="B27" s="9" t="s">
        <v>82</v>
      </c>
      <c r="C27" s="61" t="n">
        <f aca="false">C19+C23+C25</f>
        <v>2176.50711202601</v>
      </c>
      <c r="D27" s="61" t="n">
        <f aca="false">D19+D23+D25</f>
        <v>2176.50711202601</v>
      </c>
      <c r="E27" s="61" t="n">
        <f aca="false">E19+E23+E25</f>
        <v>6513.41022992368</v>
      </c>
      <c r="F27" s="61" t="n">
        <f aca="false">F19+F23+F25</f>
        <v>6104.8065077905</v>
      </c>
      <c r="G27" s="61" t="n">
        <f aca="false">G19+G23+G25</f>
        <v>5724.0642076258</v>
      </c>
      <c r="H27" s="61" t="n">
        <f aca="false">H19+H23+H25</f>
        <v>5520.29928138896</v>
      </c>
      <c r="I27" s="61" t="n">
        <f aca="false">I19+I23+I25</f>
        <v>5370.64691169208</v>
      </c>
      <c r="J27" s="61" t="n">
        <f aca="false">J19+J23+J25</f>
        <v>5261.43756822136</v>
      </c>
      <c r="K27" s="61" t="n">
        <f aca="false">K19+K23+K25</f>
        <v>5183.14211500702</v>
      </c>
      <c r="L27" s="61" t="n">
        <f aca="false">L19+L23+L25</f>
        <v>5128.03724663882</v>
      </c>
      <c r="M27" s="61" t="n">
        <f aca="false">M19+M23+M25</f>
        <v>5090.14161488631</v>
      </c>
      <c r="N27" s="61" t="n">
        <f aca="false">N19+N23+N25</f>
        <v>5064.95377625528</v>
      </c>
      <c r="O27" s="61" t="n">
        <f aca="false">O19+O23+O25</f>
        <v>5049.14262732408</v>
      </c>
      <c r="P27" s="61" t="n">
        <f aca="false">P19+P23+P25</f>
        <v>5040.26971869089</v>
      </c>
      <c r="Q27" s="61" t="n">
        <f aca="false">Q19+Q23+Q25</f>
        <v>5036.56384514973</v>
      </c>
      <c r="R27" s="61" t="n">
        <f aca="false">R19+R23+R25</f>
        <v>5036.74655520906</v>
      </c>
      <c r="S27" s="61" t="n">
        <f aca="false">S19+S23+S25</f>
        <v>5039.90055922102</v>
      </c>
      <c r="T27" s="61" t="n">
        <f aca="false">T19+T23+T25</f>
        <v>5045.37203465169</v>
      </c>
      <c r="U27" s="61" t="n">
        <f aca="false">U19+U23+U25</f>
        <v>5052.69881839218</v>
      </c>
      <c r="V27" s="61" t="n">
        <f aca="false">V19+V23+V25</f>
        <v>5061.55797603165</v>
      </c>
      <c r="W27" s="61" t="n">
        <f aca="false">W19+W23+W25</f>
        <v>5071.72769346252</v>
      </c>
      <c r="X27" s="61" t="n">
        <f aca="false">X19+X23+X25</f>
        <v>5083.05966742505</v>
      </c>
      <c r="Y27" s="61" t="n">
        <f aca="false">Y19+Y23+Y25</f>
        <v>5095.45914903729</v>
      </c>
      <c r="Z27" s="61" t="n">
        <f aca="false">Z19+Z23+Z25</f>
        <v>5108.87054373228</v>
      </c>
      <c r="AA27" s="61" t="n">
        <f aca="false">AA19+AA23+AA25</f>
        <v>5123.26703360888</v>
      </c>
      <c r="AB27" s="61" t="n">
        <f aca="false">AB19+AB23+AB25</f>
        <v>5138.6431049129</v>
      </c>
      <c r="AC27" s="61" t="n">
        <f aca="false">AC19+AC23+AC25</f>
        <v>5155.00916925567</v>
      </c>
      <c r="AD27" s="61" t="n">
        <f aca="false">AD19+AD23+AD25</f>
        <v>5172.38769030596</v>
      </c>
      <c r="AE27" s="61" t="n">
        <f aca="false">AE19+AE23+AE25</f>
        <v>5190.81038968936</v>
      </c>
      <c r="AF27" s="61" t="n">
        <f aca="false">AF19+AF23+AF25</f>
        <v>5210.31622299418</v>
      </c>
      <c r="AG27" s="61" t="n">
        <f aca="false">AG19+AG23+AG25</f>
        <v>5230.94990121241</v>
      </c>
      <c r="AH27" s="61" t="n">
        <f aca="false">AH19+AH23+AH25</f>
        <v>5252.76079352509</v>
      </c>
      <c r="AI27" s="61" t="n">
        <f aca="false">AI19+AI23+AI25</f>
        <v>5275.80209054916</v>
      </c>
      <c r="AJ27" s="61" t="n">
        <f aca="false">AJ19+AJ23+AJ25</f>
        <v>5326.13660706286</v>
      </c>
      <c r="AK27" s="61" t="n">
        <f aca="false">AK19+AK23+AK25</f>
        <v>5458.20440484698</v>
      </c>
      <c r="AL27" s="61" t="n">
        <f aca="false">AL19+AL23+AL25</f>
        <v>5604.98835996827</v>
      </c>
      <c r="AM27" s="61" t="n">
        <f aca="false">SUM(C27:AL27)</f>
        <v>183174.598639741</v>
      </c>
    </row>
    <row r="28" customFormat="false" ht="15" hidden="false" customHeight="false" outlineLevel="0" collapsed="false">
      <c r="A28" s="10" t="s">
        <v>744</v>
      </c>
      <c r="B28" s="9" t="s">
        <v>95</v>
      </c>
      <c r="C28" s="63" t="n">
        <f aca="false">IFERROR(C26/C27,0)</f>
        <v>1.83780699722896</v>
      </c>
      <c r="D28" s="63" t="n">
        <f aca="false">IFERROR(D26/D27,0)</f>
        <v>1.83780699722896</v>
      </c>
      <c r="E28" s="63" t="n">
        <f aca="false">IFERROR(E26/E27,0)</f>
        <v>1.53529405441996</v>
      </c>
      <c r="F28" s="63" t="n">
        <f aca="false">IFERROR(F26/F27,0)</f>
        <v>1.63805355456209</v>
      </c>
      <c r="G28" s="63" t="n">
        <f aca="false">IFERROR(G26/G27,0)</f>
        <v>1.74701045223735</v>
      </c>
      <c r="H28" s="63" t="n">
        <f aca="false">IFERROR(H26/H27,0)</f>
        <v>1.81149598785592</v>
      </c>
      <c r="I28" s="63" t="n">
        <f aca="false">IFERROR(I26/I27,0)</f>
        <v>1.861973085259</v>
      </c>
      <c r="J28" s="63" t="n">
        <f aca="false">IFERROR(J26/J27,0)</f>
        <v>1.90062124093217</v>
      </c>
      <c r="K28" s="63" t="n">
        <f aca="false">IFERROR(K26/K27,0)</f>
        <v>1.92933162512494</v>
      </c>
      <c r="L28" s="63" t="n">
        <f aca="false">IFERROR(L26/L27,0)</f>
        <v>1.95006383905548</v>
      </c>
      <c r="M28" s="63" t="n">
        <f aca="false">IFERROR(M26/M27,0)</f>
        <v>1.96458188329272</v>
      </c>
      <c r="N28" s="63" t="n">
        <f aca="false">IFERROR(N26/N27,0)</f>
        <v>1.97435168053861</v>
      </c>
      <c r="O28" s="63" t="n">
        <f aca="false">IFERROR(O26/O27,0)</f>
        <v>1.98053426850803</v>
      </c>
      <c r="P28" s="63" t="n">
        <f aca="false">IFERROR(P26/P27,0)</f>
        <v>1.9840208080367</v>
      </c>
      <c r="Q28" s="63" t="n">
        <f aca="false">IFERROR(Q26/Q27,0)</f>
        <v>1.98548063867594</v>
      </c>
      <c r="R28" s="63" t="n">
        <f aca="false">IFERROR(R26/R27,0)</f>
        <v>1.98540861454661</v>
      </c>
      <c r="S28" s="63" t="n">
        <f aca="false">IFERROR(S26/S27,0)</f>
        <v>1.98416613234639</v>
      </c>
      <c r="T28" s="63" t="n">
        <f aca="false">IFERROR(T26/T27,0)</f>
        <v>1.98201439483944</v>
      </c>
      <c r="U28" s="63" t="n">
        <f aca="false">IFERROR(U26/U27,0)</f>
        <v>1.97914032864957</v>
      </c>
      <c r="V28" s="63" t="n">
        <f aca="false">IFERROR(V26/V27,0)</f>
        <v>1.97567627346238</v>
      </c>
      <c r="W28" s="63" t="n">
        <f aca="false">IFERROR(W26/W27,0)</f>
        <v>1.9717146906152</v>
      </c>
      <c r="X28" s="63" t="n">
        <f aca="false">IFERROR(X26/X27,0)</f>
        <v>1.96731902717675</v>
      </c>
      <c r="Y28" s="63" t="n">
        <f aca="false">IFERROR(Y26/Y27,0)</f>
        <v>1.96253167918918</v>
      </c>
      <c r="Z28" s="63" t="n">
        <f aca="false">IFERROR(Z26/Z27,0)</f>
        <v>1.95737979938997</v>
      </c>
      <c r="AA28" s="63" t="n">
        <f aca="false">IFERROR(AA26/AA27,0)</f>
        <v>1.9518795203138</v>
      </c>
      <c r="AB28" s="63" t="n">
        <f aca="false">IFERROR(AB26/AB27,0)</f>
        <v>1.94603902155402</v>
      </c>
      <c r="AC28" s="63" t="n">
        <f aca="false">IFERROR(AC26/AC27,0)</f>
        <v>1.93986075905349</v>
      </c>
      <c r="AD28" s="63" t="n">
        <f aca="false">IFERROR(AD26/AD27,0)</f>
        <v>1.93334309002821</v>
      </c>
      <c r="AE28" s="63" t="n">
        <f aca="false">IFERROR(AE26/AE27,0)</f>
        <v>1.9264814642167</v>
      </c>
      <c r="AF28" s="63" t="n">
        <f aca="false">IFERROR(AF26/AF27,0)</f>
        <v>1.91926930574155</v>
      </c>
      <c r="AG28" s="63" t="n">
        <f aca="false">IFERROR(AG26/AG27,0)</f>
        <v>1.91169867592925</v>
      </c>
      <c r="AH28" s="63" t="n">
        <f aca="false">IFERROR(AH26/AH27,0)</f>
        <v>1.90376078277288</v>
      </c>
      <c r="AI28" s="63" t="n">
        <f aca="false">IFERROR(AI26/AI27,0)</f>
        <v>1.89544638490393</v>
      </c>
      <c r="AJ28" s="63" t="n">
        <f aca="false">IFERROR(AJ26/AJ27,0)</f>
        <v>1.89270122238267</v>
      </c>
      <c r="AK28" s="63" t="n">
        <f aca="false">IFERROR(AK26/AK27,0)</f>
        <v>1.90720534776842</v>
      </c>
      <c r="AL28" s="63" t="n">
        <f aca="false">IFERROR(AL26/AL27,0)</f>
        <v>1.92223682470915</v>
      </c>
      <c r="AM28" s="63" t="n">
        <f aca="false">AVERAGE(N28:AL28)</f>
        <v>1.94958642941395</v>
      </c>
    </row>
    <row r="29" customFormat="false" ht="15" hidden="false" customHeight="false" outlineLevel="0" collapsed="false">
      <c r="A29" s="38" t="s">
        <v>745</v>
      </c>
      <c r="B29" s="9" t="s">
        <v>82</v>
      </c>
      <c r="C29" s="71" t="n">
        <f aca="false">C13+C15+C27</f>
        <v>3376.50711202601</v>
      </c>
      <c r="D29" s="71" t="n">
        <f aca="false">D13+D15+D27</f>
        <v>3448.50711202601</v>
      </c>
      <c r="E29" s="71" t="n">
        <f aca="false">E13+E15+E27</f>
        <v>20136.9302299237</v>
      </c>
      <c r="F29" s="71" t="n">
        <f aca="false">F13+F15+F27</f>
        <v>13659.3505077905</v>
      </c>
      <c r="G29" s="71" t="n">
        <f aca="false">G13+G15+G27</f>
        <v>12250.7552156258</v>
      </c>
      <c r="H29" s="71" t="n">
        <f aca="false">H13+H15+H27</f>
        <v>11336.092206829</v>
      </c>
      <c r="I29" s="71" t="n">
        <f aca="false">I13+I15+I27</f>
        <v>10705.4986536697</v>
      </c>
      <c r="J29" s="71" t="n">
        <f aca="false">J13+J15+J27</f>
        <v>10282.7714202457</v>
      </c>
      <c r="K29" s="71" t="n">
        <f aca="false">K13+K15+K27</f>
        <v>10013.468434133</v>
      </c>
      <c r="L29" s="71" t="n">
        <f aca="false">L13+L15+L27</f>
        <v>9857.64701081811</v>
      </c>
      <c r="M29" s="71" t="n">
        <f aca="false">M13+M15+M27</f>
        <v>9786.2528603685</v>
      </c>
      <c r="N29" s="71" t="n">
        <f aca="false">N13+N15+N27</f>
        <v>9778.30453319194</v>
      </c>
      <c r="O29" s="71" t="n">
        <f aca="false">O13+O15+O27</f>
        <v>9818.74578411933</v>
      </c>
      <c r="P29" s="71" t="n">
        <f aca="false">P13+P15+P27</f>
        <v>9896.84495209238</v>
      </c>
      <c r="Q29" s="71" t="n">
        <f aca="false">Q13+Q15+Q27</f>
        <v>10005.0175433382</v>
      </c>
      <c r="R29" s="71" t="n">
        <f aca="false">R13+R15+R27</f>
        <v>10137.9668318526</v>
      </c>
      <c r="S29" s="71" t="n">
        <f aca="false">S13+S15+S27</f>
        <v>10292.059701189</v>
      </c>
      <c r="T29" s="71" t="n">
        <f aca="false">T13+T15+T27</f>
        <v>10464.8749042204</v>
      </c>
      <c r="U29" s="71" t="n">
        <f aca="false">U13+U15+U27</f>
        <v>10654.8769810745</v>
      </c>
      <c r="V29" s="71" t="n">
        <f aca="false">V13+V15+V27</f>
        <v>10861.1814275514</v>
      </c>
      <c r="W29" s="71" t="n">
        <f aca="false">W13+W15+W27</f>
        <v>11083.3859754085</v>
      </c>
      <c r="X29" s="71" t="n">
        <f aca="false">X13+X15+X27</f>
        <v>11321.449703089</v>
      </c>
      <c r="Y29" s="71" t="n">
        <f aca="false">Y13+Y15+Y27</f>
        <v>11575.6067237379</v>
      </c>
      <c r="Z29" s="71" t="n">
        <f aca="false">Z13+Z15+Z27</f>
        <v>11846.3048634807</v>
      </c>
      <c r="AA29" s="71" t="n">
        <f aca="false">AA13+AA15+AA27</f>
        <v>12134.1624057496</v>
      </c>
      <c r="AB29" s="71" t="n">
        <f aca="false">AB13+AB15+AB27</f>
        <v>12439.9379064913</v>
      </c>
      <c r="AC29" s="71" t="n">
        <f aca="false">AC13+AC15+AC27</f>
        <v>12764.5094800475</v>
      </c>
      <c r="AD29" s="71" t="n">
        <f aca="false">AD13+AD15+AD27</f>
        <v>13108.8609629507</v>
      </c>
      <c r="AE29" s="71" t="n">
        <f aca="false">AE13+AE15+AE27</f>
        <v>13474.0730898007</v>
      </c>
      <c r="AF29" s="71" t="n">
        <f aca="false">AF13+AF15+AF27</f>
        <v>13861.3183395099</v>
      </c>
      <c r="AG29" s="71" t="n">
        <f aca="false">AG13+AG15+AG27</f>
        <v>14271.8584878855</v>
      </c>
      <c r="AH29" s="71" t="n">
        <f aca="false">AH13+AH15+AH27</f>
        <v>14707.0441744783</v>
      </c>
      <c r="AI29" s="71" t="n">
        <f aca="false">AI13+AI15+AI27</f>
        <v>15168.315987297</v>
      </c>
      <c r="AJ29" s="71" t="n">
        <f aca="false">AJ13+AJ15+AJ27</f>
        <v>15683.2131789305</v>
      </c>
      <c r="AK29" s="71" t="n">
        <f aca="false">AK13+AK15+AK27</f>
        <v>16307.7450087735</v>
      </c>
      <c r="AL29" s="71" t="n">
        <f aca="false">AL13+AL15+AL27</f>
        <v>16976.560707308</v>
      </c>
      <c r="AM29" s="71" t="n">
        <f aca="false">SUM(C29:AL29)</f>
        <v>423488.000417024</v>
      </c>
    </row>
    <row r="30" customFormat="false" ht="15" hidden="false" customHeight="false" outlineLevel="0" collapsed="false">
      <c r="A30" s="10" t="s">
        <v>746</v>
      </c>
      <c r="B30" s="9" t="s">
        <v>49</v>
      </c>
      <c r="C30" s="61" t="n">
        <f aca="false">C8*Assumptions!$D$47*Assumptions!$D$48^C10</f>
        <v>0</v>
      </c>
      <c r="D30" s="61" t="n">
        <f aca="false">D8*Assumptions!$D$47*Assumptions!$D$48^D10</f>
        <v>0</v>
      </c>
      <c r="E30" s="61" t="n">
        <f aca="false">E8*Assumptions!$D$47*Assumptions!$D$48^E10</f>
        <v>600</v>
      </c>
      <c r="F30" s="61" t="n">
        <f aca="false">F8*Assumptions!$D$47*Assumptions!$D$48^F10</f>
        <v>750</v>
      </c>
      <c r="G30" s="61" t="n">
        <f aca="false">G8*Assumptions!$D$47*Assumptions!$D$48^G10</f>
        <v>937.5</v>
      </c>
      <c r="H30" s="61" t="n">
        <f aca="false">H8*Assumptions!$D$47*Assumptions!$D$48^H10</f>
        <v>1171.875</v>
      </c>
      <c r="I30" s="61" t="n">
        <f aca="false">I8*Assumptions!$D$47*Assumptions!$D$48^I10</f>
        <v>1464.84375</v>
      </c>
      <c r="J30" s="61" t="n">
        <f aca="false">J8*Assumptions!$D$47*Assumptions!$D$48^J10</f>
        <v>1831.0546875</v>
      </c>
      <c r="K30" s="61" t="n">
        <f aca="false">K8*Assumptions!$D$47*Assumptions!$D$48^K10</f>
        <v>2288.818359375</v>
      </c>
      <c r="L30" s="61" t="n">
        <f aca="false">L8*Assumptions!$D$47*Assumptions!$D$48^L10</f>
        <v>2861.02294921875</v>
      </c>
      <c r="M30" s="61" t="n">
        <f aca="false">M8*Assumptions!$D$47*Assumptions!$D$48^M10</f>
        <v>3576.27868652344</v>
      </c>
      <c r="N30" s="61" t="n">
        <f aca="false">N8*Assumptions!$D$47*Assumptions!$D$48^N10</f>
        <v>4470.3483581543</v>
      </c>
      <c r="O30" s="61" t="n">
        <f aca="false">O8*Assumptions!$D$47*Assumptions!$D$48^O10</f>
        <v>5587.93544769287</v>
      </c>
      <c r="P30" s="61" t="n">
        <f aca="false">P8*Assumptions!$D$47*Assumptions!$D$48^P10</f>
        <v>6984.91930961609</v>
      </c>
      <c r="Q30" s="61" t="n">
        <f aca="false">Q8*Assumptions!$D$47*Assumptions!$D$48^Q10</f>
        <v>8731.14913702011</v>
      </c>
      <c r="R30" s="61" t="n">
        <f aca="false">R8*Assumptions!$D$47*Assumptions!$D$48^R10</f>
        <v>10913.9364212751</v>
      </c>
      <c r="S30" s="61" t="n">
        <f aca="false">S8*Assumptions!$D$47*Assumptions!$D$48^S10</f>
        <v>13642.4205265939</v>
      </c>
      <c r="T30" s="61" t="n">
        <f aca="false">T8*Assumptions!$D$47*Assumptions!$D$48^T10</f>
        <v>17053.0256582424</v>
      </c>
      <c r="U30" s="61" t="n">
        <f aca="false">U8*Assumptions!$D$47*Assumptions!$D$48^U10</f>
        <v>21316.282072803</v>
      </c>
      <c r="V30" s="61" t="n">
        <f aca="false">V8*Assumptions!$D$47*Assumptions!$D$48^V10</f>
        <v>26645.3525910038</v>
      </c>
      <c r="W30" s="61" t="n">
        <f aca="false">W8*Assumptions!$D$47*Assumptions!$D$48^W10</f>
        <v>33306.6907387547</v>
      </c>
      <c r="X30" s="61" t="n">
        <f aca="false">X8*Assumptions!$D$47*Assumptions!$D$48^X10</f>
        <v>41633.3634234434</v>
      </c>
      <c r="Y30" s="61" t="n">
        <f aca="false">Y8*Assumptions!$D$47*Assumptions!$D$48^Y10</f>
        <v>52041.7042793042</v>
      </c>
      <c r="Z30" s="61" t="n">
        <f aca="false">Z8*Assumptions!$D$47*Assumptions!$D$48^Z10</f>
        <v>65052.1303491303</v>
      </c>
      <c r="AA30" s="61" t="n">
        <f aca="false">AA8*Assumptions!$D$47*Assumptions!$D$48^AA10</f>
        <v>81315.1629364128</v>
      </c>
      <c r="AB30" s="61" t="n">
        <f aca="false">AB8*Assumptions!$D$47*Assumptions!$D$48^AB10</f>
        <v>101643.953670516</v>
      </c>
      <c r="AC30" s="61" t="n">
        <f aca="false">AC8*Assumptions!$D$47*Assumptions!$D$48^AC10</f>
        <v>127054.942088145</v>
      </c>
      <c r="AD30" s="61" t="n">
        <f aca="false">AD8*Assumptions!$D$47*Assumptions!$D$48^AD10</f>
        <v>158818.677610181</v>
      </c>
      <c r="AE30" s="61" t="n">
        <f aca="false">AE8*Assumptions!$D$47*Assumptions!$D$48^AE10</f>
        <v>198523.347012727</v>
      </c>
      <c r="AF30" s="61" t="n">
        <f aca="false">AF8*Assumptions!$D$47*Assumptions!$D$48^AF10</f>
        <v>248154.183765908</v>
      </c>
      <c r="AG30" s="61" t="n">
        <f aca="false">AG8*Assumptions!$D$47*Assumptions!$D$48^AG10</f>
        <v>310192.729707385</v>
      </c>
      <c r="AH30" s="61" t="n">
        <f aca="false">AH8*Assumptions!$D$47*Assumptions!$D$48^AH10</f>
        <v>387740.912134232</v>
      </c>
      <c r="AI30" s="61" t="n">
        <f aca="false">AI8*Assumptions!$D$47*Assumptions!$D$48^AI10</f>
        <v>484676.14016779</v>
      </c>
      <c r="AJ30" s="61" t="n">
        <f aca="false">AJ8*Assumptions!$D$47*Assumptions!$D$48^AJ10</f>
        <v>605845.175209737</v>
      </c>
      <c r="AK30" s="61" t="n">
        <f aca="false">AK8*Assumptions!$D$47*Assumptions!$D$48^AK10</f>
        <v>757306.469012171</v>
      </c>
      <c r="AL30" s="61" t="n">
        <f aca="false">AL8*Assumptions!$D$47*Assumptions!$D$48^AL10</f>
        <v>946633.086265214</v>
      </c>
      <c r="AM30" s="61" t="n">
        <f aca="false">AL30</f>
        <v>946633.086265214</v>
      </c>
    </row>
    <row r="31" customFormat="false" ht="15" hidden="false" customHeight="false" outlineLevel="0" collapsed="false">
      <c r="A31" s="10" t="s">
        <v>747</v>
      </c>
      <c r="B31" s="9" t="s">
        <v>49</v>
      </c>
      <c r="C31" s="61" t="n">
        <f aca="false">Assumptions!$D$49*C8*(C15+C13*Assumptions!$D$44+C19*Assumptions!$D$31*Assumptions!$D$32+C23*Assumptions!$D$38*Assumptions!$D$39+C25*Assumptions!$D$43)</f>
        <v>0</v>
      </c>
      <c r="D31" s="61" t="n">
        <f aca="false">Assumptions!$D$49*D8*(D15+D13*Assumptions!$D$44+D19*Assumptions!$D$31*Assumptions!$D$32+D23*Assumptions!$D$38*Assumptions!$D$39+D25*Assumptions!$D$43)</f>
        <v>0</v>
      </c>
      <c r="E31" s="61" t="n">
        <f aca="false">Assumptions!$D$49*E8*(E15+E13*Assumptions!$D$44+E19*Assumptions!$D$31*Assumptions!$D$32+E23*Assumptions!$D$38*Assumptions!$D$39+E25*Assumptions!$D$43)</f>
        <v>200.189613782513</v>
      </c>
      <c r="F31" s="61" t="n">
        <f aca="false">Assumptions!$D$49*F8*(F15+F13*Assumptions!$D$44+F19*Assumptions!$D$31*Assumptions!$D$32+F23*Assumptions!$D$38*Assumptions!$D$39+F25*Assumptions!$D$43)</f>
        <v>124.295546532746</v>
      </c>
      <c r="G31" s="61" t="n">
        <f aca="false">Assumptions!$D$49*G8*(G15+G13*Assumptions!$D$44+G19*Assumptions!$D$31*Assumptions!$D$32+G23*Assumptions!$D$38*Assumptions!$D$39+G25*Assumptions!$D$43)</f>
        <v>112.582996802222</v>
      </c>
      <c r="H31" s="61" t="n">
        <f aca="false">Assumptions!$D$49*H8*(H15+H13*Assumptions!$D$44+H19*Assumptions!$D$31*Assumptions!$D$32+H23*Assumptions!$D$38*Assumptions!$D$39+H25*Assumptions!$D$43)</f>
        <v>103.620180054981</v>
      </c>
      <c r="I31" s="61" t="n">
        <f aca="false">Assumptions!$D$49*I8*(I15+I13*Assumptions!$D$44+I19*Assumptions!$D$31*Assumptions!$D$32+I23*Assumptions!$D$38*Assumptions!$D$39+I25*Assumptions!$D$43)</f>
        <v>97.3733345254717</v>
      </c>
      <c r="J31" s="61" t="n">
        <f aca="false">Assumptions!$D$49*J8*(J15+J13*Assumptions!$D$44+J19*Assumptions!$D$31*Assumptions!$D$32+J23*Assumptions!$D$38*Assumptions!$D$39+J25*Assumptions!$D$43)</f>
        <v>93.1432106465385</v>
      </c>
      <c r="K31" s="61" t="n">
        <f aca="false">Assumptions!$D$49*K8*(K15+K13*Assumptions!$D$44+K19*Assumptions!$D$31*Assumptions!$D$32+K23*Assumptions!$D$38*Assumptions!$D$39+K25*Assumptions!$D$43)</f>
        <v>90.397399636243</v>
      </c>
      <c r="L31" s="61" t="n">
        <f aca="false">Assumptions!$D$49*L8*(L15+L13*Assumptions!$D$44+L19*Assumptions!$D$31*Assumptions!$D$32+L23*Assumptions!$D$38*Assumptions!$D$39+L25*Assumptions!$D$43)</f>
        <v>88.7456753881113</v>
      </c>
      <c r="M31" s="61" t="n">
        <f aca="false">Assumptions!$D$49*M8*(M15+M13*Assumptions!$D$44+M19*Assumptions!$D$31*Assumptions!$D$32+M23*Assumptions!$D$38*Assumptions!$D$39+M25*Assumptions!$D$43)</f>
        <v>87.9047335726936</v>
      </c>
      <c r="N31" s="61" t="n">
        <f aca="false">Assumptions!$D$49*N8*(N15+N13*Assumptions!$D$44+N19*Assumptions!$D$31*Assumptions!$D$32+N23*Assumptions!$D$38*Assumptions!$D$39+N25*Assumptions!$D$43)</f>
        <v>87.6701555586454</v>
      </c>
      <c r="O31" s="61" t="n">
        <f aca="false">Assumptions!$D$49*O8*(O15+O13*Assumptions!$D$44+O19*Assumptions!$D$31*Assumptions!$D$32+O23*Assumptions!$D$38*Assumptions!$D$39+O25*Assumptions!$D$43)</f>
        <v>87.8952327990301</v>
      </c>
      <c r="P31" s="61" t="n">
        <f aca="false">Assumptions!$D$49*P8*(P15+P13*Assumptions!$D$44+P19*Assumptions!$D$31*Assumptions!$D$32+P23*Assumptions!$D$38*Assumptions!$D$39+P25*Assumptions!$D$43)</f>
        <v>88.4752841393181</v>
      </c>
      <c r="Q31" s="61" t="n">
        <f aca="false">Assumptions!$D$49*Q8*(Q15+Q13*Assumptions!$D$44+Q19*Assumptions!$D$31*Assumptions!$D$32+Q23*Assumptions!$D$38*Assumptions!$D$39+Q25*Assumptions!$D$43)</f>
        <v>89.3361632791973</v>
      </c>
      <c r="R31" s="61" t="n">
        <f aca="false">Assumptions!$D$49*R8*(R15+R13*Assumptions!$D$44+R19*Assumptions!$D$31*Assumptions!$D$32+R23*Assumptions!$D$38*Assumptions!$D$39+R25*Assumptions!$D$43)</f>
        <v>90.425890101906</v>
      </c>
      <c r="S31" s="61" t="n">
        <f aca="false">Assumptions!$D$49*S8*(S15+S13*Assumptions!$D$44+S19*Assumptions!$D$31*Assumptions!$D$32+S23*Assumptions!$D$38*Assumptions!$D$39+S25*Assumptions!$D$43)</f>
        <v>91.708581783807</v>
      </c>
      <c r="T31" s="61" t="n">
        <f aca="false">Assumptions!$D$49*T8*(T15+T13*Assumptions!$D$44+T19*Assumptions!$D$31*Assumptions!$D$32+T23*Assumptions!$D$38*Assumptions!$D$39+T25*Assumptions!$D$43)</f>
        <v>93.1600643998839</v>
      </c>
      <c r="U31" s="61" t="n">
        <f aca="false">Assumptions!$D$49*U8*(U15+U13*Assumptions!$D$44+U19*Assumptions!$D$31*Assumptions!$D$32+U23*Assumptions!$D$38*Assumptions!$D$39+U25*Assumptions!$D$43)</f>
        <v>94.7647068078103</v>
      </c>
      <c r="V31" s="61" t="n">
        <f aca="false">Assumptions!$D$49*V8*(V15+V13*Assumptions!$D$44+V19*Assumptions!$D$31*Assumptions!$D$32+V23*Assumptions!$D$38*Assumptions!$D$39+V25*Assumptions!$D$43)</f>
        <v>96.5131408961351</v>
      </c>
      <c r="W31" s="61" t="n">
        <f aca="false">Assumptions!$D$49*W8*(W15+W13*Assumptions!$D$44+W19*Assumptions!$D$31*Assumptions!$D$32+W23*Assumptions!$D$38*Assumptions!$D$39+W25*Assumptions!$D$43)</f>
        <v>98.4006233763296</v>
      </c>
      <c r="X31" s="61" t="n">
        <f aca="false">Assumptions!$D$49*X8*(X15+X13*Assumptions!$D$44+X19*Assumptions!$D$31*Assumptions!$D$32+X23*Assumptions!$D$38*Assumptions!$D$39+X25*Assumptions!$D$43)</f>
        <v>100.425861373047</v>
      </c>
      <c r="Y31" s="61" t="n">
        <f aca="false">Assumptions!$D$49*Y8*(Y15+Y13*Assumptions!$D$44+Y19*Assumptions!$D$31*Assumptions!$D$32+Y23*Assumptions!$D$38*Assumptions!$D$39+Y25*Assumptions!$D$43)</f>
        <v>102.590173100263</v>
      </c>
      <c r="Z31" s="61" t="n">
        <f aca="false">Assumptions!$D$49*Z8*(Z15+Z13*Assumptions!$D$44+Z19*Assumptions!$D$31*Assumptions!$D$32+Z23*Assumptions!$D$38*Assumptions!$D$39+Z25*Assumptions!$D$43)</f>
        <v>104.89689058707</v>
      </c>
      <c r="AA31" s="61" t="n">
        <f aca="false">Assumptions!$D$49*AA8*(AA15+AA13*Assumptions!$D$44+AA19*Assumptions!$D$31*Assumptions!$D$32+AA23*Assumptions!$D$38*Assumptions!$D$39+AA25*Assumptions!$D$43)</f>
        <v>107.350937292459</v>
      </c>
      <c r="AB31" s="61" t="n">
        <f aca="false">Assumptions!$D$49*AB8*(AB15+AB13*Assumptions!$D$44+AB19*Assumptions!$D$31*Assumptions!$D$32+AB23*Assumptions!$D$38*Assumptions!$D$39+AB25*Assumptions!$D$43)</f>
        <v>109.958532175049</v>
      </c>
      <c r="AC31" s="61" t="n">
        <f aca="false">Assumptions!$D$49*AC8*(AC15+AC13*Assumptions!$D$44+AC19*Assumptions!$D$31*Assumptions!$D$32+AC23*Assumptions!$D$38*Assumptions!$D$39+AC25*Assumptions!$D$43)</f>
        <v>112.726985316163</v>
      </c>
      <c r="AD31" s="61" t="n">
        <f aca="false">Assumptions!$D$49*AD8*(AD15+AD13*Assumptions!$D$44+AD19*Assumptions!$D$31*Assumptions!$D$32+AD23*Assumptions!$D$38*Assumptions!$D$39+AD25*Assumptions!$D$43)</f>
        <v>115.664559963022</v>
      </c>
      <c r="AE31" s="61" t="n">
        <f aca="false">Assumptions!$D$49*AE8*(AE15+AE13*Assumptions!$D$44+AE19*Assumptions!$D$31*Assumptions!$D$32+AE23*Assumptions!$D$38*Assumptions!$D$39+AE25*Assumptions!$D$43)</f>
        <v>118.780382904748</v>
      </c>
      <c r="AF31" s="61" t="n">
        <f aca="false">Assumptions!$D$49*AF8*(AF15+AF13*Assumptions!$D$44+AF19*Assumptions!$D$31*Assumptions!$D$32+AF23*Assumptions!$D$38*Assumptions!$D$39+AF25*Assumptions!$D$43)</f>
        <v>122.084390172905</v>
      </c>
      <c r="AG31" s="61" t="n">
        <f aca="false">Assumptions!$D$49*AG8*(AG15+AG13*Assumptions!$D$44+AG19*Assumptions!$D$31*Assumptions!$D$32+AG23*Assumptions!$D$38*Assumptions!$D$39+AG25*Assumptions!$D$43)</f>
        <v>125.58729871761</v>
      </c>
      <c r="AH31" s="61" t="n">
        <f aca="false">Assumptions!$D$49*AH8*(AH15+AH13*Assumptions!$D$44+AH19*Assumptions!$D$31*Assumptions!$D$32+AH23*Assumptions!$D$38*Assumptions!$D$39+AH25*Assumptions!$D$43)</f>
        <v>129.300597345183</v>
      </c>
      <c r="AI31" s="61" t="n">
        <f aca="false">Assumptions!$D$49*AI8*(AI15+AI13*Assumptions!$D$44+AI19*Assumptions!$D$31*Assumptions!$D$32+AI23*Assumptions!$D$38*Assumptions!$D$39+AI25*Assumptions!$D$43)</f>
        <v>133.236552099021</v>
      </c>
      <c r="AJ31" s="61" t="n">
        <f aca="false">Assumptions!$D$49*AJ8*(AJ15+AJ13*Assumptions!$D$44+AJ19*Assumptions!$D$31*Assumptions!$D$32+AJ23*Assumptions!$D$38*Assumptions!$D$39+AJ25*Assumptions!$D$43)</f>
        <v>137.64228085204</v>
      </c>
      <c r="AK31" s="61" t="n">
        <f aca="false">Assumptions!$D$49*AK8*(AK15+AK13*Assumptions!$D$44+AK19*Assumptions!$D$31*Assumptions!$D$32+AK23*Assumptions!$D$38*Assumptions!$D$39+AK25*Assumptions!$D$43)</f>
        <v>143.00971664964</v>
      </c>
      <c r="AL31" s="61" t="n">
        <f aca="false">Assumptions!$D$49*AL8*(AL15+AL13*Assumptions!$D$44+AL19*Assumptions!$D$31*Assumptions!$D$32+AL23*Assumptions!$D$38*Assumptions!$D$39+AL25*Assumptions!$D$43)</f>
        <v>148.726098247558</v>
      </c>
      <c r="AM31" s="61" t="n">
        <f aca="false">SUM(C31:AL31)</f>
        <v>3728.58379087936</v>
      </c>
    </row>
    <row r="32" customFormat="false" ht="15" hidden="false" customHeight="false" outlineLevel="0" collapsed="false">
      <c r="A32" s="38" t="s">
        <v>748</v>
      </c>
      <c r="B32" s="9" t="s">
        <v>49</v>
      </c>
      <c r="C32" s="71" t="n">
        <f aca="false">MIN(C31,C30)</f>
        <v>0</v>
      </c>
      <c r="D32" s="71" t="n">
        <f aca="false">MIN(D31,D30)</f>
        <v>0</v>
      </c>
      <c r="E32" s="71" t="n">
        <f aca="false">MIN(E31,E30)</f>
        <v>200.189613782513</v>
      </c>
      <c r="F32" s="71" t="n">
        <f aca="false">MIN(F31,F30)</f>
        <v>124.295546532746</v>
      </c>
      <c r="G32" s="71" t="n">
        <f aca="false">MIN(G31,G30)</f>
        <v>112.582996802222</v>
      </c>
      <c r="H32" s="71" t="n">
        <f aca="false">MIN(H31,H30)</f>
        <v>103.620180054981</v>
      </c>
      <c r="I32" s="71" t="n">
        <f aca="false">MIN(I31,I30)</f>
        <v>97.3733345254717</v>
      </c>
      <c r="J32" s="71" t="n">
        <f aca="false">MIN(J31,J30)</f>
        <v>93.1432106465385</v>
      </c>
      <c r="K32" s="71" t="n">
        <f aca="false">MIN(K31,K30)</f>
        <v>90.397399636243</v>
      </c>
      <c r="L32" s="71" t="n">
        <f aca="false">MIN(L31,L30)</f>
        <v>88.7456753881113</v>
      </c>
      <c r="M32" s="71" t="n">
        <f aca="false">MIN(M31,M30)</f>
        <v>87.9047335726936</v>
      </c>
      <c r="N32" s="71" t="n">
        <f aca="false">MIN(N31,N30)</f>
        <v>87.6701555586454</v>
      </c>
      <c r="O32" s="71" t="n">
        <f aca="false">MIN(O31,O30)</f>
        <v>87.8952327990301</v>
      </c>
      <c r="P32" s="71" t="n">
        <f aca="false">MIN(P31,P30)</f>
        <v>88.4752841393181</v>
      </c>
      <c r="Q32" s="71" t="n">
        <f aca="false">MIN(Q31,Q30)</f>
        <v>89.3361632791973</v>
      </c>
      <c r="R32" s="71" t="n">
        <f aca="false">MIN(R31,R30)</f>
        <v>90.425890101906</v>
      </c>
      <c r="S32" s="71" t="n">
        <f aca="false">MIN(S31,S30)</f>
        <v>91.708581783807</v>
      </c>
      <c r="T32" s="71" t="n">
        <f aca="false">MIN(T31,T30)</f>
        <v>93.1600643998839</v>
      </c>
      <c r="U32" s="71" t="n">
        <f aca="false">MIN(U31,U30)</f>
        <v>94.7647068078103</v>
      </c>
      <c r="V32" s="71" t="n">
        <f aca="false">MIN(V31,V30)</f>
        <v>96.5131408961351</v>
      </c>
      <c r="W32" s="71" t="n">
        <f aca="false">MIN(W31,W30)</f>
        <v>98.4006233763296</v>
      </c>
      <c r="X32" s="71" t="n">
        <f aca="false">MIN(X31,X30)</f>
        <v>100.425861373047</v>
      </c>
      <c r="Y32" s="71" t="n">
        <f aca="false">MIN(Y31,Y30)</f>
        <v>102.590173100263</v>
      </c>
      <c r="Z32" s="71" t="n">
        <f aca="false">MIN(Z31,Z30)</f>
        <v>104.89689058707</v>
      </c>
      <c r="AA32" s="71" t="n">
        <f aca="false">MIN(AA31,AA30)</f>
        <v>107.350937292459</v>
      </c>
      <c r="AB32" s="71" t="n">
        <f aca="false">MIN(AB31,AB30)</f>
        <v>109.958532175049</v>
      </c>
      <c r="AC32" s="71" t="n">
        <f aca="false">MIN(AC31,AC30)</f>
        <v>112.726985316163</v>
      </c>
      <c r="AD32" s="71" t="n">
        <f aca="false">MIN(AD31,AD30)</f>
        <v>115.664559963022</v>
      </c>
      <c r="AE32" s="71" t="n">
        <f aca="false">MIN(AE31,AE30)</f>
        <v>118.780382904748</v>
      </c>
      <c r="AF32" s="71" t="n">
        <f aca="false">MIN(AF31,AF30)</f>
        <v>122.084390172905</v>
      </c>
      <c r="AG32" s="71" t="n">
        <f aca="false">MIN(AG31,AG30)</f>
        <v>125.58729871761</v>
      </c>
      <c r="AH32" s="71" t="n">
        <f aca="false">MIN(AH31,AH30)</f>
        <v>129.300597345183</v>
      </c>
      <c r="AI32" s="71" t="n">
        <f aca="false">MIN(AI31,AI30)</f>
        <v>133.236552099021</v>
      </c>
      <c r="AJ32" s="71" t="n">
        <f aca="false">MIN(AJ31,AJ30)</f>
        <v>137.64228085204</v>
      </c>
      <c r="AK32" s="71" t="n">
        <f aca="false">MIN(AK31,AK30)</f>
        <v>143.00971664964</v>
      </c>
      <c r="AL32" s="71" t="n">
        <f aca="false">MIN(AL31,AL30)</f>
        <v>148.726098247558</v>
      </c>
      <c r="AM32" s="71" t="n">
        <f aca="false">SUM(C32:AL32)</f>
        <v>3728.58379087936</v>
      </c>
    </row>
    <row r="33" customFormat="false" ht="15" hidden="false" customHeight="false" outlineLevel="0" collapsed="false">
      <c r="A33" s="10" t="s">
        <v>749</v>
      </c>
      <c r="B33" s="9" t="s">
        <v>49</v>
      </c>
      <c r="C33" s="61" t="n">
        <f aca="false">MAX(0,C31-C30)</f>
        <v>0</v>
      </c>
      <c r="D33" s="61" t="n">
        <f aca="false">MAX(0,D31-D30)</f>
        <v>0</v>
      </c>
      <c r="E33" s="61" t="n">
        <f aca="false">MAX(0,E31-E30)</f>
        <v>0</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0</v>
      </c>
    </row>
    <row r="34" customFormat="false" ht="15" hidden="false" customHeight="false" outlineLevel="0" collapsed="false">
      <c r="A34" s="10" t="s">
        <v>750</v>
      </c>
      <c r="B34" s="9" t="s">
        <v>49</v>
      </c>
      <c r="C34" s="61" t="n">
        <f aca="false">C32*Assumptions!$D$51</f>
        <v>0</v>
      </c>
      <c r="D34" s="61" t="n">
        <f aca="false">D32*Assumptions!$D$51</f>
        <v>0</v>
      </c>
      <c r="E34" s="61" t="n">
        <f aca="false">E32*Assumptions!$D$51</f>
        <v>60.0568841347539</v>
      </c>
      <c r="F34" s="61" t="n">
        <f aca="false">F32*Assumptions!$D$51</f>
        <v>37.2886639598238</v>
      </c>
      <c r="G34" s="61" t="n">
        <f aca="false">G32*Assumptions!$D$51</f>
        <v>33.7748990406667</v>
      </c>
      <c r="H34" s="61" t="n">
        <f aca="false">H32*Assumptions!$D$51</f>
        <v>31.0860540164944</v>
      </c>
      <c r="I34" s="61" t="n">
        <f aca="false">I32*Assumptions!$D$51</f>
        <v>29.2120003576415</v>
      </c>
      <c r="J34" s="61" t="n">
        <f aca="false">J32*Assumptions!$D$51</f>
        <v>27.9429631939615</v>
      </c>
      <c r="K34" s="61" t="n">
        <f aca="false">K32*Assumptions!$D$51</f>
        <v>27.1192198908729</v>
      </c>
      <c r="L34" s="61" t="n">
        <f aca="false">L32*Assumptions!$D$51</f>
        <v>26.6237026164334</v>
      </c>
      <c r="M34" s="61" t="n">
        <f aca="false">M32*Assumptions!$D$51</f>
        <v>26.3714200718081</v>
      </c>
      <c r="N34" s="61" t="n">
        <f aca="false">N32*Assumptions!$D$51</f>
        <v>26.3010466675936</v>
      </c>
      <c r="O34" s="61" t="n">
        <f aca="false">O32*Assumptions!$D$51</f>
        <v>26.368569839709</v>
      </c>
      <c r="P34" s="61" t="n">
        <f aca="false">P32*Assumptions!$D$51</f>
        <v>26.5425852417954</v>
      </c>
      <c r="Q34" s="61" t="n">
        <f aca="false">Q32*Assumptions!$D$51</f>
        <v>26.8008489837592</v>
      </c>
      <c r="R34" s="61" t="n">
        <f aca="false">R32*Assumptions!$D$51</f>
        <v>27.1277670305718</v>
      </c>
      <c r="S34" s="61" t="n">
        <f aca="false">S32*Assumptions!$D$51</f>
        <v>27.5125745351421</v>
      </c>
      <c r="T34" s="61" t="n">
        <f aca="false">T32*Assumptions!$D$51</f>
        <v>27.9480193199652</v>
      </c>
      <c r="U34" s="61" t="n">
        <f aca="false">U32*Assumptions!$D$51</f>
        <v>28.4294120423431</v>
      </c>
      <c r="V34" s="61" t="n">
        <f aca="false">V32*Assumptions!$D$51</f>
        <v>28.9539422688405</v>
      </c>
      <c r="W34" s="61" t="n">
        <f aca="false">W32*Assumptions!$D$51</f>
        <v>29.5201870128989</v>
      </c>
      <c r="X34" s="61" t="n">
        <f aca="false">X32*Assumptions!$D$51</f>
        <v>30.1277584119141</v>
      </c>
      <c r="Y34" s="61" t="n">
        <f aca="false">Y32*Assumptions!$D$51</f>
        <v>30.7770519300789</v>
      </c>
      <c r="Z34" s="61" t="n">
        <f aca="false">Z32*Assumptions!$D$51</f>
        <v>31.4690671761211</v>
      </c>
      <c r="AA34" s="61" t="n">
        <f aca="false">AA32*Assumptions!$D$51</f>
        <v>32.2052811877376</v>
      </c>
      <c r="AB34" s="61" t="n">
        <f aca="false">AB32*Assumptions!$D$51</f>
        <v>32.9875596525147</v>
      </c>
      <c r="AC34" s="61" t="n">
        <f aca="false">AC32*Assumptions!$D$51</f>
        <v>33.8180955948489</v>
      </c>
      <c r="AD34" s="61" t="n">
        <f aca="false">AD32*Assumptions!$D$51</f>
        <v>34.6993679889065</v>
      </c>
      <c r="AE34" s="61" t="n">
        <f aca="false">AE32*Assumptions!$D$51</f>
        <v>35.6341148714244</v>
      </c>
      <c r="AF34" s="61" t="n">
        <f aca="false">AF32*Assumptions!$D$51</f>
        <v>36.6253170518715</v>
      </c>
      <c r="AG34" s="61" t="n">
        <f aca="false">AG32*Assumptions!$D$51</f>
        <v>37.6761896152831</v>
      </c>
      <c r="AH34" s="61" t="n">
        <f aca="false">AH32*Assumptions!$D$51</f>
        <v>38.7901792035549</v>
      </c>
      <c r="AI34" s="61" t="n">
        <f aca="false">AI32*Assumptions!$D$51</f>
        <v>39.9709656297062</v>
      </c>
      <c r="AJ34" s="61" t="n">
        <f aca="false">AJ32*Assumptions!$D$51</f>
        <v>41.292684255612</v>
      </c>
      <c r="AK34" s="61" t="n">
        <f aca="false">AK32*Assumptions!$D$51</f>
        <v>42.9029149948919</v>
      </c>
      <c r="AL34" s="61" t="n">
        <f aca="false">AL32*Assumptions!$D$51</f>
        <v>44.6178294742673</v>
      </c>
      <c r="AM34" s="61" t="n">
        <f aca="false">SUM(C34:AL34)</f>
        <v>1118.57513726381</v>
      </c>
    </row>
    <row r="35" customFormat="false" ht="15" hidden="false" customHeight="false" outlineLevel="0" collapsed="false">
      <c r="A35" s="10" t="s">
        <v>751</v>
      </c>
      <c r="B35" s="9" t="s">
        <v>49</v>
      </c>
      <c r="C35" s="61" t="n">
        <f aca="false">C32*(1-Assumptions!$D$51)</f>
        <v>0</v>
      </c>
      <c r="D35" s="61" t="n">
        <f aca="false">D32*(1-Assumptions!$D$51)</f>
        <v>0</v>
      </c>
      <c r="E35" s="61" t="n">
        <f aca="false">E32*(1-Assumptions!$D$51)</f>
        <v>140.132729647759</v>
      </c>
      <c r="F35" s="61" t="n">
        <f aca="false">F32*(1-Assumptions!$D$51)</f>
        <v>87.0068825729221</v>
      </c>
      <c r="G35" s="61" t="n">
        <f aca="false">G32*(1-Assumptions!$D$51)</f>
        <v>78.8080977615556</v>
      </c>
      <c r="H35" s="61" t="n">
        <f aca="false">H32*(1-Assumptions!$D$51)</f>
        <v>72.534126038487</v>
      </c>
      <c r="I35" s="61" t="n">
        <f aca="false">I32*(1-Assumptions!$D$51)</f>
        <v>68.1613341678302</v>
      </c>
      <c r="J35" s="61" t="n">
        <f aca="false">J32*(1-Assumptions!$D$51)</f>
        <v>65.2002474525769</v>
      </c>
      <c r="K35" s="61" t="n">
        <f aca="false">K32*(1-Assumptions!$D$51)</f>
        <v>63.2781797453701</v>
      </c>
      <c r="L35" s="61" t="n">
        <f aca="false">L32*(1-Assumptions!$D$51)</f>
        <v>62.1219727716779</v>
      </c>
      <c r="M35" s="61" t="n">
        <f aca="false">M32*(1-Assumptions!$D$51)</f>
        <v>61.5333135008855</v>
      </c>
      <c r="N35" s="61" t="n">
        <f aca="false">N32*(1-Assumptions!$D$51)</f>
        <v>61.3691088910518</v>
      </c>
      <c r="O35" s="61" t="n">
        <f aca="false">O32*(1-Assumptions!$D$51)</f>
        <v>61.5266629593211</v>
      </c>
      <c r="P35" s="61" t="n">
        <f aca="false">P32*(1-Assumptions!$D$51)</f>
        <v>61.9326988975227</v>
      </c>
      <c r="Q35" s="61" t="n">
        <f aca="false">Q32*(1-Assumptions!$D$51)</f>
        <v>62.5353142954381</v>
      </c>
      <c r="R35" s="61" t="n">
        <f aca="false">R32*(1-Assumptions!$D$51)</f>
        <v>63.2981230713342</v>
      </c>
      <c r="S35" s="61" t="n">
        <f aca="false">S32*(1-Assumptions!$D$51)</f>
        <v>64.1960072486649</v>
      </c>
      <c r="T35" s="61" t="n">
        <f aca="false">T32*(1-Assumptions!$D$51)</f>
        <v>65.2120450799187</v>
      </c>
      <c r="U35" s="61" t="n">
        <f aca="false">U32*(1-Assumptions!$D$51)</f>
        <v>66.3352947654672</v>
      </c>
      <c r="V35" s="61" t="n">
        <f aca="false">V32*(1-Assumptions!$D$51)</f>
        <v>67.5591986272946</v>
      </c>
      <c r="W35" s="61" t="n">
        <f aca="false">W32*(1-Assumptions!$D$51)</f>
        <v>68.8804363634307</v>
      </c>
      <c r="X35" s="61" t="n">
        <f aca="false">X32*(1-Assumptions!$D$51)</f>
        <v>70.2981029611329</v>
      </c>
      <c r="Y35" s="61" t="n">
        <f aca="false">Y32*(1-Assumptions!$D$51)</f>
        <v>71.813121170184</v>
      </c>
      <c r="Z35" s="61" t="n">
        <f aca="false">Z32*(1-Assumptions!$D$51)</f>
        <v>73.4278234109493</v>
      </c>
      <c r="AA35" s="61" t="n">
        <f aca="false">AA32*(1-Assumptions!$D$51)</f>
        <v>75.1456561047211</v>
      </c>
      <c r="AB35" s="61" t="n">
        <f aca="false">AB32*(1-Assumptions!$D$51)</f>
        <v>76.9709725225342</v>
      </c>
      <c r="AC35" s="61" t="n">
        <f aca="false">AC32*(1-Assumptions!$D$51)</f>
        <v>78.9088897213141</v>
      </c>
      <c r="AD35" s="61" t="n">
        <f aca="false">AD32*(1-Assumptions!$D$51)</f>
        <v>80.9651919741152</v>
      </c>
      <c r="AE35" s="61" t="n">
        <f aca="false">AE32*(1-Assumptions!$D$51)</f>
        <v>83.1462680333237</v>
      </c>
      <c r="AF35" s="61" t="n">
        <f aca="false">AF32*(1-Assumptions!$D$51)</f>
        <v>85.4590731210334</v>
      </c>
      <c r="AG35" s="61" t="n">
        <f aca="false">AG32*(1-Assumptions!$D$51)</f>
        <v>87.9111091023273</v>
      </c>
      <c r="AH35" s="61" t="n">
        <f aca="false">AH32*(1-Assumptions!$D$51)</f>
        <v>90.5104181416282</v>
      </c>
      <c r="AI35" s="61" t="n">
        <f aca="false">AI32*(1-Assumptions!$D$51)</f>
        <v>93.2655864693145</v>
      </c>
      <c r="AJ35" s="61" t="n">
        <f aca="false">AJ32*(1-Assumptions!$D$51)</f>
        <v>96.349596596428</v>
      </c>
      <c r="AK35" s="61" t="n">
        <f aca="false">AK32*(1-Assumptions!$D$51)</f>
        <v>100.106801654748</v>
      </c>
      <c r="AL35" s="61" t="n">
        <f aca="false">AL32*(1-Assumptions!$D$51)</f>
        <v>104.10826877329</v>
      </c>
      <c r="AM35" s="61" t="n">
        <f aca="false">SUM(C35:AL35)</f>
        <v>2610.00865361555</v>
      </c>
    </row>
    <row r="36" customFormat="false" ht="15" hidden="false" customHeight="false" outlineLevel="0" collapsed="false">
      <c r="A36" s="38" t="s">
        <v>752</v>
      </c>
      <c r="B36" s="9" t="s">
        <v>49</v>
      </c>
      <c r="C36" s="71" t="n">
        <f aca="false">C34</f>
        <v>0</v>
      </c>
      <c r="D36" s="71" t="n">
        <f aca="false">C36*(1-Assumptions!$D$52)+D34</f>
        <v>0</v>
      </c>
      <c r="E36" s="71" t="n">
        <f aca="false">D36*(1-Assumptions!$D$52)+E34</f>
        <v>60.0568841347539</v>
      </c>
      <c r="F36" s="71" t="n">
        <f aca="false">E36*(1-Assumptions!$D$52)+F34</f>
        <v>91.9404285224498</v>
      </c>
      <c r="G36" s="71" t="n">
        <f aca="false">F36*(1-Assumptions!$D$52)+G34</f>
        <v>117.440688996096</v>
      </c>
      <c r="H36" s="71" t="n">
        <f aca="false">G36*(1-Assumptions!$D$52)+H34</f>
        <v>137.957081002942</v>
      </c>
      <c r="I36" s="71" t="n">
        <f aca="false">H36*(1-Assumptions!$D$52)+I34</f>
        <v>154.752944070319</v>
      </c>
      <c r="J36" s="71" t="n">
        <f aca="false">I36*(1-Assumptions!$D$52)+J34</f>
        <v>168.768142297951</v>
      </c>
      <c r="K36" s="71" t="n">
        <f aca="false">J36*(1-Assumptions!$D$52)+K34</f>
        <v>180.698229382009</v>
      </c>
      <c r="L36" s="71" t="n">
        <f aca="false">K36*(1-Assumptions!$D$52)+L34</f>
        <v>191.059091354061</v>
      </c>
      <c r="M36" s="71" t="n">
        <f aca="false">L36*(1-Assumptions!$D$52)+M34</f>
        <v>200.235193204004</v>
      </c>
      <c r="N36" s="71" t="n">
        <f aca="false">M36*(1-Assumptions!$D$52)+N34</f>
        <v>208.515072483237</v>
      </c>
      <c r="O36" s="71" t="n">
        <f aca="false">N36*(1-Assumptions!$D$52)+O34</f>
        <v>216.117285799455</v>
      </c>
      <c r="P36" s="71" t="n">
        <f aca="false">O36*(1-Assumptions!$D$52)+P34</f>
        <v>223.209315319299</v>
      </c>
      <c r="Q36" s="71" t="n">
        <f aca="false">P36*(1-Assumptions!$D$52)+Q34</f>
        <v>229.921325924322</v>
      </c>
      <c r="R36" s="71" t="n">
        <f aca="false">Q36*(1-Assumptions!$D$52)+R34</f>
        <v>236.356173621704</v>
      </c>
      <c r="S36" s="71" t="n">
        <f aca="false">R36*(1-Assumptions!$D$52)+S34</f>
        <v>242.596692530893</v>
      </c>
      <c r="T36" s="71" t="n">
        <f aca="false">S36*(1-Assumptions!$D$52)+T34</f>
        <v>248.711009523078</v>
      </c>
      <c r="U36" s="71" t="n">
        <f aca="false">T36*(1-Assumptions!$D$52)+U34</f>
        <v>254.756430708344</v>
      </c>
      <c r="V36" s="71" t="n">
        <f aca="false">U36*(1-Assumptions!$D$52)+V34</f>
        <v>260.782294213434</v>
      </c>
      <c r="W36" s="71" t="n">
        <f aca="false">V36*(1-Assumptions!$D$52)+W34</f>
        <v>266.832074747123</v>
      </c>
      <c r="X36" s="71" t="n">
        <f aca="false">W36*(1-Assumptions!$D$52)+X34</f>
        <v>272.944946431796</v>
      </c>
      <c r="Y36" s="71" t="n">
        <f aca="false">X36*(1-Assumptions!$D$52)+Y34</f>
        <v>279.156953183014</v>
      </c>
      <c r="Z36" s="71" t="n">
        <f aca="false">Y36*(1-Assumptions!$D$52)+Z34</f>
        <v>285.501894572664</v>
      </c>
      <c r="AA36" s="71" t="n">
        <f aca="false">Z36*(1-Assumptions!$D$52)+AA34</f>
        <v>292.012005248861</v>
      </c>
      <c r="AB36" s="71" t="n">
        <f aca="false">AA36*(1-Assumptions!$D$52)+AB34</f>
        <v>298.718484428979</v>
      </c>
      <c r="AC36" s="71" t="n">
        <f aca="false">AB36*(1-Assumptions!$D$52)+AC34</f>
        <v>305.651916425219</v>
      </c>
      <c r="AD36" s="71" t="n">
        <f aca="false">AC36*(1-Assumptions!$D$52)+AD34</f>
        <v>312.842611935856</v>
      </c>
      <c r="AE36" s="71" t="n">
        <f aca="false">AD36*(1-Assumptions!$D$52)+AE34</f>
        <v>320.320891733054</v>
      </c>
      <c r="AF36" s="71" t="n">
        <f aca="false">AE36*(1-Assumptions!$D$52)+AF34</f>
        <v>328.11732852895</v>
      </c>
      <c r="AG36" s="71" t="n">
        <f aca="false">AF36*(1-Assumptions!$D$52)+AG34</f>
        <v>336.262958576628</v>
      </c>
      <c r="AH36" s="71" t="n">
        <f aca="false">AG36*(1-Assumptions!$D$52)+AH34</f>
        <v>344.789471508286</v>
      </c>
      <c r="AI36" s="71" t="n">
        <f aca="false">AH36*(1-Assumptions!$D$52)+AI34</f>
        <v>353.729384702247</v>
      </c>
      <c r="AJ36" s="71" t="n">
        <f aca="false">AI36*(1-Assumptions!$D$52)+AJ34</f>
        <v>363.186424334657</v>
      </c>
      <c r="AK36" s="71" t="n">
        <f aca="false">AJ36*(1-Assumptions!$D$52)+AK34</f>
        <v>373.402561139429</v>
      </c>
      <c r="AL36" s="71" t="n">
        <f aca="false">AK36*(1-Assumptions!$D$52)+AL34</f>
        <v>384.414160111148</v>
      </c>
      <c r="AM36" s="71" t="n">
        <f aca="false">AL36</f>
        <v>384.414160111148</v>
      </c>
    </row>
    <row r="37" customFormat="false" ht="15" hidden="false" customHeight="false" outlineLevel="0" collapsed="false">
      <c r="A37" s="10" t="s">
        <v>753</v>
      </c>
      <c r="B37" s="9" t="s">
        <v>49</v>
      </c>
      <c r="C37" s="61" t="n">
        <f aca="false">0</f>
        <v>0</v>
      </c>
      <c r="D37" s="61" t="n">
        <f aca="false">C36*Assumptions!$D$52</f>
        <v>0</v>
      </c>
      <c r="E37" s="61" t="n">
        <f aca="false">D36*Assumptions!$D$52</f>
        <v>0</v>
      </c>
      <c r="F37" s="61" t="n">
        <f aca="false">E36*Assumptions!$D$52</f>
        <v>5.40511957212785</v>
      </c>
      <c r="G37" s="61" t="n">
        <f aca="false">F36*Assumptions!$D$52</f>
        <v>8.27463856702048</v>
      </c>
      <c r="H37" s="61" t="n">
        <f aca="false">G36*Assumptions!$D$52</f>
        <v>10.5696620096486</v>
      </c>
      <c r="I37" s="61" t="n">
        <f aca="false">H36*Assumptions!$D$52</f>
        <v>12.4161372902648</v>
      </c>
      <c r="J37" s="61" t="n">
        <f aca="false">I36*Assumptions!$D$52</f>
        <v>13.9277649663287</v>
      </c>
      <c r="K37" s="61" t="n">
        <f aca="false">J36*Assumptions!$D$52</f>
        <v>15.1891328068156</v>
      </c>
      <c r="L37" s="61" t="n">
        <f aca="false">K36*Assumptions!$D$52</f>
        <v>16.2628406443808</v>
      </c>
      <c r="M37" s="61" t="n">
        <f aca="false">L36*Assumptions!$D$52</f>
        <v>17.1953182218655</v>
      </c>
      <c r="N37" s="61" t="n">
        <f aca="false">M36*Assumptions!$D$52</f>
        <v>18.0211673883603</v>
      </c>
      <c r="O37" s="61" t="n">
        <f aca="false">N36*Assumptions!$D$52</f>
        <v>18.7663565234913</v>
      </c>
      <c r="P37" s="61" t="n">
        <f aca="false">O36*Assumptions!$D$52</f>
        <v>19.4505557219509</v>
      </c>
      <c r="Q37" s="61" t="n">
        <f aca="false">P36*Assumptions!$D$52</f>
        <v>20.0888383787369</v>
      </c>
      <c r="R37" s="61" t="n">
        <f aca="false">Q36*Assumptions!$D$52</f>
        <v>20.6929193331889</v>
      </c>
      <c r="S37" s="61" t="n">
        <f aca="false">R36*Assumptions!$D$52</f>
        <v>21.2720556259534</v>
      </c>
      <c r="T37" s="61" t="n">
        <f aca="false">S36*Assumptions!$D$52</f>
        <v>21.8337023277804</v>
      </c>
      <c r="U37" s="61" t="n">
        <f aca="false">T36*Assumptions!$D$52</f>
        <v>22.383990857077</v>
      </c>
      <c r="V37" s="61" t="n">
        <f aca="false">U36*Assumptions!$D$52</f>
        <v>22.928078763751</v>
      </c>
      <c r="W37" s="61" t="n">
        <f aca="false">V36*Assumptions!$D$52</f>
        <v>23.470406479209</v>
      </c>
      <c r="X37" s="61" t="n">
        <f aca="false">W36*Assumptions!$D$52</f>
        <v>24.0148867272411</v>
      </c>
      <c r="Y37" s="61" t="n">
        <f aca="false">X36*Assumptions!$D$52</f>
        <v>24.5650451788617</v>
      </c>
      <c r="Z37" s="61" t="n">
        <f aca="false">Y36*Assumptions!$D$52</f>
        <v>25.1241257864712</v>
      </c>
      <c r="AA37" s="61" t="n">
        <f aca="false">Z36*Assumptions!$D$52</f>
        <v>25.6951705115397</v>
      </c>
      <c r="AB37" s="61" t="n">
        <f aca="false">AA36*Assumptions!$D$52</f>
        <v>26.2810804723975</v>
      </c>
      <c r="AC37" s="61" t="n">
        <f aca="false">AB36*Assumptions!$D$52</f>
        <v>26.8846635986081</v>
      </c>
      <c r="AD37" s="61" t="n">
        <f aca="false">AC36*Assumptions!$D$52</f>
        <v>27.5086724782697</v>
      </c>
      <c r="AE37" s="61" t="n">
        <f aca="false">AD36*Assumptions!$D$52</f>
        <v>28.1558350742271</v>
      </c>
      <c r="AF37" s="61" t="n">
        <f aca="false">AE36*Assumptions!$D$52</f>
        <v>28.8288802559748</v>
      </c>
      <c r="AG37" s="61" t="n">
        <f aca="false">AF36*Assumptions!$D$52</f>
        <v>29.5305595676055</v>
      </c>
      <c r="AH37" s="61" t="n">
        <f aca="false">AG36*Assumptions!$D$52</f>
        <v>30.2636662718965</v>
      </c>
      <c r="AI37" s="61" t="n">
        <f aca="false">AH36*Assumptions!$D$52</f>
        <v>31.0310524357458</v>
      </c>
      <c r="AJ37" s="61" t="n">
        <f aca="false">AI36*Assumptions!$D$52</f>
        <v>31.8356446232022</v>
      </c>
      <c r="AK37" s="61" t="n">
        <f aca="false">AJ36*Assumptions!$D$52</f>
        <v>32.6867781901191</v>
      </c>
      <c r="AL37" s="61" t="n">
        <f aca="false">AK36*Assumptions!$D$52</f>
        <v>33.6062305025486</v>
      </c>
      <c r="AM37" s="61" t="n">
        <f aca="false">SUM(C37:AL37)</f>
        <v>734.16097715266</v>
      </c>
    </row>
    <row r="38" customFormat="false" ht="15" hidden="false" customHeight="false" outlineLevel="0" collapsed="false">
      <c r="A38" s="10" t="s">
        <v>754</v>
      </c>
      <c r="B38" s="9" t="s">
        <v>49</v>
      </c>
      <c r="C38" s="61" t="n">
        <f aca="false">0</f>
        <v>0</v>
      </c>
      <c r="D38" s="61" t="n">
        <f aca="false">C35*Assumptions!$D$53</f>
        <v>0</v>
      </c>
      <c r="E38" s="61" t="n">
        <f aca="false">D35*Assumptions!$D$53</f>
        <v>0</v>
      </c>
      <c r="F38" s="61" t="n">
        <f aca="false">E35*Assumptions!$D$53</f>
        <v>11.2106183718207</v>
      </c>
      <c r="G38" s="61" t="n">
        <f aca="false">F35*Assumptions!$D$53</f>
        <v>6.96055060583377</v>
      </c>
      <c r="H38" s="61" t="n">
        <f aca="false">G35*Assumptions!$D$53</f>
        <v>6.30464782092445</v>
      </c>
      <c r="I38" s="61" t="n">
        <f aca="false">H35*Assumptions!$D$53</f>
        <v>5.80273008307896</v>
      </c>
      <c r="J38" s="61" t="n">
        <f aca="false">I35*Assumptions!$D$53</f>
        <v>5.45290673342642</v>
      </c>
      <c r="K38" s="61" t="n">
        <f aca="false">J35*Assumptions!$D$53</f>
        <v>5.21601979620615</v>
      </c>
      <c r="L38" s="61" t="n">
        <f aca="false">K35*Assumptions!$D$53</f>
        <v>5.06225437962961</v>
      </c>
      <c r="M38" s="61" t="n">
        <f aca="false">L35*Assumptions!$D$53</f>
        <v>4.96975782173423</v>
      </c>
      <c r="N38" s="61" t="n">
        <f aca="false">M35*Assumptions!$D$53</f>
        <v>4.92266508007084</v>
      </c>
      <c r="O38" s="61" t="n">
        <f aca="false">N35*Assumptions!$D$53</f>
        <v>4.90952871128414</v>
      </c>
      <c r="P38" s="61" t="n">
        <f aca="false">O35*Assumptions!$D$53</f>
        <v>4.92213303674569</v>
      </c>
      <c r="Q38" s="61" t="n">
        <f aca="false">P35*Assumptions!$D$53</f>
        <v>4.95461591180182</v>
      </c>
      <c r="R38" s="61" t="n">
        <f aca="false">Q35*Assumptions!$D$53</f>
        <v>5.00282514363505</v>
      </c>
      <c r="S38" s="61" t="n">
        <f aca="false">R35*Assumptions!$D$53</f>
        <v>5.06384984570674</v>
      </c>
      <c r="T38" s="61" t="n">
        <f aca="false">S35*Assumptions!$D$53</f>
        <v>5.13568057989319</v>
      </c>
      <c r="U38" s="61" t="n">
        <f aca="false">T35*Assumptions!$D$53</f>
        <v>5.2169636063935</v>
      </c>
      <c r="V38" s="61" t="n">
        <f aca="false">U35*Assumptions!$D$53</f>
        <v>5.30682358123738</v>
      </c>
      <c r="W38" s="61" t="n">
        <f aca="false">V35*Assumptions!$D$53</f>
        <v>5.40473589018356</v>
      </c>
      <c r="X38" s="61" t="n">
        <f aca="false">W35*Assumptions!$D$53</f>
        <v>5.51043490907445</v>
      </c>
      <c r="Y38" s="61" t="n">
        <f aca="false">X35*Assumptions!$D$53</f>
        <v>5.62384823689064</v>
      </c>
      <c r="Z38" s="61" t="n">
        <f aca="false">Y35*Assumptions!$D$53</f>
        <v>5.74504969361472</v>
      </c>
      <c r="AA38" s="61" t="n">
        <f aca="false">Z35*Assumptions!$D$53</f>
        <v>5.87422587287594</v>
      </c>
      <c r="AB38" s="61" t="n">
        <f aca="false">AA35*Assumptions!$D$53</f>
        <v>6.01165248837769</v>
      </c>
      <c r="AC38" s="61" t="n">
        <f aca="false">AB35*Assumptions!$D$53</f>
        <v>6.15767780180274</v>
      </c>
      <c r="AD38" s="61" t="n">
        <f aca="false">AC35*Assumptions!$D$53</f>
        <v>6.31271117770513</v>
      </c>
      <c r="AE38" s="61" t="n">
        <f aca="false">AD35*Assumptions!$D$53</f>
        <v>6.47721535792922</v>
      </c>
      <c r="AF38" s="61" t="n">
        <f aca="false">AE35*Assumptions!$D$53</f>
        <v>6.6517014426659</v>
      </c>
      <c r="AG38" s="61" t="n">
        <f aca="false">AF35*Assumptions!$D$53</f>
        <v>6.83672584968267</v>
      </c>
      <c r="AH38" s="61" t="n">
        <f aca="false">AG35*Assumptions!$D$53</f>
        <v>7.03288872818618</v>
      </c>
      <c r="AI38" s="61" t="n">
        <f aca="false">AH35*Assumptions!$D$53</f>
        <v>7.24083345133025</v>
      </c>
      <c r="AJ38" s="61" t="n">
        <f aca="false">AI35*Assumptions!$D$53</f>
        <v>7.46124691754516</v>
      </c>
      <c r="AK38" s="61" t="n">
        <f aca="false">AJ35*Assumptions!$D$53</f>
        <v>7.70796772771424</v>
      </c>
      <c r="AL38" s="61" t="n">
        <f aca="false">AK35*Assumptions!$D$53</f>
        <v>8.00854413237982</v>
      </c>
      <c r="AM38" s="61" t="n">
        <f aca="false">SUM(C38:AL38)</f>
        <v>200.472030787381</v>
      </c>
    </row>
    <row r="39" customFormat="false" ht="15" hidden="false" customHeight="false" outlineLevel="0" collapsed="false">
      <c r="A39" s="38" t="s">
        <v>755</v>
      </c>
      <c r="B39" s="9" t="s">
        <v>49</v>
      </c>
      <c r="C39" s="71" t="n">
        <f aca="false">C35+C36+C38</f>
        <v>0</v>
      </c>
      <c r="D39" s="71" t="n">
        <f aca="false">D35+D36+D38</f>
        <v>0</v>
      </c>
      <c r="E39" s="71" t="n">
        <f aca="false">E35+E36+E38</f>
        <v>200.189613782513</v>
      </c>
      <c r="F39" s="71" t="n">
        <f aca="false">F35+F36+F38</f>
        <v>190.157929467193</v>
      </c>
      <c r="G39" s="71" t="n">
        <f aca="false">G35+G36+G38</f>
        <v>203.209337363485</v>
      </c>
      <c r="H39" s="71" t="n">
        <f aca="false">H35+H36+H38</f>
        <v>216.795854862353</v>
      </c>
      <c r="I39" s="71" t="n">
        <f aca="false">I35+I36+I38</f>
        <v>228.717008321228</v>
      </c>
      <c r="J39" s="71" t="n">
        <f aca="false">J35+J36+J38</f>
        <v>239.421296483955</v>
      </c>
      <c r="K39" s="71" t="n">
        <f aca="false">K35+K36+K38</f>
        <v>249.192428923585</v>
      </c>
      <c r="L39" s="71" t="n">
        <f aca="false">L35+L36+L38</f>
        <v>258.243318505369</v>
      </c>
      <c r="M39" s="71" t="n">
        <f aca="false">M35+M36+M38</f>
        <v>266.738264526624</v>
      </c>
      <c r="N39" s="71" t="n">
        <f aca="false">N35+N36+N38</f>
        <v>274.80684645436</v>
      </c>
      <c r="O39" s="71" t="n">
        <f aca="false">O35+O36+O38</f>
        <v>282.55347747006</v>
      </c>
      <c r="P39" s="71" t="n">
        <f aca="false">P35+P36+P38</f>
        <v>290.064147253568</v>
      </c>
      <c r="Q39" s="71" t="n">
        <f aca="false">Q35+Q36+Q38</f>
        <v>297.411256131562</v>
      </c>
      <c r="R39" s="71" t="n">
        <f aca="false">R35+R36+R38</f>
        <v>304.657121836674</v>
      </c>
      <c r="S39" s="71" t="n">
        <f aca="false">S35+S36+S38</f>
        <v>311.856549625265</v>
      </c>
      <c r="T39" s="71" t="n">
        <f aca="false">T35+T36+T38</f>
        <v>319.05873518289</v>
      </c>
      <c r="U39" s="71" t="n">
        <f aca="false">U35+U36+U38</f>
        <v>326.308689080205</v>
      </c>
      <c r="V39" s="71" t="n">
        <f aca="false">V35+V36+V38</f>
        <v>333.648316421966</v>
      </c>
      <c r="W39" s="71" t="n">
        <f aca="false">W35+W36+W38</f>
        <v>341.117247000738</v>
      </c>
      <c r="X39" s="71" t="n">
        <f aca="false">X35+X36+X38</f>
        <v>348.753484302004</v>
      </c>
      <c r="Y39" s="71" t="n">
        <f aca="false">Y35+Y36+Y38</f>
        <v>356.593922590088</v>
      </c>
      <c r="Z39" s="71" t="n">
        <f aca="false">Z35+Z36+Z38</f>
        <v>364.674767677228</v>
      </c>
      <c r="AA39" s="71" t="n">
        <f aca="false">AA35+AA36+AA38</f>
        <v>373.031887226459</v>
      </c>
      <c r="AB39" s="71" t="n">
        <f aca="false">AB35+AB36+AB38</f>
        <v>381.701109439891</v>
      </c>
      <c r="AC39" s="71" t="n">
        <f aca="false">AC35+AC36+AC38</f>
        <v>390.718483948336</v>
      </c>
      <c r="AD39" s="71" t="n">
        <f aca="false">AD35+AD36+AD38</f>
        <v>400.120515087677</v>
      </c>
      <c r="AE39" s="71" t="n">
        <f aca="false">AE35+AE36+AE38</f>
        <v>409.944375124307</v>
      </c>
      <c r="AF39" s="71" t="n">
        <f aca="false">AF35+AF36+AF38</f>
        <v>420.22810309265</v>
      </c>
      <c r="AG39" s="71" t="n">
        <f aca="false">AG35+AG36+AG38</f>
        <v>431.010793528638</v>
      </c>
      <c r="AH39" s="71" t="n">
        <f aca="false">AH35+AH36+AH38</f>
        <v>442.332778378101</v>
      </c>
      <c r="AI39" s="71" t="n">
        <f aca="false">AI35+AI36+AI38</f>
        <v>454.235804622892</v>
      </c>
      <c r="AJ39" s="71" t="n">
        <f aca="false">AJ35+AJ36+AJ38</f>
        <v>466.99726784863</v>
      </c>
      <c r="AK39" s="71" t="n">
        <f aca="false">AK35+AK36+AK38</f>
        <v>481.217330521891</v>
      </c>
      <c r="AL39" s="71" t="n">
        <f aca="false">AL35+AL36+AL38</f>
        <v>496.530973016818</v>
      </c>
      <c r="AM39" s="71" t="n">
        <f aca="false">SUM(C39:AL39)</f>
        <v>11352.2390350992</v>
      </c>
    </row>
    <row r="40" customFormat="false" ht="15" hidden="false" customHeight="false" outlineLevel="0" collapsed="false">
      <c r="A40" s="10" t="s">
        <v>756</v>
      </c>
      <c r="B40" s="9" t="s">
        <v>95</v>
      </c>
      <c r="C40" s="70" t="n">
        <f aca="false">C39*Assumptions!$D$50</f>
        <v>0</v>
      </c>
      <c r="D40" s="70" t="n">
        <f aca="false">D39*Assumptions!$D$50</f>
        <v>0</v>
      </c>
      <c r="E40" s="70" t="n">
        <f aca="false">E39*Assumptions!$D$50</f>
        <v>13612.8937372109</v>
      </c>
      <c r="F40" s="70" t="n">
        <f aca="false">F39*Assumptions!$D$50</f>
        <v>12930.7392037691</v>
      </c>
      <c r="G40" s="70" t="n">
        <f aca="false">G39*Assumptions!$D$50</f>
        <v>13818.234940717</v>
      </c>
      <c r="H40" s="70" t="n">
        <f aca="false">H39*Assumptions!$D$50</f>
        <v>14742.11813064</v>
      </c>
      <c r="I40" s="70" t="n">
        <f aca="false">I39*Assumptions!$D$50</f>
        <v>15552.7565658435</v>
      </c>
      <c r="J40" s="70" t="n">
        <f aca="false">J39*Assumptions!$D$50</f>
        <v>16280.6481609089</v>
      </c>
      <c r="K40" s="70" t="n">
        <f aca="false">K39*Assumptions!$D$50</f>
        <v>16945.0851668038</v>
      </c>
      <c r="L40" s="70" t="n">
        <f aca="false">L39*Assumptions!$D$50</f>
        <v>17560.5456583651</v>
      </c>
      <c r="M40" s="70" t="n">
        <f aca="false">M39*Assumptions!$D$50</f>
        <v>18138.2019878104</v>
      </c>
      <c r="N40" s="70" t="n">
        <f aca="false">N39*Assumptions!$D$50</f>
        <v>18686.8655588965</v>
      </c>
      <c r="O40" s="70" t="n">
        <f aca="false">O39*Assumptions!$D$50</f>
        <v>19213.6364679641</v>
      </c>
      <c r="P40" s="70" t="n">
        <f aca="false">P39*Assumptions!$D$50</f>
        <v>19724.3620132426</v>
      </c>
      <c r="Q40" s="70" t="n">
        <f aca="false">Q39*Assumptions!$D$50</f>
        <v>20223.9654169462</v>
      </c>
      <c r="R40" s="70" t="n">
        <f aca="false">R39*Assumptions!$D$50</f>
        <v>20716.6842848938</v>
      </c>
      <c r="S40" s="70" t="n">
        <f aca="false">S39*Assumptions!$D$50</f>
        <v>21206.245374518</v>
      </c>
      <c r="T40" s="70" t="n">
        <f aca="false">T39*Assumptions!$D$50</f>
        <v>21695.9939924365</v>
      </c>
      <c r="U40" s="70" t="n">
        <f aca="false">U39*Assumptions!$D$50</f>
        <v>22188.9908574539</v>
      </c>
      <c r="V40" s="70" t="n">
        <f aca="false">V39*Assumptions!$D$50</f>
        <v>22688.0855166937</v>
      </c>
      <c r="W40" s="70" t="n">
        <f aca="false">W39*Assumptions!$D$50</f>
        <v>23195.9727960502</v>
      </c>
      <c r="X40" s="70" t="n">
        <f aca="false">X39*Assumptions!$D$50</f>
        <v>23715.2369325363</v>
      </c>
      <c r="Y40" s="70" t="n">
        <f aca="false">Y39*Assumptions!$D$50</f>
        <v>24248.386736126</v>
      </c>
      <c r="Z40" s="70" t="n">
        <f aca="false">Z39*Assumptions!$D$50</f>
        <v>24797.8842020515</v>
      </c>
      <c r="AA40" s="70" t="n">
        <f aca="false">AA39*Assumptions!$D$50</f>
        <v>25366.1683313992</v>
      </c>
      <c r="AB40" s="70" t="n">
        <f aca="false">AB39*Assumptions!$D$50</f>
        <v>25955.6754419126</v>
      </c>
      <c r="AC40" s="70" t="n">
        <f aca="false">AC39*Assumptions!$D$50</f>
        <v>26568.8569084869</v>
      </c>
      <c r="AD40" s="70" t="n">
        <f aca="false">AD39*Assumptions!$D$50</f>
        <v>27208.195025962</v>
      </c>
      <c r="AE40" s="70" t="n">
        <f aca="false">AE39*Assumptions!$D$50</f>
        <v>27876.2175084528</v>
      </c>
      <c r="AF40" s="70" t="n">
        <f aca="false">AF39*Assumptions!$D$50</f>
        <v>28575.5110103002</v>
      </c>
      <c r="AG40" s="70" t="n">
        <f aca="false">AG39*Assumptions!$D$50</f>
        <v>29308.7339599474</v>
      </c>
      <c r="AH40" s="70" t="n">
        <f aca="false">AH39*Assumptions!$D$50</f>
        <v>30078.6289297108</v>
      </c>
      <c r="AI40" s="70" t="n">
        <f aca="false">AI39*Assumptions!$D$50</f>
        <v>30888.0347143566</v>
      </c>
      <c r="AJ40" s="70" t="n">
        <f aca="false">AJ39*Assumptions!$D$50</f>
        <v>31755.8142137068</v>
      </c>
      <c r="AK40" s="70" t="n">
        <f aca="false">AK39*Assumptions!$D$50</f>
        <v>32722.7784754886</v>
      </c>
      <c r="AL40" s="70" t="n">
        <f aca="false">AL39*Assumptions!$D$50</f>
        <v>33764.1061651436</v>
      </c>
      <c r="AM40" s="70" t="n">
        <f aca="false">SUM(C40:AL40)</f>
        <v>771952.254386745</v>
      </c>
    </row>
    <row r="41" customFormat="false" ht="15" hidden="false" customHeight="false" outlineLevel="0" collapsed="false">
      <c r="A41" s="10" t="s">
        <v>757</v>
      </c>
      <c r="B41" s="9" t="s">
        <v>95</v>
      </c>
      <c r="C41" s="70" t="n">
        <f aca="false">-C40*Assumptions!$D$80</f>
        <v>-0</v>
      </c>
      <c r="D41" s="70" t="n">
        <f aca="false">-D40*Assumptions!$D$80</f>
        <v>-0</v>
      </c>
      <c r="E41" s="70" t="n">
        <f aca="false">-E40*Assumptions!$D$80</f>
        <v>-544.515749488435</v>
      </c>
      <c r="F41" s="70" t="n">
        <f aca="false">-F40*Assumptions!$D$80</f>
        <v>-517.229568150764</v>
      </c>
      <c r="G41" s="70" t="n">
        <f aca="false">-G40*Assumptions!$D$80</f>
        <v>-552.72939762868</v>
      </c>
      <c r="H41" s="70" t="n">
        <f aca="false">-H40*Assumptions!$D$80</f>
        <v>-589.684725225601</v>
      </c>
      <c r="I41" s="70" t="n">
        <f aca="false">-I40*Assumptions!$D$80</f>
        <v>-622.110262633739</v>
      </c>
      <c r="J41" s="70" t="n">
        <f aca="false">-J40*Assumptions!$D$80</f>
        <v>-651.225926436357</v>
      </c>
      <c r="K41" s="70" t="n">
        <f aca="false">-K40*Assumptions!$D$80</f>
        <v>-677.803406672151</v>
      </c>
      <c r="L41" s="70" t="n">
        <f aca="false">-L40*Assumptions!$D$80</f>
        <v>-702.421826334603</v>
      </c>
      <c r="M41" s="70" t="n">
        <f aca="false">-M40*Assumptions!$D$80</f>
        <v>-725.528079512416</v>
      </c>
      <c r="N41" s="70" t="n">
        <f aca="false">-N40*Assumptions!$D$80</f>
        <v>-747.474622355859</v>
      </c>
      <c r="O41" s="70" t="n">
        <f aca="false">-O40*Assumptions!$D$80</f>
        <v>-768.545458718563</v>
      </c>
      <c r="P41" s="70" t="n">
        <f aca="false">-P40*Assumptions!$D$80</f>
        <v>-788.974480529704</v>
      </c>
      <c r="Q41" s="70" t="n">
        <f aca="false">-Q40*Assumptions!$D$80</f>
        <v>-808.958616677847</v>
      </c>
      <c r="R41" s="70" t="n">
        <f aca="false">-R40*Assumptions!$D$80</f>
        <v>-828.667371395752</v>
      </c>
      <c r="S41" s="70" t="n">
        <f aca="false">-S40*Assumptions!$D$80</f>
        <v>-848.24981498072</v>
      </c>
      <c r="T41" s="70" t="n">
        <f aca="false">-T40*Assumptions!$D$80</f>
        <v>-867.83975969746</v>
      </c>
      <c r="U41" s="70" t="n">
        <f aca="false">-U40*Assumptions!$D$80</f>
        <v>-887.559634298157</v>
      </c>
      <c r="V41" s="70" t="n">
        <f aca="false">-V40*Assumptions!$D$80</f>
        <v>-907.523420667746</v>
      </c>
      <c r="W41" s="70" t="n">
        <f aca="false">-W40*Assumptions!$D$80</f>
        <v>-927.838911842007</v>
      </c>
      <c r="X41" s="70" t="n">
        <f aca="false">-X40*Assumptions!$D$80</f>
        <v>-948.60947730145</v>
      </c>
      <c r="Y41" s="70" t="n">
        <f aca="false">-Y40*Assumptions!$D$80</f>
        <v>-969.93546944504</v>
      </c>
      <c r="Z41" s="70" t="n">
        <f aca="false">-Z40*Assumptions!$D$80</f>
        <v>-991.915368082059</v>
      </c>
      <c r="AA41" s="70" t="n">
        <f aca="false">-AA40*Assumptions!$D$80</f>
        <v>-1014.64673325597</v>
      </c>
      <c r="AB41" s="70" t="n">
        <f aca="false">-AB40*Assumptions!$D$80</f>
        <v>-1038.2270176765</v>
      </c>
      <c r="AC41" s="70" t="n">
        <f aca="false">-AC40*Assumptions!$D$80</f>
        <v>-1062.75427633947</v>
      </c>
      <c r="AD41" s="70" t="n">
        <f aca="false">-AD40*Assumptions!$D$80</f>
        <v>-1088.32780103848</v>
      </c>
      <c r="AE41" s="70" t="n">
        <f aca="false">-AE40*Assumptions!$D$80</f>
        <v>-1115.04870033811</v>
      </c>
      <c r="AF41" s="70" t="n">
        <f aca="false">-AF40*Assumptions!$D$80</f>
        <v>-1143.02044041201</v>
      </c>
      <c r="AG41" s="70" t="n">
        <f aca="false">-AG40*Assumptions!$D$80</f>
        <v>-1172.3493583979</v>
      </c>
      <c r="AH41" s="70" t="n">
        <f aca="false">-AH40*Assumptions!$D$80</f>
        <v>-1203.14515718843</v>
      </c>
      <c r="AI41" s="70" t="n">
        <f aca="false">-AI40*Assumptions!$D$80</f>
        <v>-1235.52138857427</v>
      </c>
      <c r="AJ41" s="70" t="n">
        <f aca="false">-AJ40*Assumptions!$D$80</f>
        <v>-1270.23256854827</v>
      </c>
      <c r="AK41" s="70" t="n">
        <f aca="false">-AK40*Assumptions!$D$80</f>
        <v>-1308.91113901954</v>
      </c>
      <c r="AL41" s="70" t="n">
        <f aca="false">-AL40*Assumptions!$D$80</f>
        <v>-1350.56424660575</v>
      </c>
      <c r="AM41" s="70" t="n">
        <f aca="false">SUM(C41:AL41)</f>
        <v>-30878.0901754698</v>
      </c>
    </row>
    <row r="42" customFormat="false" ht="15" hidden="false" customHeight="false" outlineLevel="0" collapsed="false">
      <c r="A42" s="38" t="s">
        <v>758</v>
      </c>
      <c r="B42" s="9" t="s">
        <v>95</v>
      </c>
      <c r="C42" s="53" t="n">
        <f aca="false">C40+C41</f>
        <v>0</v>
      </c>
      <c r="D42" s="53" t="n">
        <f aca="false">D40+D41</f>
        <v>0</v>
      </c>
      <c r="E42" s="53" t="n">
        <f aca="false">E40+E41</f>
        <v>13068.3779877224</v>
      </c>
      <c r="F42" s="53" t="n">
        <f aca="false">F40+F41</f>
        <v>12413.5096356183</v>
      </c>
      <c r="G42" s="53" t="n">
        <f aca="false">G40+G41</f>
        <v>13265.5055430883</v>
      </c>
      <c r="H42" s="53" t="n">
        <f aca="false">H40+H41</f>
        <v>14152.4334054144</v>
      </c>
      <c r="I42" s="53" t="n">
        <f aca="false">I40+I41</f>
        <v>14930.6463032097</v>
      </c>
      <c r="J42" s="53" t="n">
        <f aca="false">J40+J41</f>
        <v>15629.4222344726</v>
      </c>
      <c r="K42" s="53" t="n">
        <f aca="false">K40+K41</f>
        <v>16267.2817601316</v>
      </c>
      <c r="L42" s="53" t="n">
        <f aca="false">L40+L41</f>
        <v>16858.1238320305</v>
      </c>
      <c r="M42" s="53" t="n">
        <f aca="false">M40+M41</f>
        <v>17412.673908298</v>
      </c>
      <c r="N42" s="53" t="n">
        <f aca="false">N40+N41</f>
        <v>17939.3909365406</v>
      </c>
      <c r="O42" s="53" t="n">
        <f aca="false">O40+O41</f>
        <v>18445.0910092455</v>
      </c>
      <c r="P42" s="53" t="n">
        <f aca="false">P40+P41</f>
        <v>18935.3875327129</v>
      </c>
      <c r="Q42" s="53" t="n">
        <f aca="false">Q40+Q41</f>
        <v>19415.0068002683</v>
      </c>
      <c r="R42" s="53" t="n">
        <f aca="false">R40+R41</f>
        <v>19888.0169134981</v>
      </c>
      <c r="S42" s="53" t="n">
        <f aca="false">S40+S41</f>
        <v>20357.9955595373</v>
      </c>
      <c r="T42" s="53" t="n">
        <f aca="false">T40+T41</f>
        <v>20828.1542327391</v>
      </c>
      <c r="U42" s="53" t="n">
        <f aca="false">U40+U41</f>
        <v>21301.4312231558</v>
      </c>
      <c r="V42" s="53" t="n">
        <f aca="false">V40+V41</f>
        <v>21780.5620960259</v>
      </c>
      <c r="W42" s="53" t="n">
        <f aca="false">W40+W41</f>
        <v>22268.1338842082</v>
      </c>
      <c r="X42" s="53" t="n">
        <f aca="false">X40+X41</f>
        <v>22766.6274552348</v>
      </c>
      <c r="Y42" s="53" t="n">
        <f aca="false">Y40+Y41</f>
        <v>23278.451266681</v>
      </c>
      <c r="Z42" s="53" t="n">
        <f aca="false">Z40+Z41</f>
        <v>23805.9688339694</v>
      </c>
      <c r="AA42" s="53" t="n">
        <f aca="false">AA40+AA41</f>
        <v>24351.5215981432</v>
      </c>
      <c r="AB42" s="53" t="n">
        <f aca="false">AB40+AB41</f>
        <v>24917.4484242361</v>
      </c>
      <c r="AC42" s="53" t="n">
        <f aca="false">AC40+AC41</f>
        <v>25506.1026321474</v>
      </c>
      <c r="AD42" s="53" t="n">
        <f aca="false">AD40+AD41</f>
        <v>26119.8672249235</v>
      </c>
      <c r="AE42" s="53" t="n">
        <f aca="false">AE40+AE41</f>
        <v>26761.1688081147</v>
      </c>
      <c r="AF42" s="53" t="n">
        <f aca="false">AF40+AF41</f>
        <v>27432.4905698882</v>
      </c>
      <c r="AG42" s="53" t="n">
        <f aca="false">AG40+AG41</f>
        <v>28136.3846015495</v>
      </c>
      <c r="AH42" s="53" t="n">
        <f aca="false">AH40+AH41</f>
        <v>28875.4837725224</v>
      </c>
      <c r="AI42" s="53" t="n">
        <f aca="false">AI40+AI41</f>
        <v>29652.5133257824</v>
      </c>
      <c r="AJ42" s="53" t="n">
        <f aca="false">AJ40+AJ41</f>
        <v>30485.5816451586</v>
      </c>
      <c r="AK42" s="53" t="n">
        <f aca="false">AK40+AK41</f>
        <v>31413.8673364691</v>
      </c>
      <c r="AL42" s="53" t="n">
        <f aca="false">AL40+AL41</f>
        <v>32413.5419185379</v>
      </c>
      <c r="AM42" s="53" t="n">
        <f aca="false">SUM(C42:AL42)</f>
        <v>741074.164211276</v>
      </c>
    </row>
    <row r="43" customFormat="false" ht="15" hidden="false" customHeight="false" outlineLevel="0" collapsed="false">
      <c r="A43" s="10" t="s">
        <v>759</v>
      </c>
      <c r="B43" s="9" t="s">
        <v>95</v>
      </c>
      <c r="C43" s="70" t="n">
        <f aca="false">-C40*Assumptions!$D$55</f>
        <v>-0</v>
      </c>
      <c r="D43" s="70" t="n">
        <f aca="false">-D40*Assumptions!$D$55</f>
        <v>-0</v>
      </c>
      <c r="E43" s="70" t="n">
        <f aca="false">-E40*Assumptions!$D$55</f>
        <v>-4083.86812116326</v>
      </c>
      <c r="F43" s="70" t="n">
        <f aca="false">-F40*Assumptions!$D$55</f>
        <v>-3879.22176113073</v>
      </c>
      <c r="G43" s="70" t="n">
        <f aca="false">-G40*Assumptions!$D$55</f>
        <v>-4145.4704822151</v>
      </c>
      <c r="H43" s="70" t="n">
        <f aca="false">-H40*Assumptions!$D$55</f>
        <v>-4422.63543919201</v>
      </c>
      <c r="I43" s="70" t="n">
        <f aca="false">-I40*Assumptions!$D$55</f>
        <v>-4665.82696975304</v>
      </c>
      <c r="J43" s="70" t="n">
        <f aca="false">-J40*Assumptions!$D$55</f>
        <v>-4884.19444827268</v>
      </c>
      <c r="K43" s="70" t="n">
        <f aca="false">-K40*Assumptions!$D$55</f>
        <v>-5083.52555004113</v>
      </c>
      <c r="L43" s="70" t="n">
        <f aca="false">-L40*Assumptions!$D$55</f>
        <v>-5268.16369750952</v>
      </c>
      <c r="M43" s="70" t="n">
        <f aca="false">-M40*Assumptions!$D$55</f>
        <v>-5441.46059634312</v>
      </c>
      <c r="N43" s="70" t="n">
        <f aca="false">-N40*Assumptions!$D$55</f>
        <v>-5606.05966766894</v>
      </c>
      <c r="O43" s="70" t="n">
        <f aca="false">-O40*Assumptions!$D$55</f>
        <v>-5764.09094038923</v>
      </c>
      <c r="P43" s="70" t="n">
        <f aca="false">-P40*Assumptions!$D$55</f>
        <v>-5917.30860397278</v>
      </c>
      <c r="Q43" s="70" t="n">
        <f aca="false">-Q40*Assumptions!$D$55</f>
        <v>-6067.18962508385</v>
      </c>
      <c r="R43" s="70" t="n">
        <f aca="false">-R40*Assumptions!$D$55</f>
        <v>-6215.00528546814</v>
      </c>
      <c r="S43" s="70" t="n">
        <f aca="false">-S40*Assumptions!$D$55</f>
        <v>-6361.8736123554</v>
      </c>
      <c r="T43" s="70" t="n">
        <f aca="false">-T40*Assumptions!$D$55</f>
        <v>-6508.79819773095</v>
      </c>
      <c r="U43" s="70" t="n">
        <f aca="false">-U40*Assumptions!$D$55</f>
        <v>-6656.69725723618</v>
      </c>
      <c r="V43" s="70" t="n">
        <f aca="false">-V40*Assumptions!$D$55</f>
        <v>-6806.4256550081</v>
      </c>
      <c r="W43" s="70" t="n">
        <f aca="false">-W40*Assumptions!$D$55</f>
        <v>-6958.79183881505</v>
      </c>
      <c r="X43" s="70" t="n">
        <f aca="false">-X40*Assumptions!$D$55</f>
        <v>-7114.57107976088</v>
      </c>
      <c r="Y43" s="70" t="n">
        <f aca="false">-Y40*Assumptions!$D$55</f>
        <v>-7274.5160208378</v>
      </c>
      <c r="Z43" s="70" t="n">
        <f aca="false">-Z40*Assumptions!$D$55</f>
        <v>-7439.36526061544</v>
      </c>
      <c r="AA43" s="70" t="n">
        <f aca="false">-AA40*Assumptions!$D$55</f>
        <v>-7609.85049941975</v>
      </c>
      <c r="AB43" s="70" t="n">
        <f aca="false">-AB40*Assumptions!$D$55</f>
        <v>-7786.70263257377</v>
      </c>
      <c r="AC43" s="70" t="n">
        <f aca="false">-AC40*Assumptions!$D$55</f>
        <v>-7970.65707254606</v>
      </c>
      <c r="AD43" s="70" t="n">
        <f aca="false">-AD40*Assumptions!$D$55</f>
        <v>-8162.4585077886</v>
      </c>
      <c r="AE43" s="70" t="n">
        <f aca="false">-AE40*Assumptions!$D$55</f>
        <v>-8362.86525253585</v>
      </c>
      <c r="AF43" s="70" t="n">
        <f aca="false">-AF40*Assumptions!$D$55</f>
        <v>-8572.65330309005</v>
      </c>
      <c r="AG43" s="70" t="n">
        <f aca="false">-AG40*Assumptions!$D$55</f>
        <v>-8792.62018798421</v>
      </c>
      <c r="AH43" s="70" t="n">
        <f aca="false">-AH40*Assumptions!$D$55</f>
        <v>-9023.58867891325</v>
      </c>
      <c r="AI43" s="70" t="n">
        <f aca="false">-AI40*Assumptions!$D$55</f>
        <v>-9266.41041430699</v>
      </c>
      <c r="AJ43" s="70" t="n">
        <f aca="false">-AJ40*Assumptions!$D$55</f>
        <v>-9526.74426411205</v>
      </c>
      <c r="AK43" s="70" t="n">
        <f aca="false">-AK40*Assumptions!$D$55</f>
        <v>-9816.83354264658</v>
      </c>
      <c r="AL43" s="70" t="n">
        <f aca="false">-AL40*Assumptions!$D$55</f>
        <v>-10129.2318495431</v>
      </c>
      <c r="AM43" s="70" t="n">
        <f aca="false">SUM(C43:AL43)</f>
        <v>-231585.676316024</v>
      </c>
    </row>
    <row r="44" customFormat="false" ht="15" hidden="false" customHeight="false" outlineLevel="0" collapsed="false">
      <c r="A44" s="10" t="s">
        <v>760</v>
      </c>
      <c r="B44" s="9" t="s">
        <v>95</v>
      </c>
      <c r="C44" s="70" t="n">
        <f aca="false">-C39*Assumptions!$D$56</f>
        <v>-0</v>
      </c>
      <c r="D44" s="70" t="n">
        <f aca="false">-D39*Assumptions!$D$56</f>
        <v>-0</v>
      </c>
      <c r="E44" s="70" t="n">
        <f aca="false">-E39*Assumptions!$D$56</f>
        <v>-1701.61171715136</v>
      </c>
      <c r="F44" s="70" t="n">
        <f aca="false">-F39*Assumptions!$D$56</f>
        <v>-1616.34240047114</v>
      </c>
      <c r="G44" s="70" t="n">
        <f aca="false">-G39*Assumptions!$D$56</f>
        <v>-1727.27936758963</v>
      </c>
      <c r="H44" s="70" t="n">
        <f aca="false">-H39*Assumptions!$D$56</f>
        <v>-1842.76476633</v>
      </c>
      <c r="I44" s="70" t="n">
        <f aca="false">-I39*Assumptions!$D$56</f>
        <v>-1944.09457073044</v>
      </c>
      <c r="J44" s="70" t="n">
        <f aca="false">-J39*Assumptions!$D$56</f>
        <v>-2035.08102011362</v>
      </c>
      <c r="K44" s="70" t="n">
        <f aca="false">-K39*Assumptions!$D$56</f>
        <v>-2118.13564585047</v>
      </c>
      <c r="L44" s="70" t="n">
        <f aca="false">-L39*Assumptions!$D$56</f>
        <v>-2195.06820729563</v>
      </c>
      <c r="M44" s="70" t="n">
        <f aca="false">-M39*Assumptions!$D$56</f>
        <v>-2267.2752484763</v>
      </c>
      <c r="N44" s="70" t="n">
        <f aca="false">-N39*Assumptions!$D$56</f>
        <v>-2335.85819486206</v>
      </c>
      <c r="O44" s="70" t="n">
        <f aca="false">-O39*Assumptions!$D$56</f>
        <v>-2401.70455849551</v>
      </c>
      <c r="P44" s="70" t="n">
        <f aca="false">-P39*Assumptions!$D$56</f>
        <v>-2465.54525165533</v>
      </c>
      <c r="Q44" s="70" t="n">
        <f aca="false">-Q39*Assumptions!$D$56</f>
        <v>-2527.99567711827</v>
      </c>
      <c r="R44" s="70" t="n">
        <f aca="false">-R39*Assumptions!$D$56</f>
        <v>-2589.58553561173</v>
      </c>
      <c r="S44" s="70" t="n">
        <f aca="false">-S39*Assumptions!$D$56</f>
        <v>-2650.78067181475</v>
      </c>
      <c r="T44" s="70" t="n">
        <f aca="false">-T39*Assumptions!$D$56</f>
        <v>-2711.99924905456</v>
      </c>
      <c r="U44" s="70" t="n">
        <f aca="false">-U39*Assumptions!$D$56</f>
        <v>-2773.62385718174</v>
      </c>
      <c r="V44" s="70" t="n">
        <f aca="false">-V39*Assumptions!$D$56</f>
        <v>-2836.01068958671</v>
      </c>
      <c r="W44" s="70" t="n">
        <f aca="false">-W39*Assumptions!$D$56</f>
        <v>-2899.49659950627</v>
      </c>
      <c r="X44" s="70" t="n">
        <f aca="false">-X39*Assumptions!$D$56</f>
        <v>-2964.40461656703</v>
      </c>
      <c r="Y44" s="70" t="n">
        <f aca="false">-Y39*Assumptions!$D$56</f>
        <v>-3031.04834201575</v>
      </c>
      <c r="Z44" s="70" t="n">
        <f aca="false">-Z39*Assumptions!$D$56</f>
        <v>-3099.73552525643</v>
      </c>
      <c r="AA44" s="70" t="n">
        <f aca="false">-AA39*Assumptions!$D$56</f>
        <v>-3170.7710414249</v>
      </c>
      <c r="AB44" s="70" t="n">
        <f aca="false">-AB39*Assumptions!$D$56</f>
        <v>-3244.45943023907</v>
      </c>
      <c r="AC44" s="70" t="n">
        <f aca="false">-AC39*Assumptions!$D$56</f>
        <v>-3321.10711356086</v>
      </c>
      <c r="AD44" s="70" t="n">
        <f aca="false">-AD39*Assumptions!$D$56</f>
        <v>-3401.02437824525</v>
      </c>
      <c r="AE44" s="70" t="n">
        <f aca="false">-AE39*Assumptions!$D$56</f>
        <v>-3484.52718855661</v>
      </c>
      <c r="AF44" s="70" t="n">
        <f aca="false">-AF39*Assumptions!$D$56</f>
        <v>-3571.93887628752</v>
      </c>
      <c r="AG44" s="70" t="n">
        <f aca="false">-AG39*Assumptions!$D$56</f>
        <v>-3663.59174499342</v>
      </c>
      <c r="AH44" s="70" t="n">
        <f aca="false">-AH39*Assumptions!$D$56</f>
        <v>-3759.82861621386</v>
      </c>
      <c r="AI44" s="70" t="n">
        <f aca="false">-AI39*Assumptions!$D$56</f>
        <v>-3861.00433929458</v>
      </c>
      <c r="AJ44" s="70" t="n">
        <f aca="false">-AJ39*Assumptions!$D$56</f>
        <v>-3969.47677671335</v>
      </c>
      <c r="AK44" s="70" t="n">
        <f aca="false">-AK39*Assumptions!$D$56</f>
        <v>-4090.34730943608</v>
      </c>
      <c r="AL44" s="70" t="n">
        <f aca="false">-AL39*Assumptions!$D$56</f>
        <v>-4220.51327064295</v>
      </c>
      <c r="AM44" s="70" t="n">
        <f aca="false">SUM(C44:AL44)</f>
        <v>-96494.0317983432</v>
      </c>
    </row>
    <row r="45" customFormat="false" ht="15" hidden="false" customHeight="false" outlineLevel="0" collapsed="false">
      <c r="A45" s="10" t="s">
        <v>761</v>
      </c>
      <c r="B45" s="9" t="s">
        <v>95</v>
      </c>
      <c r="C45" s="70" t="n">
        <f aca="false">-C42*Assumptions!$D$79</f>
        <v>-0</v>
      </c>
      <c r="D45" s="70" t="n">
        <f aca="false">-D42*Assumptions!$D$79</f>
        <v>-0</v>
      </c>
      <c r="E45" s="70" t="n">
        <f aca="false">-E42*Assumptions!$D$79</f>
        <v>-418.188095607118</v>
      </c>
      <c r="F45" s="70" t="n">
        <f aca="false">-F42*Assumptions!$D$79</f>
        <v>-397.232308339787</v>
      </c>
      <c r="G45" s="70" t="n">
        <f aca="false">-G42*Assumptions!$D$79</f>
        <v>-424.496177378826</v>
      </c>
      <c r="H45" s="70" t="n">
        <f aca="false">-H42*Assumptions!$D$79</f>
        <v>-452.877868973261</v>
      </c>
      <c r="I45" s="70" t="n">
        <f aca="false">-I42*Assumptions!$D$79</f>
        <v>-477.780681702712</v>
      </c>
      <c r="J45" s="70" t="n">
        <f aca="false">-J42*Assumptions!$D$79</f>
        <v>-500.141511503122</v>
      </c>
      <c r="K45" s="70" t="n">
        <f aca="false">-K42*Assumptions!$D$79</f>
        <v>-520.553016324212</v>
      </c>
      <c r="L45" s="70" t="n">
        <f aca="false">-L42*Assumptions!$D$79</f>
        <v>-539.459962624975</v>
      </c>
      <c r="M45" s="70" t="n">
        <f aca="false">-M42*Assumptions!$D$79</f>
        <v>-557.205565065536</v>
      </c>
      <c r="N45" s="70" t="n">
        <f aca="false">-N42*Assumptions!$D$79</f>
        <v>-574.060509969299</v>
      </c>
      <c r="O45" s="70" t="n">
        <f aca="false">-O42*Assumptions!$D$79</f>
        <v>-590.242912295857</v>
      </c>
      <c r="P45" s="70" t="n">
        <f aca="false">-P42*Assumptions!$D$79</f>
        <v>-605.932401046813</v>
      </c>
      <c r="Q45" s="70" t="n">
        <f aca="false">-Q42*Assumptions!$D$79</f>
        <v>-621.280217608587</v>
      </c>
      <c r="R45" s="70" t="n">
        <f aca="false">-R42*Assumptions!$D$79</f>
        <v>-636.416541231938</v>
      </c>
      <c r="S45" s="70" t="n">
        <f aca="false">-S42*Assumptions!$D$79</f>
        <v>-651.455857905193</v>
      </c>
      <c r="T45" s="70" t="n">
        <f aca="false">-T42*Assumptions!$D$79</f>
        <v>-666.50093544765</v>
      </c>
      <c r="U45" s="70" t="n">
        <f aca="false">-U42*Assumptions!$D$79</f>
        <v>-681.645799140985</v>
      </c>
      <c r="V45" s="70" t="n">
        <f aca="false">-V42*Assumptions!$D$79</f>
        <v>-696.977987072829</v>
      </c>
      <c r="W45" s="70" t="n">
        <f aca="false">-W42*Assumptions!$D$79</f>
        <v>-712.580284294661</v>
      </c>
      <c r="X45" s="70" t="n">
        <f aca="false">-X42*Assumptions!$D$79</f>
        <v>-728.532078567514</v>
      </c>
      <c r="Y45" s="70" t="n">
        <f aca="false">-Y42*Assumptions!$D$79</f>
        <v>-744.910440533791</v>
      </c>
      <c r="Z45" s="70" t="n">
        <f aca="false">-Z42*Assumptions!$D$79</f>
        <v>-761.791002687021</v>
      </c>
      <c r="AA45" s="70" t="n">
        <f aca="false">-AA42*Assumptions!$D$79</f>
        <v>-779.248691140583</v>
      </c>
      <c r="AB45" s="70" t="n">
        <f aca="false">-AB42*Assumptions!$D$79</f>
        <v>-797.358349575554</v>
      </c>
      <c r="AC45" s="70" t="n">
        <f aca="false">-AC42*Assumptions!$D$79</f>
        <v>-816.195284228717</v>
      </c>
      <c r="AD45" s="70" t="n">
        <f aca="false">-AD42*Assumptions!$D$79</f>
        <v>-835.835751197553</v>
      </c>
      <c r="AE45" s="70" t="n">
        <f aca="false">-AE42*Assumptions!$D$79</f>
        <v>-856.357401859671</v>
      </c>
      <c r="AF45" s="70" t="n">
        <f aca="false">-AF42*Assumptions!$D$79</f>
        <v>-877.839698236421</v>
      </c>
      <c r="AG45" s="70" t="n">
        <f aca="false">-AG42*Assumptions!$D$79</f>
        <v>-900.364307249583</v>
      </c>
      <c r="AH45" s="70" t="n">
        <f aca="false">-AH42*Assumptions!$D$79</f>
        <v>-924.015480720717</v>
      </c>
      <c r="AI45" s="70" t="n">
        <f aca="false">-AI42*Assumptions!$D$79</f>
        <v>-948.880426425036</v>
      </c>
      <c r="AJ45" s="70" t="n">
        <f aca="false">-AJ42*Assumptions!$D$79</f>
        <v>-975.538612645074</v>
      </c>
      <c r="AK45" s="70" t="n">
        <f aca="false">-AK42*Assumptions!$D$79</f>
        <v>-1005.24375476701</v>
      </c>
      <c r="AL45" s="70" t="n">
        <f aca="false">-AL42*Assumptions!$D$79</f>
        <v>-1037.23334139321</v>
      </c>
      <c r="AM45" s="70" t="n">
        <f aca="false">SUM(C45:AL45)</f>
        <v>-23714.3732547608</v>
      </c>
    </row>
    <row r="46" customFormat="false" ht="15" hidden="false" customHeight="false" outlineLevel="0" collapsed="false">
      <c r="A46" s="38" t="s">
        <v>762</v>
      </c>
      <c r="B46" s="9" t="s">
        <v>95</v>
      </c>
      <c r="C46" s="53" t="n">
        <f aca="false">C42+C43+C44+C45</f>
        <v>0</v>
      </c>
      <c r="D46" s="53" t="n">
        <f aca="false">D42+D43+D44+D45</f>
        <v>0</v>
      </c>
      <c r="E46" s="53" t="n">
        <f aca="false">E42+E43+E44+E45</f>
        <v>6864.7100538007</v>
      </c>
      <c r="F46" s="53" t="n">
        <f aca="false">F42+F43+F44+F45</f>
        <v>6520.71316567668</v>
      </c>
      <c r="G46" s="53" t="n">
        <f aca="false">G42+G43+G44+G45</f>
        <v>6968.25951590477</v>
      </c>
      <c r="H46" s="53" t="n">
        <f aca="false">H42+H43+H44+H45</f>
        <v>7434.15533091915</v>
      </c>
      <c r="I46" s="53" t="n">
        <f aca="false">I42+I43+I44+I45</f>
        <v>7842.94408102355</v>
      </c>
      <c r="J46" s="53" t="n">
        <f aca="false">J42+J43+J44+J45</f>
        <v>8210.00525458315</v>
      </c>
      <c r="K46" s="53" t="n">
        <f aca="false">K42+K43+K44+K45</f>
        <v>8545.06754791581</v>
      </c>
      <c r="L46" s="53" t="n">
        <f aca="false">L42+L43+L44+L45</f>
        <v>8855.43196460034</v>
      </c>
      <c r="M46" s="53" t="n">
        <f aca="false">M42+M43+M44+M45</f>
        <v>9146.73249841303</v>
      </c>
      <c r="N46" s="53" t="n">
        <f aca="false">N42+N43+N44+N45</f>
        <v>9423.41256404031</v>
      </c>
      <c r="O46" s="53" t="n">
        <f aca="false">O42+O43+O44+O45</f>
        <v>9689.05259806493</v>
      </c>
      <c r="P46" s="53" t="n">
        <f aca="false">P42+P43+P44+P45</f>
        <v>9946.60127603798</v>
      </c>
      <c r="Q46" s="53" t="n">
        <f aca="false">Q42+Q43+Q44+Q45</f>
        <v>10198.5412804576</v>
      </c>
      <c r="R46" s="53" t="n">
        <f aca="false">R42+R43+R44+R45</f>
        <v>10447.0095511863</v>
      </c>
      <c r="S46" s="53" t="n">
        <f aca="false">S42+S43+S44+S45</f>
        <v>10693.8854174619</v>
      </c>
      <c r="T46" s="53" t="n">
        <f aca="false">T42+T43+T44+T45</f>
        <v>10940.8558505059</v>
      </c>
      <c r="U46" s="53" t="n">
        <f aca="false">U42+U43+U44+U45</f>
        <v>11189.4643095969</v>
      </c>
      <c r="V46" s="53" t="n">
        <f aca="false">V42+V43+V44+V45</f>
        <v>11441.1477643583</v>
      </c>
      <c r="W46" s="53" t="n">
        <f aca="false">W42+W43+W44+W45</f>
        <v>11697.2651615922</v>
      </c>
      <c r="X46" s="53" t="n">
        <f aca="false">X42+X43+X44+X45</f>
        <v>11959.1196803394</v>
      </c>
      <c r="Y46" s="53" t="n">
        <f aca="false">Y42+Y43+Y44+Y45</f>
        <v>12227.9764632936</v>
      </c>
      <c r="Z46" s="53" t="n">
        <f aca="false">Z42+Z43+Z44+Z45</f>
        <v>12505.0770454105</v>
      </c>
      <c r="AA46" s="53" t="n">
        <f aca="false">AA42+AA43+AA44+AA45</f>
        <v>12791.651366158</v>
      </c>
      <c r="AB46" s="53" t="n">
        <f aca="false">AB42+AB43+AB44+AB45</f>
        <v>13088.9280118477</v>
      </c>
      <c r="AC46" s="53" t="n">
        <f aca="false">AC42+AC43+AC44+AC45</f>
        <v>13398.1431618118</v>
      </c>
      <c r="AD46" s="53" t="n">
        <f aca="false">AD42+AD43+AD44+AD45</f>
        <v>13720.5485876921</v>
      </c>
      <c r="AE46" s="53" t="n">
        <f aca="false">AE42+AE43+AE44+AE45</f>
        <v>14057.4189651626</v>
      </c>
      <c r="AF46" s="53" t="n">
        <f aca="false">AF42+AF43+AF44+AF45</f>
        <v>14410.0586922742</v>
      </c>
      <c r="AG46" s="53" t="n">
        <f aca="false">AG42+AG43+AG44+AG45</f>
        <v>14779.8083613223</v>
      </c>
      <c r="AH46" s="53" t="n">
        <f aca="false">AH42+AH43+AH44+AH45</f>
        <v>15168.0509966746</v>
      </c>
      <c r="AI46" s="53" t="n">
        <f aca="false">AI42+AI43+AI44+AI45</f>
        <v>15576.2181457558</v>
      </c>
      <c r="AJ46" s="53" t="n">
        <f aca="false">AJ42+AJ43+AJ44+AJ45</f>
        <v>16013.8219916881</v>
      </c>
      <c r="AK46" s="53" t="n">
        <f aca="false">AK42+AK43+AK44+AK45</f>
        <v>16501.4427296194</v>
      </c>
      <c r="AL46" s="53" t="n">
        <f aca="false">AL42+AL43+AL44+AL45</f>
        <v>17026.5634569586</v>
      </c>
      <c r="AM46" s="53" t="n">
        <f aca="false">SUM(C46:AL46)</f>
        <v>389280.082842148</v>
      </c>
    </row>
    <row r="47" customFormat="false" ht="15" hidden="false" customHeight="false" outlineLevel="0" collapsed="false">
      <c r="A47" s="10" t="s">
        <v>763</v>
      </c>
      <c r="B47" s="9" t="s">
        <v>59</v>
      </c>
      <c r="C47" s="62" t="n">
        <f aca="false">IFERROR(C46/C42,0)</f>
        <v>0</v>
      </c>
      <c r="D47" s="62" t="n">
        <f aca="false">IFERROR(D46/D42,0)</f>
        <v>0</v>
      </c>
      <c r="E47" s="62" t="n">
        <f aca="false">IFERROR(E46/E42,0)</f>
        <v>0.525291666666667</v>
      </c>
      <c r="F47" s="62" t="n">
        <f aca="false">IFERROR(F46/F42,0)</f>
        <v>0.525291666666667</v>
      </c>
      <c r="G47" s="62" t="n">
        <f aca="false">IFERROR(G46/G42,0)</f>
        <v>0.525291666666667</v>
      </c>
      <c r="H47" s="62" t="n">
        <f aca="false">IFERROR(H46/H42,0)</f>
        <v>0.525291666666667</v>
      </c>
      <c r="I47" s="62" t="n">
        <f aca="false">IFERROR(I46/I42,0)</f>
        <v>0.525291666666667</v>
      </c>
      <c r="J47" s="62" t="n">
        <f aca="false">IFERROR(J46/J42,0)</f>
        <v>0.525291666666667</v>
      </c>
      <c r="K47" s="62" t="n">
        <f aca="false">IFERROR(K46/K42,0)</f>
        <v>0.525291666666667</v>
      </c>
      <c r="L47" s="62" t="n">
        <f aca="false">IFERROR(L46/L42,0)</f>
        <v>0.525291666666667</v>
      </c>
      <c r="M47" s="62" t="n">
        <f aca="false">IFERROR(M46/M42,0)</f>
        <v>0.525291666666667</v>
      </c>
      <c r="N47" s="62" t="n">
        <f aca="false">IFERROR(N46/N42,0)</f>
        <v>0.525291666666667</v>
      </c>
      <c r="O47" s="62" t="n">
        <f aca="false">IFERROR(O46/O42,0)</f>
        <v>0.525291666666667</v>
      </c>
      <c r="P47" s="62" t="n">
        <f aca="false">IFERROR(P46/P42,0)</f>
        <v>0.525291666666667</v>
      </c>
      <c r="Q47" s="62" t="n">
        <f aca="false">IFERROR(Q46/Q42,0)</f>
        <v>0.525291666666667</v>
      </c>
      <c r="R47" s="62" t="n">
        <f aca="false">IFERROR(R46/R42,0)</f>
        <v>0.525291666666667</v>
      </c>
      <c r="S47" s="62" t="n">
        <f aca="false">IFERROR(S46/S42,0)</f>
        <v>0.525291666666667</v>
      </c>
      <c r="T47" s="62" t="n">
        <f aca="false">IFERROR(T46/T42,0)</f>
        <v>0.525291666666667</v>
      </c>
      <c r="U47" s="62" t="n">
        <f aca="false">IFERROR(U46/U42,0)</f>
        <v>0.525291666666667</v>
      </c>
      <c r="V47" s="62" t="n">
        <f aca="false">IFERROR(V46/V42,0)</f>
        <v>0.525291666666667</v>
      </c>
      <c r="W47" s="62" t="n">
        <f aca="false">IFERROR(W46/W42,0)</f>
        <v>0.525291666666667</v>
      </c>
      <c r="X47" s="62" t="n">
        <f aca="false">IFERROR(X46/X42,0)</f>
        <v>0.525291666666667</v>
      </c>
      <c r="Y47" s="62" t="n">
        <f aca="false">IFERROR(Y46/Y42,0)</f>
        <v>0.525291666666667</v>
      </c>
      <c r="Z47" s="62" t="n">
        <f aca="false">IFERROR(Z46/Z42,0)</f>
        <v>0.525291666666667</v>
      </c>
      <c r="AA47" s="62" t="n">
        <f aca="false">IFERROR(AA46/AA42,0)</f>
        <v>0.525291666666667</v>
      </c>
      <c r="AB47" s="62" t="n">
        <f aca="false">IFERROR(AB46/AB42,0)</f>
        <v>0.525291666666667</v>
      </c>
      <c r="AC47" s="62" t="n">
        <f aca="false">IFERROR(AC46/AC42,0)</f>
        <v>0.525291666666667</v>
      </c>
      <c r="AD47" s="62" t="n">
        <f aca="false">IFERROR(AD46/AD42,0)</f>
        <v>0.525291666666667</v>
      </c>
      <c r="AE47" s="62" t="n">
        <f aca="false">IFERROR(AE46/AE42,0)</f>
        <v>0.525291666666667</v>
      </c>
      <c r="AF47" s="62" t="n">
        <f aca="false">IFERROR(AF46/AF42,0)</f>
        <v>0.525291666666667</v>
      </c>
      <c r="AG47" s="62" t="n">
        <f aca="false">IFERROR(AG46/AG42,0)</f>
        <v>0.525291666666667</v>
      </c>
      <c r="AH47" s="62" t="n">
        <f aca="false">IFERROR(AH46/AH42,0)</f>
        <v>0.525291666666667</v>
      </c>
      <c r="AI47" s="62" t="n">
        <f aca="false">IFERROR(AI46/AI42,0)</f>
        <v>0.525291666666667</v>
      </c>
      <c r="AJ47" s="62" t="n">
        <f aca="false">IFERROR(AJ46/AJ42,0)</f>
        <v>0.525291666666667</v>
      </c>
      <c r="AK47" s="62" t="n">
        <f aca="false">IFERROR(AK46/AK42,0)</f>
        <v>0.525291666666667</v>
      </c>
      <c r="AL47" s="62" t="n">
        <f aca="false">IFERROR(AL46/AL42,0)</f>
        <v>0.525291666666667</v>
      </c>
      <c r="AM47" s="62" t="n">
        <f aca="false">AVERAGE(N47:AL47)</f>
        <v>0.525291666666667</v>
      </c>
    </row>
    <row r="48" customFormat="false" ht="15" hidden="false" customHeight="false" outlineLevel="0" collapsed="false">
      <c r="A48" s="10" t="s">
        <v>764</v>
      </c>
      <c r="B48" s="9" t="s">
        <v>59</v>
      </c>
      <c r="C48" s="62" t="n">
        <f aca="false">IF(C9=0,0,MIN(Assumptions!$D$63,Assumptions!$D$61+Assumptions!$D$62*(C$5-Assumptions!$D$7)))</f>
        <v>0</v>
      </c>
      <c r="D48" s="62" t="n">
        <f aca="false">IF(D9=0,0,MIN(Assumptions!$D$63,Assumptions!$D$61+Assumptions!$D$62*(D$5-Assumptions!$D$7)))</f>
        <v>0</v>
      </c>
      <c r="E48" s="62" t="n">
        <f aca="false">IF(E9=0,0,MIN(Assumptions!$D$63,Assumptions!$D$61+Assumptions!$D$62*(E$5-Assumptions!$D$7)))</f>
        <v>0</v>
      </c>
      <c r="F48" s="62" t="n">
        <f aca="false">IF(F9=0,0,MIN(Assumptions!$D$63,Assumptions!$D$61+Assumptions!$D$62*(F$5-Assumptions!$D$7)))</f>
        <v>0</v>
      </c>
      <c r="G48" s="62" t="n">
        <f aca="false">IF(G9=0,0,MIN(Assumptions!$D$63,Assumptions!$D$61+Assumptions!$D$62*(G$5-Assumptions!$D$7)))</f>
        <v>0</v>
      </c>
      <c r="H48" s="62" t="n">
        <f aca="false">IF(H9=0,0,MIN(Assumptions!$D$63,Assumptions!$D$61+Assumptions!$D$62*(H$5-Assumptions!$D$7)))</f>
        <v>0</v>
      </c>
      <c r="I48" s="62" t="n">
        <f aca="false">IF(I9=0,0,MIN(Assumptions!$D$63,Assumptions!$D$61+Assumptions!$D$62*(I$5-Assumptions!$D$7)))</f>
        <v>0</v>
      </c>
      <c r="J48" s="62" t="n">
        <f aca="false">IF(J9=0,0,MIN(Assumptions!$D$63,Assumptions!$D$61+Assumptions!$D$62*(J$5-Assumptions!$D$7)))</f>
        <v>0</v>
      </c>
      <c r="K48" s="62" t="n">
        <f aca="false">IF(K9=0,0,MIN(Assumptions!$D$63,Assumptions!$D$61+Assumptions!$D$62*(K$5-Assumptions!$D$7)))</f>
        <v>0.26</v>
      </c>
      <c r="L48" s="62" t="n">
        <f aca="false">IF(L9=0,0,MIN(Assumptions!$D$63,Assumptions!$D$61+Assumptions!$D$62*(L$5-Assumptions!$D$7)))</f>
        <v>0.275</v>
      </c>
      <c r="M48" s="62" t="n">
        <f aca="false">IF(M9=0,0,MIN(Assumptions!$D$63,Assumptions!$D$61+Assumptions!$D$62*(M$5-Assumptions!$D$7)))</f>
        <v>0.29</v>
      </c>
      <c r="N48" s="62" t="n">
        <f aca="false">IF(N9=0,0,MIN(Assumptions!$D$63,Assumptions!$D$61+Assumptions!$D$62*(N$5-Assumptions!$D$7)))</f>
        <v>0.305</v>
      </c>
      <c r="O48" s="62" t="n">
        <f aca="false">IF(O9=0,0,MIN(Assumptions!$D$63,Assumptions!$D$61+Assumptions!$D$62*(O$5-Assumptions!$D$7)))</f>
        <v>0.32</v>
      </c>
      <c r="P48" s="62" t="n">
        <f aca="false">IF(P9=0,0,MIN(Assumptions!$D$63,Assumptions!$D$61+Assumptions!$D$62*(P$5-Assumptions!$D$7)))</f>
        <v>0.335</v>
      </c>
      <c r="Q48" s="62" t="n">
        <f aca="false">IF(Q9=0,0,MIN(Assumptions!$D$63,Assumptions!$D$61+Assumptions!$D$62*(Q$5-Assumptions!$D$7)))</f>
        <v>0.35</v>
      </c>
      <c r="R48" s="62" t="n">
        <f aca="false">IF(R9=0,0,MIN(Assumptions!$D$63,Assumptions!$D$61+Assumptions!$D$62*(R$5-Assumptions!$D$7)))</f>
        <v>0.365</v>
      </c>
      <c r="S48" s="62" t="n">
        <f aca="false">IF(S9=0,0,MIN(Assumptions!$D$63,Assumptions!$D$61+Assumptions!$D$62*(S$5-Assumptions!$D$7)))</f>
        <v>0.38</v>
      </c>
      <c r="T48" s="62" t="n">
        <f aca="false">IF(T9=0,0,MIN(Assumptions!$D$63,Assumptions!$D$61+Assumptions!$D$62*(T$5-Assumptions!$D$7)))</f>
        <v>0.395</v>
      </c>
      <c r="U48" s="62" t="n">
        <f aca="false">IF(U9=0,0,MIN(Assumptions!$D$63,Assumptions!$D$61+Assumptions!$D$62*(U$5-Assumptions!$D$7)))</f>
        <v>0.41</v>
      </c>
      <c r="V48" s="62" t="n">
        <f aca="false">IF(V9=0,0,MIN(Assumptions!$D$63,Assumptions!$D$61+Assumptions!$D$62*(V$5-Assumptions!$D$7)))</f>
        <v>0.425</v>
      </c>
      <c r="W48" s="62" t="n">
        <f aca="false">IF(W9=0,0,MIN(Assumptions!$D$63,Assumptions!$D$61+Assumptions!$D$62*(W$5-Assumptions!$D$7)))</f>
        <v>0.44</v>
      </c>
      <c r="X48" s="62" t="n">
        <f aca="false">IF(X9=0,0,MIN(Assumptions!$D$63,Assumptions!$D$61+Assumptions!$D$62*(X$5-Assumptions!$D$7)))</f>
        <v>0.455</v>
      </c>
      <c r="Y48" s="62" t="n">
        <f aca="false">IF(Y9=0,0,MIN(Assumptions!$D$63,Assumptions!$D$61+Assumptions!$D$62*(Y$5-Assumptions!$D$7)))</f>
        <v>0.47</v>
      </c>
      <c r="Z48" s="62" t="n">
        <f aca="false">IF(Z9=0,0,MIN(Assumptions!$D$63,Assumptions!$D$61+Assumptions!$D$62*(Z$5-Assumptions!$D$7)))</f>
        <v>0.485</v>
      </c>
      <c r="AA48" s="62" t="n">
        <f aca="false">IF(AA9=0,0,MIN(Assumptions!$D$63,Assumptions!$D$61+Assumptions!$D$62*(AA$5-Assumptions!$D$7)))</f>
        <v>0.5</v>
      </c>
      <c r="AB48" s="62" t="n">
        <f aca="false">IF(AB9=0,0,MIN(Assumptions!$D$63,Assumptions!$D$61+Assumptions!$D$62*(AB$5-Assumptions!$D$7)))</f>
        <v>0.515</v>
      </c>
      <c r="AC48" s="62" t="n">
        <f aca="false">IF(AC9=0,0,MIN(Assumptions!$D$63,Assumptions!$D$61+Assumptions!$D$62*(AC$5-Assumptions!$D$7)))</f>
        <v>0.53</v>
      </c>
      <c r="AD48" s="62" t="n">
        <f aca="false">IF(AD9=0,0,MIN(Assumptions!$D$63,Assumptions!$D$61+Assumptions!$D$62*(AD$5-Assumptions!$D$7)))</f>
        <v>0.545</v>
      </c>
      <c r="AE48" s="62" t="n">
        <f aca="false">IF(AE9=0,0,MIN(Assumptions!$D$63,Assumptions!$D$61+Assumptions!$D$62*(AE$5-Assumptions!$D$7)))</f>
        <v>0.56</v>
      </c>
      <c r="AF48" s="62" t="n">
        <f aca="false">IF(AF9=0,0,MIN(Assumptions!$D$63,Assumptions!$D$61+Assumptions!$D$62*(AF$5-Assumptions!$D$7)))</f>
        <v>0.575</v>
      </c>
      <c r="AG48" s="62" t="n">
        <f aca="false">IF(AG9=0,0,MIN(Assumptions!$D$63,Assumptions!$D$61+Assumptions!$D$62*(AG$5-Assumptions!$D$7)))</f>
        <v>0.59</v>
      </c>
      <c r="AH48" s="62" t="n">
        <f aca="false">IF(AH9=0,0,MIN(Assumptions!$D$63,Assumptions!$D$61+Assumptions!$D$62*(AH$5-Assumptions!$D$7)))</f>
        <v>0.605</v>
      </c>
      <c r="AI48" s="62" t="n">
        <f aca="false">IF(AI9=0,0,MIN(Assumptions!$D$63,Assumptions!$D$61+Assumptions!$D$62*(AI$5-Assumptions!$D$7)))</f>
        <v>0.62</v>
      </c>
      <c r="AJ48" s="62" t="n">
        <f aca="false">IF(AJ9=0,0,MIN(Assumptions!$D$63,Assumptions!$D$61+Assumptions!$D$62*(AJ$5-Assumptions!$D$7)))</f>
        <v>0.635</v>
      </c>
      <c r="AK48" s="62" t="n">
        <f aca="false">IF(AK9=0,0,MIN(Assumptions!$D$63,Assumptions!$D$61+Assumptions!$D$62*(AK$5-Assumptions!$D$7)))</f>
        <v>0.65</v>
      </c>
      <c r="AL48" s="62" t="n">
        <f aca="false">IF(AL9=0,0,MIN(Assumptions!$D$63,Assumptions!$D$61+Assumptions!$D$62*(AL$5-Assumptions!$D$7)))</f>
        <v>0.665</v>
      </c>
      <c r="AM48" s="62" t="n">
        <f aca="false">AL48</f>
        <v>0.665</v>
      </c>
    </row>
    <row r="49" customFormat="false" ht="15" hidden="false" customHeight="false" outlineLevel="0" collapsed="false">
      <c r="A49" s="10" t="s">
        <v>765</v>
      </c>
      <c r="B49" s="9" t="s">
        <v>82</v>
      </c>
      <c r="C49" s="61" t="n">
        <f aca="false">C15+C19+C23+(C13+C25)*Assumptions!$D$45</f>
        <v>2179.42820041171</v>
      </c>
      <c r="D49" s="61" t="n">
        <f aca="false">D15+D19+D23+(D13+D25)*Assumptions!$D$45</f>
        <v>2251.42820041171</v>
      </c>
      <c r="E49" s="61" t="n">
        <f aca="false">E15+E19+E23+(E13+E25)*Assumptions!$D$45</f>
        <v>12909.2381353064</v>
      </c>
      <c r="F49" s="61" t="n">
        <f aca="false">F15+F19+F23+(F13+F25)*Assumptions!$D$45</f>
        <v>9314.57305144882</v>
      </c>
      <c r="G49" s="61" t="n">
        <f aca="false">G15+G19+G23+(G13+G25)*Assumptions!$D$45</f>
        <v>8174.59746155368</v>
      </c>
      <c r="H49" s="61" t="n">
        <f aca="false">H15+H19+H23+(H13+H25)*Assumptions!$D$45</f>
        <v>7560.10030944132</v>
      </c>
      <c r="I49" s="61" t="n">
        <f aca="false">I15+I19+I23+(I13+I25)*Assumptions!$D$45</f>
        <v>7152.14537590715</v>
      </c>
      <c r="J49" s="61" t="n">
        <f aca="false">J15+J19+J23+(J13+J25)*Assumptions!$D$45</f>
        <v>6892.26202840144</v>
      </c>
      <c r="K49" s="61" t="n">
        <f aca="false">K15+K19+K23+(K13+K25)*Assumptions!$D$45</f>
        <v>6741.94188085202</v>
      </c>
      <c r="L49" s="61" t="n">
        <f aca="false">L15+L19+L23+(L13+L25)*Assumptions!$D$45</f>
        <v>6673.20946427999</v>
      </c>
      <c r="M49" s="61" t="n">
        <f aca="false">M15+M19+M23+(M13+M25)*Assumptions!$D$45</f>
        <v>6665.82692463726</v>
      </c>
      <c r="N49" s="61" t="n">
        <f aca="false">N15+N19+N23+(N13+N25)*Assumptions!$D$45</f>
        <v>6705.2566633658</v>
      </c>
      <c r="O49" s="61" t="n">
        <f aca="false">O15+O19+O23+(O13+O25)*Assumptions!$D$45</f>
        <v>6781.13088962137</v>
      </c>
      <c r="P49" s="61" t="n">
        <f aca="false">P15+P19+P23+(P13+P25)*Assumptions!$D$45</f>
        <v>6886.12015689774</v>
      </c>
      <c r="Q49" s="61" t="n">
        <f aca="false">Q15+Q19+Q23+(Q13+Q25)*Assumptions!$D$45</f>
        <v>7015.105338505</v>
      </c>
      <c r="R49" s="61" t="n">
        <f aca="false">R15+R19+R23+(R13+R25)*Assumptions!$D$45</f>
        <v>7164.57539367033</v>
      </c>
      <c r="S49" s="61" t="n">
        <f aca="false">S15+S19+S23+(S13+S25)*Assumptions!$D$45</f>
        <v>7332.19113503757</v>
      </c>
      <c r="T49" s="61" t="n">
        <f aca="false">T15+T19+T23+(T13+T25)*Assumptions!$D$45</f>
        <v>7516.47018562012</v>
      </c>
      <c r="U49" s="61" t="n">
        <f aca="false">U15+U19+U23+(U13+U25)*Assumptions!$D$45</f>
        <v>7716.56003095733</v>
      </c>
      <c r="V49" s="61" t="n">
        <f aca="false">V15+V19+V23+(V13+V25)*Assumptions!$D$45</f>
        <v>7932.0749385246</v>
      </c>
      <c r="W49" s="61" t="n">
        <f aca="false">W15+W19+W23+(W13+W25)*Assumptions!$D$45</f>
        <v>8162.97910429318</v>
      </c>
      <c r="X49" s="61" t="n">
        <f aca="false">X15+X19+X23+(X13+X25)*Assumptions!$D$45</f>
        <v>8409.50322894668</v>
      </c>
      <c r="Y49" s="61" t="n">
        <f aca="false">Y15+Y19+Y23+(Y13+Y25)*Assumptions!$D$45</f>
        <v>8672.08526218967</v>
      </c>
      <c r="Z49" s="61" t="n">
        <f aca="false">Z15+Z19+Z23+(Z13+Z25)*Assumptions!$D$45</f>
        <v>8951.32862419593</v>
      </c>
      <c r="AA49" s="61" t="n">
        <f aca="false">AA15+AA19+AA23+(AA13+AA25)*Assumptions!$D$45</f>
        <v>9247.97307665663</v>
      </c>
      <c r="AB49" s="61" t="n">
        <f aca="false">AB15+AB19+AB23+(AB13+AB25)*Assumptions!$D$45</f>
        <v>9562.87476399781</v>
      </c>
      <c r="AC49" s="61" t="n">
        <f aca="false">AC15+AC19+AC23+(AC13+AC25)*Assumptions!$D$45</f>
        <v>9896.99291932594</v>
      </c>
      <c r="AD49" s="61" t="n">
        <f aca="false">AD15+AD19+AD23+(AD13+AD25)*Assumptions!$D$45</f>
        <v>10251.3814326999</v>
      </c>
      <c r="AE49" s="61" t="n">
        <f aca="false">AE15+AE19+AE23+(AE13+AE25)*Assumptions!$D$45</f>
        <v>10627.1839864697</v>
      </c>
      <c r="AF49" s="61" t="n">
        <f aca="false">AF15+AF19+AF23+(AF13+AF25)*Assumptions!$D$45</f>
        <v>11025.6318280929</v>
      </c>
      <c r="AG49" s="61" t="n">
        <f aca="false">AG15+AG19+AG23+(AG13+AG25)*Assumptions!$D$45</f>
        <v>11448.0435144254</v>
      </c>
      <c r="AH49" s="61" t="n">
        <f aca="false">AH15+AH19+AH23+(AH13+AH25)*Assumptions!$D$45</f>
        <v>11895.8261514336</v>
      </c>
      <c r="AI49" s="61" t="n">
        <f aca="false">AI15+AI19+AI23+(AI13+AI25)*Assumptions!$D$45</f>
        <v>12370.477790124</v>
      </c>
      <c r="AJ49" s="61" t="n">
        <f aca="false">AJ15+AJ19+AJ23+(AJ13+AJ25)*Assumptions!$D$45</f>
        <v>12885.2936492463</v>
      </c>
      <c r="AK49" s="61" t="n">
        <f aca="false">AK15+AK19+AK23+(AK13+AK25)*Assumptions!$D$45</f>
        <v>13467.5944456114</v>
      </c>
      <c r="AL49" s="61" t="n">
        <f aca="false">AL15+AL19+AL23+(AL13+AL25)*Assumptions!$D$45</f>
        <v>14091.4113201585</v>
      </c>
      <c r="AM49" s="61" t="n">
        <f aca="false">SUM(C49:AL49)</f>
        <v>312530.816862719</v>
      </c>
    </row>
    <row r="50" customFormat="false" ht="15" hidden="false" customHeight="false" outlineLevel="0" collapsed="false">
      <c r="A50" s="10" t="s">
        <v>766</v>
      </c>
      <c r="B50" s="9" t="s">
        <v>49</v>
      </c>
      <c r="C50" s="61" t="n">
        <f aca="false">C49*Assumptions!$D$58*C9</f>
        <v>0</v>
      </c>
      <c r="D50" s="61" t="n">
        <f aca="false">D49*Assumptions!$D$58*D9</f>
        <v>0</v>
      </c>
      <c r="E50" s="61" t="n">
        <f aca="false">E49*Assumptions!$D$58*E9</f>
        <v>0</v>
      </c>
      <c r="F50" s="61" t="n">
        <f aca="false">F49*Assumptions!$D$58*F9</f>
        <v>0</v>
      </c>
      <c r="G50" s="61" t="n">
        <f aca="false">G49*Assumptions!$D$58*G9</f>
        <v>0</v>
      </c>
      <c r="H50" s="61" t="n">
        <f aca="false">H49*Assumptions!$D$58*H9</f>
        <v>0</v>
      </c>
      <c r="I50" s="61" t="n">
        <f aca="false">I49*Assumptions!$D$58*I9</f>
        <v>0</v>
      </c>
      <c r="J50" s="61" t="n">
        <f aca="false">J49*Assumptions!$D$58*J9</f>
        <v>0</v>
      </c>
      <c r="K50" s="61" t="n">
        <f aca="false">K49*Assumptions!$D$58*K9</f>
        <v>80.9033025702243</v>
      </c>
      <c r="L50" s="61" t="n">
        <f aca="false">L49*Assumptions!$D$58*L9</f>
        <v>80.0785135713599</v>
      </c>
      <c r="M50" s="61" t="n">
        <f aca="false">M49*Assumptions!$D$58*M9</f>
        <v>79.9899230956471</v>
      </c>
      <c r="N50" s="61" t="n">
        <f aca="false">N49*Assumptions!$D$58*N9</f>
        <v>80.4630799603896</v>
      </c>
      <c r="O50" s="61" t="n">
        <f aca="false">O49*Assumptions!$D$58*O9</f>
        <v>81.3735706754564</v>
      </c>
      <c r="P50" s="61" t="n">
        <f aca="false">P49*Assumptions!$D$58*P9</f>
        <v>82.6334418827729</v>
      </c>
      <c r="Q50" s="61" t="n">
        <f aca="false">Q49*Assumptions!$D$58*Q9</f>
        <v>84.18126406206</v>
      </c>
      <c r="R50" s="61" t="n">
        <f aca="false">R49*Assumptions!$D$58*R9</f>
        <v>85.974904724044</v>
      </c>
      <c r="S50" s="61" t="n">
        <f aca="false">S49*Assumptions!$D$58*S9</f>
        <v>87.9862936204509</v>
      </c>
      <c r="T50" s="61" t="n">
        <f aca="false">T49*Assumptions!$D$58*T9</f>
        <v>90.1976422274414</v>
      </c>
      <c r="U50" s="61" t="n">
        <f aca="false">U49*Assumptions!$D$58*U9</f>
        <v>92.5987203714879</v>
      </c>
      <c r="V50" s="61" t="n">
        <f aca="false">V49*Assumptions!$D$58*V9</f>
        <v>95.1848992622953</v>
      </c>
      <c r="W50" s="61" t="n">
        <f aca="false">W49*Assumptions!$D$58*W9</f>
        <v>97.9557492515182</v>
      </c>
      <c r="X50" s="61" t="n">
        <f aca="false">X49*Assumptions!$D$58*X9</f>
        <v>100.91403874736</v>
      </c>
      <c r="Y50" s="61" t="n">
        <f aca="false">Y49*Assumptions!$D$58*Y9</f>
        <v>104.065023146276</v>
      </c>
      <c r="Z50" s="61" t="n">
        <f aca="false">Z49*Assumptions!$D$58*Z9</f>
        <v>107.415943490351</v>
      </c>
      <c r="AA50" s="61" t="n">
        <f aca="false">AA49*Assumptions!$D$58*AA9</f>
        <v>110.97567691988</v>
      </c>
      <c r="AB50" s="61" t="n">
        <f aca="false">AB49*Assumptions!$D$58*AB9</f>
        <v>114.754497167974</v>
      </c>
      <c r="AC50" s="61" t="n">
        <f aca="false">AC49*Assumptions!$D$58*AC9</f>
        <v>118.763915031911</v>
      </c>
      <c r="AD50" s="61" t="n">
        <f aca="false">AD49*Assumptions!$D$58*AD9</f>
        <v>123.016577192399</v>
      </c>
      <c r="AE50" s="61" t="n">
        <f aca="false">AE49*Assumptions!$D$58*AE9</f>
        <v>127.526207837636</v>
      </c>
      <c r="AF50" s="61" t="n">
        <f aca="false">AF49*Assumptions!$D$58*AF9</f>
        <v>132.307581937115</v>
      </c>
      <c r="AG50" s="61" t="n">
        <f aca="false">AG49*Assumptions!$D$58*AG9</f>
        <v>137.376522173104</v>
      </c>
      <c r="AH50" s="61" t="n">
        <f aca="false">AH49*Assumptions!$D$58*AH9</f>
        <v>142.749913817203</v>
      </c>
      <c r="AI50" s="61" t="n">
        <f aca="false">AI49*Assumptions!$D$58*AI9</f>
        <v>148.445733481488</v>
      </c>
      <c r="AJ50" s="61" t="n">
        <f aca="false">AJ49*Assumptions!$D$58*AJ9</f>
        <v>154.623523790955</v>
      </c>
      <c r="AK50" s="61" t="n">
        <f aca="false">AK49*Assumptions!$D$58*AK9</f>
        <v>161.611133347337</v>
      </c>
      <c r="AL50" s="61" t="n">
        <f aca="false">AL49*Assumptions!$D$58*AL9</f>
        <v>169.096935841901</v>
      </c>
      <c r="AM50" s="61" t="n">
        <f aca="false">SUM(C50:AL50)</f>
        <v>3073.16452919804</v>
      </c>
    </row>
    <row r="51" customFormat="false" ht="15" hidden="false" customHeight="false" outlineLevel="0" collapsed="false">
      <c r="A51" s="10" t="s">
        <v>767</v>
      </c>
      <c r="B51" s="9" t="s">
        <v>49</v>
      </c>
      <c r="C51" s="61" t="n">
        <f aca="false">C50*Assumptions!$D$59</f>
        <v>0</v>
      </c>
      <c r="D51" s="61" t="n">
        <f aca="false">D50*Assumptions!$D$59</f>
        <v>0</v>
      </c>
      <c r="E51" s="61" t="n">
        <f aca="false">E50*Assumptions!$D$59</f>
        <v>0</v>
      </c>
      <c r="F51" s="61" t="n">
        <f aca="false">F50*Assumptions!$D$59</f>
        <v>0</v>
      </c>
      <c r="G51" s="61" t="n">
        <f aca="false">G50*Assumptions!$D$59</f>
        <v>0</v>
      </c>
      <c r="H51" s="61" t="n">
        <f aca="false">H50*Assumptions!$D$59</f>
        <v>0</v>
      </c>
      <c r="I51" s="61" t="n">
        <f aca="false">I50*Assumptions!$D$59</f>
        <v>0</v>
      </c>
      <c r="J51" s="61" t="n">
        <f aca="false">J50*Assumptions!$D$59</f>
        <v>0</v>
      </c>
      <c r="K51" s="61" t="n">
        <f aca="false">K50*Assumptions!$D$59</f>
        <v>48.5419815421346</v>
      </c>
      <c r="L51" s="61" t="n">
        <f aca="false">L50*Assumptions!$D$59</f>
        <v>48.0471081428159</v>
      </c>
      <c r="M51" s="61" t="n">
        <f aca="false">M50*Assumptions!$D$59</f>
        <v>47.9939538573883</v>
      </c>
      <c r="N51" s="61" t="n">
        <f aca="false">N50*Assumptions!$D$59</f>
        <v>48.2778479762338</v>
      </c>
      <c r="O51" s="61" t="n">
        <f aca="false">O50*Assumptions!$D$59</f>
        <v>48.8241424052738</v>
      </c>
      <c r="P51" s="61" t="n">
        <f aca="false">P50*Assumptions!$D$59</f>
        <v>49.5800651296637</v>
      </c>
      <c r="Q51" s="61" t="n">
        <f aca="false">Q50*Assumptions!$D$59</f>
        <v>50.508758437236</v>
      </c>
      <c r="R51" s="61" t="n">
        <f aca="false">R50*Assumptions!$D$59</f>
        <v>51.5849428344264</v>
      </c>
      <c r="S51" s="61" t="n">
        <f aca="false">S50*Assumptions!$D$59</f>
        <v>52.7917761722705</v>
      </c>
      <c r="T51" s="61" t="n">
        <f aca="false">T50*Assumptions!$D$59</f>
        <v>54.1185853364649</v>
      </c>
      <c r="U51" s="61" t="n">
        <f aca="false">U50*Assumptions!$D$59</f>
        <v>55.5592322228927</v>
      </c>
      <c r="V51" s="61" t="n">
        <f aca="false">V50*Assumptions!$D$59</f>
        <v>57.1109395573771</v>
      </c>
      <c r="W51" s="61" t="n">
        <f aca="false">W50*Assumptions!$D$59</f>
        <v>58.7734495509109</v>
      </c>
      <c r="X51" s="61" t="n">
        <f aca="false">X50*Assumptions!$D$59</f>
        <v>60.5484232484161</v>
      </c>
      <c r="Y51" s="61" t="n">
        <f aca="false">Y50*Assumptions!$D$59</f>
        <v>62.4390138877656</v>
      </c>
      <c r="Z51" s="61" t="n">
        <f aca="false">Z50*Assumptions!$D$59</f>
        <v>64.4495660942107</v>
      </c>
      <c r="AA51" s="61" t="n">
        <f aca="false">AA50*Assumptions!$D$59</f>
        <v>66.5854061519277</v>
      </c>
      <c r="AB51" s="61" t="n">
        <f aca="false">AB50*Assumptions!$D$59</f>
        <v>68.8526983007842</v>
      </c>
      <c r="AC51" s="61" t="n">
        <f aca="false">AC50*Assumptions!$D$59</f>
        <v>71.2583490191468</v>
      </c>
      <c r="AD51" s="61" t="n">
        <f aca="false">AD50*Assumptions!$D$59</f>
        <v>73.8099463154394</v>
      </c>
      <c r="AE51" s="61" t="n">
        <f aca="false">AE50*Assumptions!$D$59</f>
        <v>76.5157247025818</v>
      </c>
      <c r="AF51" s="61" t="n">
        <f aca="false">AF50*Assumptions!$D$59</f>
        <v>79.3845491622688</v>
      </c>
      <c r="AG51" s="61" t="n">
        <f aca="false">AG50*Assumptions!$D$59</f>
        <v>82.4259133038625</v>
      </c>
      <c r="AH51" s="61" t="n">
        <f aca="false">AH50*Assumptions!$D$59</f>
        <v>85.6499482903216</v>
      </c>
      <c r="AI51" s="61" t="n">
        <f aca="false">AI50*Assumptions!$D$59</f>
        <v>89.0674400888928</v>
      </c>
      <c r="AJ51" s="61" t="n">
        <f aca="false">AJ50*Assumptions!$D$59</f>
        <v>92.7741142745733</v>
      </c>
      <c r="AK51" s="61" t="n">
        <f aca="false">AK50*Assumptions!$D$59</f>
        <v>96.9666800084024</v>
      </c>
      <c r="AL51" s="61" t="n">
        <f aca="false">AL50*Assumptions!$D$59</f>
        <v>101.458161505141</v>
      </c>
      <c r="AM51" s="61" t="n">
        <f aca="false">SUM(C51:AL51)</f>
        <v>1843.89871751882</v>
      </c>
    </row>
    <row r="52" customFormat="false" ht="15" hidden="false" customHeight="false" outlineLevel="0" collapsed="false">
      <c r="A52" s="10" t="s">
        <v>768</v>
      </c>
      <c r="B52" s="9" t="s">
        <v>49</v>
      </c>
      <c r="C52" s="61" t="n">
        <f aca="false">C51*Assumptions!$D$60*C48</f>
        <v>0</v>
      </c>
      <c r="D52" s="61" t="n">
        <f aca="false">D51*Assumptions!$D$60*D48</f>
        <v>0</v>
      </c>
      <c r="E52" s="61" t="n">
        <f aca="false">E51*Assumptions!$D$60*E48</f>
        <v>0</v>
      </c>
      <c r="F52" s="61" t="n">
        <f aca="false">F51*Assumptions!$D$60*F48</f>
        <v>0</v>
      </c>
      <c r="G52" s="61" t="n">
        <f aca="false">G51*Assumptions!$D$60*G48</f>
        <v>0</v>
      </c>
      <c r="H52" s="61" t="n">
        <f aca="false">H51*Assumptions!$D$60*H48</f>
        <v>0</v>
      </c>
      <c r="I52" s="61" t="n">
        <f aca="false">I51*Assumptions!$D$60*I48</f>
        <v>0</v>
      </c>
      <c r="J52" s="61" t="n">
        <f aca="false">J51*Assumptions!$D$60*J48</f>
        <v>0</v>
      </c>
      <c r="K52" s="61" t="n">
        <f aca="false">K51*Assumptions!$D$60*K48</f>
        <v>6.3104576004775</v>
      </c>
      <c r="L52" s="61" t="n">
        <f aca="false">L51*Assumptions!$D$60*L48</f>
        <v>6.60647736963719</v>
      </c>
      <c r="M52" s="61" t="n">
        <f aca="false">M51*Assumptions!$D$60*M48</f>
        <v>6.9591233093213</v>
      </c>
      <c r="N52" s="61" t="n">
        <f aca="false">N51*Assumptions!$D$60*N48</f>
        <v>7.36237181637565</v>
      </c>
      <c r="O52" s="61" t="n">
        <f aca="false">O51*Assumptions!$D$60*O48</f>
        <v>7.81186278484381</v>
      </c>
      <c r="P52" s="61" t="n">
        <f aca="false">P51*Assumptions!$D$60*P48</f>
        <v>8.30466090921867</v>
      </c>
      <c r="Q52" s="61" t="n">
        <f aca="false">Q51*Assumptions!$D$60*Q48</f>
        <v>8.8390327265163</v>
      </c>
      <c r="R52" s="61" t="n">
        <f aca="false">R51*Assumptions!$D$60*R48</f>
        <v>9.41425206728282</v>
      </c>
      <c r="S52" s="61" t="n">
        <f aca="false">S51*Assumptions!$D$60*S48</f>
        <v>10.0304374727314</v>
      </c>
      <c r="T52" s="61" t="n">
        <f aca="false">T51*Assumptions!$D$60*T48</f>
        <v>10.6884206039518</v>
      </c>
      <c r="U52" s="61" t="n">
        <f aca="false">U51*Assumptions!$D$60*U48</f>
        <v>11.389642605693</v>
      </c>
      <c r="V52" s="61" t="n">
        <f aca="false">V51*Assumptions!$D$60*V48</f>
        <v>12.1360746559426</v>
      </c>
      <c r="W52" s="61" t="n">
        <f aca="false">W51*Assumptions!$D$60*W48</f>
        <v>12.9301589012004</v>
      </c>
      <c r="X52" s="61" t="n">
        <f aca="false">X51*Assumptions!$D$60*X48</f>
        <v>13.7747662890147</v>
      </c>
      <c r="Y52" s="61" t="n">
        <f aca="false">Y51*Assumptions!$D$60*Y48</f>
        <v>14.6731682636249</v>
      </c>
      <c r="Z52" s="61" t="n">
        <f aca="false">Z51*Assumptions!$D$60*Z48</f>
        <v>15.6290197778461</v>
      </c>
      <c r="AA52" s="61" t="n">
        <f aca="false">AA51*Assumptions!$D$60*AA48</f>
        <v>16.6463515379819</v>
      </c>
      <c r="AB52" s="61" t="n">
        <f aca="false">AB51*Assumptions!$D$60*AB48</f>
        <v>17.7295698124519</v>
      </c>
      <c r="AC52" s="61" t="n">
        <f aca="false">AC51*Assumptions!$D$60*AC48</f>
        <v>18.8834624900739</v>
      </c>
      <c r="AD52" s="61" t="n">
        <f aca="false">AD51*Assumptions!$D$60*AD48</f>
        <v>20.1132103709572</v>
      </c>
      <c r="AE52" s="61" t="n">
        <f aca="false">AE51*Assumptions!$D$60*AE48</f>
        <v>21.4244029167229</v>
      </c>
      <c r="AF52" s="61" t="n">
        <f aca="false">AF51*Assumptions!$D$60*AF48</f>
        <v>22.8230578841523</v>
      </c>
      <c r="AG52" s="61" t="n">
        <f aca="false">AG51*Assumptions!$D$60*AG48</f>
        <v>24.3156444246394</v>
      </c>
      <c r="AH52" s="61" t="n">
        <f aca="false">AH51*Assumptions!$D$60*AH48</f>
        <v>25.9091093578223</v>
      </c>
      <c r="AI52" s="61" t="n">
        <f aca="false">AI51*Assumptions!$D$60*AI48</f>
        <v>27.6109064275568</v>
      </c>
      <c r="AJ52" s="61" t="n">
        <f aca="false">AJ51*Assumptions!$D$60*AJ48</f>
        <v>29.455781282177</v>
      </c>
      <c r="AK52" s="61" t="n">
        <f aca="false">AK51*Assumptions!$D$60*AK48</f>
        <v>31.5141710027308</v>
      </c>
      <c r="AL52" s="61" t="n">
        <f aca="false">AL51*Assumptions!$D$60*AL48</f>
        <v>33.7348387004593</v>
      </c>
      <c r="AM52" s="61" t="n">
        <f aca="false">SUM(C52:AL52)</f>
        <v>453.020433361404</v>
      </c>
    </row>
    <row r="53" customFormat="false" ht="15" hidden="false" customHeight="false" outlineLevel="0" collapsed="false">
      <c r="A53" s="10" t="s">
        <v>769</v>
      </c>
      <c r="B53" s="9" t="s">
        <v>49</v>
      </c>
      <c r="C53" s="61" t="n">
        <f aca="false">C52*Assumptions!$D$64</f>
        <v>0</v>
      </c>
      <c r="D53" s="61" t="n">
        <f aca="false">D52*Assumptions!$D$64</f>
        <v>0</v>
      </c>
      <c r="E53" s="61" t="n">
        <f aca="false">E52*Assumptions!$D$64</f>
        <v>0</v>
      </c>
      <c r="F53" s="61" t="n">
        <f aca="false">F52*Assumptions!$D$64</f>
        <v>0</v>
      </c>
      <c r="G53" s="61" t="n">
        <f aca="false">G52*Assumptions!$D$64</f>
        <v>0</v>
      </c>
      <c r="H53" s="61" t="n">
        <f aca="false">H52*Assumptions!$D$64</f>
        <v>0</v>
      </c>
      <c r="I53" s="61" t="n">
        <f aca="false">I52*Assumptions!$D$64</f>
        <v>0</v>
      </c>
      <c r="J53" s="61" t="n">
        <f aca="false">J52*Assumptions!$D$64</f>
        <v>0</v>
      </c>
      <c r="K53" s="61" t="n">
        <f aca="false">K52*Assumptions!$D$64</f>
        <v>3.0290196482292</v>
      </c>
      <c r="L53" s="61" t="n">
        <f aca="false">L52*Assumptions!$D$64</f>
        <v>3.17110913742585</v>
      </c>
      <c r="M53" s="61" t="n">
        <f aca="false">M52*Assumptions!$D$64</f>
        <v>3.34037918847422</v>
      </c>
      <c r="N53" s="61" t="n">
        <f aca="false">N52*Assumptions!$D$64</f>
        <v>3.53393847186031</v>
      </c>
      <c r="O53" s="61" t="n">
        <f aca="false">O52*Assumptions!$D$64</f>
        <v>3.74969413672503</v>
      </c>
      <c r="P53" s="61" t="n">
        <f aca="false">P52*Assumptions!$D$64</f>
        <v>3.98623723642496</v>
      </c>
      <c r="Q53" s="61" t="n">
        <f aca="false">Q52*Assumptions!$D$64</f>
        <v>4.24273570872782</v>
      </c>
      <c r="R53" s="61" t="n">
        <f aca="false">R52*Assumptions!$D$64</f>
        <v>4.51884099229575</v>
      </c>
      <c r="S53" s="61" t="n">
        <f aca="false">S52*Assumptions!$D$64</f>
        <v>4.81460998691107</v>
      </c>
      <c r="T53" s="61" t="n">
        <f aca="false">T52*Assumptions!$D$64</f>
        <v>5.13044188989687</v>
      </c>
      <c r="U53" s="61" t="n">
        <f aca="false">U52*Assumptions!$D$64</f>
        <v>5.46702845073265</v>
      </c>
      <c r="V53" s="61" t="n">
        <f aca="false">V52*Assumptions!$D$64</f>
        <v>5.82531583485247</v>
      </c>
      <c r="W53" s="61" t="n">
        <f aca="false">W52*Assumptions!$D$64</f>
        <v>6.20647627257619</v>
      </c>
      <c r="X53" s="61" t="n">
        <f aca="false">X52*Assumptions!$D$64</f>
        <v>6.61188781872704</v>
      </c>
      <c r="Y53" s="61" t="n">
        <f aca="false">Y52*Assumptions!$D$64</f>
        <v>7.04312076653996</v>
      </c>
      <c r="Z53" s="61" t="n">
        <f aca="false">Z52*Assumptions!$D$64</f>
        <v>7.50192949336612</v>
      </c>
      <c r="AA53" s="61" t="n">
        <f aca="false">AA52*Assumptions!$D$64</f>
        <v>7.99024873823133</v>
      </c>
      <c r="AB53" s="61" t="n">
        <f aca="false">AB52*Assumptions!$D$64</f>
        <v>8.51019350997693</v>
      </c>
      <c r="AC53" s="61" t="n">
        <f aca="false">AC52*Assumptions!$D$64</f>
        <v>9.06406199523547</v>
      </c>
      <c r="AD53" s="61" t="n">
        <f aca="false">AD52*Assumptions!$D$64</f>
        <v>9.65434097805947</v>
      </c>
      <c r="AE53" s="61" t="n">
        <f aca="false">AE52*Assumptions!$D$64</f>
        <v>10.283713400027</v>
      </c>
      <c r="AF53" s="61" t="n">
        <f aca="false">AF52*Assumptions!$D$64</f>
        <v>10.9550677843931</v>
      </c>
      <c r="AG53" s="61" t="n">
        <f aca="false">AG52*Assumptions!$D$64</f>
        <v>11.6715093238269</v>
      </c>
      <c r="AH53" s="61" t="n">
        <f aca="false">AH52*Assumptions!$D$64</f>
        <v>12.4363724917547</v>
      </c>
      <c r="AI53" s="61" t="n">
        <f aca="false">AI52*Assumptions!$D$64</f>
        <v>13.2532350852273</v>
      </c>
      <c r="AJ53" s="61" t="n">
        <f aca="false">AJ52*Assumptions!$D$64</f>
        <v>14.138775015445</v>
      </c>
      <c r="AK53" s="61" t="n">
        <f aca="false">AK52*Assumptions!$D$64</f>
        <v>15.1268020813108</v>
      </c>
      <c r="AL53" s="61" t="n">
        <f aca="false">AL52*Assumptions!$D$64</f>
        <v>16.1927225762205</v>
      </c>
      <c r="AM53" s="61" t="n">
        <f aca="false">SUM(C53:AL53)</f>
        <v>217.449808013474</v>
      </c>
    </row>
    <row r="54" customFormat="false" ht="15" hidden="false" customHeight="false" outlineLevel="0" collapsed="false">
      <c r="A54" s="10" t="s">
        <v>770</v>
      </c>
      <c r="B54" s="9" t="s">
        <v>49</v>
      </c>
      <c r="C54" s="61" t="n">
        <f aca="false">C53*Assumptions!$D$65</f>
        <v>0</v>
      </c>
      <c r="D54" s="61" t="n">
        <f aca="false">D53*Assumptions!$D$65</f>
        <v>0</v>
      </c>
      <c r="E54" s="61" t="n">
        <f aca="false">E53*Assumptions!$D$65</f>
        <v>0</v>
      </c>
      <c r="F54" s="61" t="n">
        <f aca="false">F53*Assumptions!$D$65</f>
        <v>0</v>
      </c>
      <c r="G54" s="61" t="n">
        <f aca="false">G53*Assumptions!$D$65</f>
        <v>0</v>
      </c>
      <c r="H54" s="61" t="n">
        <f aca="false">H53*Assumptions!$D$65</f>
        <v>0</v>
      </c>
      <c r="I54" s="61" t="n">
        <f aca="false">I53*Assumptions!$D$65</f>
        <v>0</v>
      </c>
      <c r="J54" s="61" t="n">
        <f aca="false">J53*Assumptions!$D$65</f>
        <v>0</v>
      </c>
      <c r="K54" s="61" t="n">
        <f aca="false">K53*Assumptions!$D$65</f>
        <v>2.30205493265419</v>
      </c>
      <c r="L54" s="61" t="n">
        <f aca="false">L53*Assumptions!$D$65</f>
        <v>2.41004294444365</v>
      </c>
      <c r="M54" s="61" t="n">
        <f aca="false">M53*Assumptions!$D$65</f>
        <v>2.53868818324041</v>
      </c>
      <c r="N54" s="61" t="n">
        <f aca="false">N53*Assumptions!$D$65</f>
        <v>2.68579323861384</v>
      </c>
      <c r="O54" s="61" t="n">
        <f aca="false">O53*Assumptions!$D$65</f>
        <v>2.84976754391102</v>
      </c>
      <c r="P54" s="61" t="n">
        <f aca="false">P53*Assumptions!$D$65</f>
        <v>3.02954029968297</v>
      </c>
      <c r="Q54" s="61" t="n">
        <f aca="false">Q53*Assumptions!$D$65</f>
        <v>3.22447913863315</v>
      </c>
      <c r="R54" s="61" t="n">
        <f aca="false">R53*Assumptions!$D$65</f>
        <v>3.43431915414477</v>
      </c>
      <c r="S54" s="61" t="n">
        <f aca="false">S53*Assumptions!$D$65</f>
        <v>3.65910359005242</v>
      </c>
      <c r="T54" s="61" t="n">
        <f aca="false">T53*Assumptions!$D$65</f>
        <v>3.89913583632162</v>
      </c>
      <c r="U54" s="61" t="n">
        <f aca="false">U53*Assumptions!$D$65</f>
        <v>4.15494162255681</v>
      </c>
      <c r="V54" s="61" t="n">
        <f aca="false">V53*Assumptions!$D$65</f>
        <v>4.42724003448788</v>
      </c>
      <c r="W54" s="61" t="n">
        <f aca="false">W53*Assumptions!$D$65</f>
        <v>4.71692196715791</v>
      </c>
      <c r="X54" s="61" t="n">
        <f aca="false">X53*Assumptions!$D$65</f>
        <v>5.02503474223255</v>
      </c>
      <c r="Y54" s="61" t="n">
        <f aca="false">Y53*Assumptions!$D$65</f>
        <v>5.35277178257037</v>
      </c>
      <c r="Z54" s="61" t="n">
        <f aca="false">Z53*Assumptions!$D$65</f>
        <v>5.70146641495825</v>
      </c>
      <c r="AA54" s="61" t="n">
        <f aca="false">AA53*Assumptions!$D$65</f>
        <v>6.07258904105581</v>
      </c>
      <c r="AB54" s="61" t="n">
        <f aca="false">AB53*Assumptions!$D$65</f>
        <v>6.46774706758247</v>
      </c>
      <c r="AC54" s="61" t="n">
        <f aca="false">AC53*Assumptions!$D$65</f>
        <v>6.88868711637896</v>
      </c>
      <c r="AD54" s="61" t="n">
        <f aca="false">AD53*Assumptions!$D$65</f>
        <v>7.3372991433252</v>
      </c>
      <c r="AE54" s="61" t="n">
        <f aca="false">AE53*Assumptions!$D$65</f>
        <v>7.81562218402052</v>
      </c>
      <c r="AF54" s="61" t="n">
        <f aca="false">AF53*Assumptions!$D$65</f>
        <v>8.32585151613875</v>
      </c>
      <c r="AG54" s="61" t="n">
        <f aca="false">AG53*Assumptions!$D$65</f>
        <v>8.87034708610847</v>
      </c>
      <c r="AH54" s="61" t="n">
        <f aca="false">AH53*Assumptions!$D$65</f>
        <v>9.45164309373357</v>
      </c>
      <c r="AI54" s="61" t="n">
        <f aca="false">AI53*Assumptions!$D$65</f>
        <v>10.0724586647727</v>
      </c>
      <c r="AJ54" s="61" t="n">
        <f aca="false">AJ53*Assumptions!$D$65</f>
        <v>10.7454690117382</v>
      </c>
      <c r="AK54" s="61" t="n">
        <f aca="false">AK53*Assumptions!$D$65</f>
        <v>11.4963695817962</v>
      </c>
      <c r="AL54" s="61" t="n">
        <f aca="false">AL53*Assumptions!$D$65</f>
        <v>12.3064691579276</v>
      </c>
      <c r="AM54" s="61" t="n">
        <f aca="false">SUM(C54:AL54)</f>
        <v>165.26185409024</v>
      </c>
    </row>
    <row r="55" customFormat="false" ht="15" hidden="false" customHeight="false" outlineLevel="0" collapsed="false">
      <c r="A55" s="10" t="s">
        <v>771</v>
      </c>
      <c r="B55" s="9" t="s">
        <v>49</v>
      </c>
      <c r="C55" s="61" t="n">
        <f aca="false">C54*Assumptions!$D$66</f>
        <v>0</v>
      </c>
      <c r="D55" s="61" t="n">
        <f aca="false">D54*Assumptions!$D$66</f>
        <v>0</v>
      </c>
      <c r="E55" s="61" t="n">
        <f aca="false">E54*Assumptions!$D$66</f>
        <v>0</v>
      </c>
      <c r="F55" s="61" t="n">
        <f aca="false">F54*Assumptions!$D$66</f>
        <v>0</v>
      </c>
      <c r="G55" s="61" t="n">
        <f aca="false">G54*Assumptions!$D$66</f>
        <v>0</v>
      </c>
      <c r="H55" s="61" t="n">
        <f aca="false">H54*Assumptions!$D$66</f>
        <v>0</v>
      </c>
      <c r="I55" s="61" t="n">
        <f aca="false">I54*Assumptions!$D$66</f>
        <v>0</v>
      </c>
      <c r="J55" s="61" t="n">
        <f aca="false">J54*Assumptions!$D$66</f>
        <v>0</v>
      </c>
      <c r="K55" s="61" t="n">
        <f aca="false">K54*Assumptions!$D$66</f>
        <v>1.2661302129598</v>
      </c>
      <c r="L55" s="61" t="n">
        <f aca="false">L54*Assumptions!$D$66</f>
        <v>1.32552361944401</v>
      </c>
      <c r="M55" s="61" t="n">
        <f aca="false">M54*Assumptions!$D$66</f>
        <v>1.39627850078223</v>
      </c>
      <c r="N55" s="61" t="n">
        <f aca="false">N54*Assumptions!$D$66</f>
        <v>1.47718628123761</v>
      </c>
      <c r="O55" s="61" t="n">
        <f aca="false">O54*Assumptions!$D$66</f>
        <v>1.56737214915106</v>
      </c>
      <c r="P55" s="61" t="n">
        <f aca="false">P54*Assumptions!$D$66</f>
        <v>1.66624716482563</v>
      </c>
      <c r="Q55" s="61" t="n">
        <f aca="false">Q54*Assumptions!$D$66</f>
        <v>1.77346352624823</v>
      </c>
      <c r="R55" s="61" t="n">
        <f aca="false">R54*Assumptions!$D$66</f>
        <v>1.88887553477962</v>
      </c>
      <c r="S55" s="61" t="n">
        <f aca="false">S54*Assumptions!$D$66</f>
        <v>2.01250697452883</v>
      </c>
      <c r="T55" s="61" t="n">
        <f aca="false">T54*Assumptions!$D$66</f>
        <v>2.14452470997689</v>
      </c>
      <c r="U55" s="61" t="n">
        <f aca="false">U54*Assumptions!$D$66</f>
        <v>2.28521789240625</v>
      </c>
      <c r="V55" s="61" t="n">
        <f aca="false">V54*Assumptions!$D$66</f>
        <v>2.43498201896833</v>
      </c>
      <c r="W55" s="61" t="n">
        <f aca="false">W54*Assumptions!$D$66</f>
        <v>2.59430708193685</v>
      </c>
      <c r="X55" s="61" t="n">
        <f aca="false">X54*Assumptions!$D$66</f>
        <v>2.7637691082279</v>
      </c>
      <c r="Y55" s="61" t="n">
        <f aca="false">Y54*Assumptions!$D$66</f>
        <v>2.9440244804137</v>
      </c>
      <c r="Z55" s="61" t="n">
        <f aca="false">Z54*Assumptions!$D$66</f>
        <v>3.13580652822704</v>
      </c>
      <c r="AA55" s="61" t="n">
        <f aca="false">AA54*Assumptions!$D$66</f>
        <v>3.33992397258069</v>
      </c>
      <c r="AB55" s="61" t="n">
        <f aca="false">AB54*Assumptions!$D$66</f>
        <v>3.55726088717036</v>
      </c>
      <c r="AC55" s="61" t="n">
        <f aca="false">AC54*Assumptions!$D$66</f>
        <v>3.78877791400843</v>
      </c>
      <c r="AD55" s="61" t="n">
        <f aca="false">AD54*Assumptions!$D$66</f>
        <v>4.03551452882886</v>
      </c>
      <c r="AE55" s="61" t="n">
        <f aca="false">AE54*Assumptions!$D$66</f>
        <v>4.29859220121129</v>
      </c>
      <c r="AF55" s="61" t="n">
        <f aca="false">AF54*Assumptions!$D$66</f>
        <v>4.57921833387631</v>
      </c>
      <c r="AG55" s="61" t="n">
        <f aca="false">AG54*Assumptions!$D$66</f>
        <v>4.87869089735966</v>
      </c>
      <c r="AH55" s="61" t="n">
        <f aca="false">AH54*Assumptions!$D$66</f>
        <v>5.19840370155346</v>
      </c>
      <c r="AI55" s="61" t="n">
        <f aca="false">AI54*Assumptions!$D$66</f>
        <v>5.53985226562499</v>
      </c>
      <c r="AJ55" s="61" t="n">
        <f aca="false">AJ54*Assumptions!$D$66</f>
        <v>5.910007956456</v>
      </c>
      <c r="AK55" s="61" t="n">
        <f aca="false">AK54*Assumptions!$D$66</f>
        <v>6.32300326998791</v>
      </c>
      <c r="AL55" s="61" t="n">
        <f aca="false">AL54*Assumptions!$D$66</f>
        <v>6.76855803686016</v>
      </c>
      <c r="AM55" s="61" t="n">
        <f aca="false">SUM(C55:AL55)</f>
        <v>90.8940197496321</v>
      </c>
    </row>
    <row r="56" customFormat="false" ht="15" hidden="false" customHeight="false" outlineLevel="0" collapsed="false">
      <c r="A56" s="10" t="s">
        <v>772</v>
      </c>
      <c r="B56" s="9" t="s">
        <v>49</v>
      </c>
      <c r="C56" s="61" t="n">
        <f aca="false">C55*Assumptions!$D$67</f>
        <v>0</v>
      </c>
      <c r="D56" s="61" t="n">
        <f aca="false">D55*Assumptions!$D$67</f>
        <v>0</v>
      </c>
      <c r="E56" s="61" t="n">
        <f aca="false">E55*Assumptions!$D$67</f>
        <v>0</v>
      </c>
      <c r="F56" s="61" t="n">
        <f aca="false">F55*Assumptions!$D$67</f>
        <v>0</v>
      </c>
      <c r="G56" s="61" t="n">
        <f aca="false">G55*Assumptions!$D$67</f>
        <v>0</v>
      </c>
      <c r="H56" s="61" t="n">
        <f aca="false">H55*Assumptions!$D$67</f>
        <v>0</v>
      </c>
      <c r="I56" s="61" t="n">
        <f aca="false">I55*Assumptions!$D$67</f>
        <v>0</v>
      </c>
      <c r="J56" s="61" t="n">
        <f aca="false">J55*Assumptions!$D$67</f>
        <v>0</v>
      </c>
      <c r="K56" s="61" t="n">
        <f aca="false">K55*Assumptions!$D$67</f>
        <v>0.734355523516687</v>
      </c>
      <c r="L56" s="61" t="n">
        <f aca="false">L55*Assumptions!$D$67</f>
        <v>0.768803699277524</v>
      </c>
      <c r="M56" s="61" t="n">
        <f aca="false">M55*Assumptions!$D$67</f>
        <v>0.809841530453691</v>
      </c>
      <c r="N56" s="61" t="n">
        <f aca="false">N55*Assumptions!$D$67</f>
        <v>0.856768043117814</v>
      </c>
      <c r="O56" s="61" t="n">
        <f aca="false">O55*Assumptions!$D$67</f>
        <v>0.909075846507616</v>
      </c>
      <c r="P56" s="61" t="n">
        <f aca="false">P55*Assumptions!$D$67</f>
        <v>0.966423355598868</v>
      </c>
      <c r="Q56" s="61" t="n">
        <f aca="false">Q55*Assumptions!$D$67</f>
        <v>1.02860884522397</v>
      </c>
      <c r="R56" s="61" t="n">
        <f aca="false">R55*Assumptions!$D$67</f>
        <v>1.09554781017218</v>
      </c>
      <c r="S56" s="61" t="n">
        <f aca="false">S55*Assumptions!$D$67</f>
        <v>1.16725404522672</v>
      </c>
      <c r="T56" s="61" t="n">
        <f aca="false">T55*Assumptions!$D$67</f>
        <v>1.2438243317866</v>
      </c>
      <c r="U56" s="61" t="n">
        <f aca="false">U55*Assumptions!$D$67</f>
        <v>1.32542637759562</v>
      </c>
      <c r="V56" s="61" t="n">
        <f aca="false">V55*Assumptions!$D$67</f>
        <v>1.41228957100163</v>
      </c>
      <c r="W56" s="61" t="n">
        <f aca="false">W55*Assumptions!$D$67</f>
        <v>1.50469810752337</v>
      </c>
      <c r="X56" s="61" t="n">
        <f aca="false">X55*Assumptions!$D$67</f>
        <v>1.60298608277218</v>
      </c>
      <c r="Y56" s="61" t="n">
        <f aca="false">Y55*Assumptions!$D$67</f>
        <v>1.70753419863995</v>
      </c>
      <c r="Z56" s="61" t="n">
        <f aca="false">Z55*Assumptions!$D$67</f>
        <v>1.81876778637168</v>
      </c>
      <c r="AA56" s="61" t="n">
        <f aca="false">AA55*Assumptions!$D$67</f>
        <v>1.9371559040968</v>
      </c>
      <c r="AB56" s="61" t="n">
        <f aca="false">AB55*Assumptions!$D$67</f>
        <v>2.06321131455881</v>
      </c>
      <c r="AC56" s="61" t="n">
        <f aca="false">AC55*Assumptions!$D$67</f>
        <v>2.19749119012489</v>
      </c>
      <c r="AD56" s="61" t="n">
        <f aca="false">AD55*Assumptions!$D$67</f>
        <v>2.34059842672074</v>
      </c>
      <c r="AE56" s="61" t="n">
        <f aca="false">AE55*Assumptions!$D$67</f>
        <v>2.49318347670255</v>
      </c>
      <c r="AF56" s="61" t="n">
        <f aca="false">AF55*Assumptions!$D$67</f>
        <v>2.65594663364826</v>
      </c>
      <c r="AG56" s="61" t="n">
        <f aca="false">AG55*Assumptions!$D$67</f>
        <v>2.8296407204686</v>
      </c>
      <c r="AH56" s="61" t="n">
        <f aca="false">AH55*Assumptions!$D$67</f>
        <v>3.01507414690101</v>
      </c>
      <c r="AI56" s="61" t="n">
        <f aca="false">AI55*Assumptions!$D$67</f>
        <v>3.21311431406249</v>
      </c>
      <c r="AJ56" s="61" t="n">
        <f aca="false">AJ55*Assumptions!$D$67</f>
        <v>3.42780461474448</v>
      </c>
      <c r="AK56" s="61" t="n">
        <f aca="false">AK55*Assumptions!$D$67</f>
        <v>3.66734189659298</v>
      </c>
      <c r="AL56" s="61" t="n">
        <f aca="false">AL55*Assumptions!$D$67</f>
        <v>3.92576366137889</v>
      </c>
      <c r="AM56" s="61" t="n">
        <f aca="false">SUM(C56:AL56)</f>
        <v>52.7185314547866</v>
      </c>
    </row>
    <row r="57" customFormat="false" ht="15" hidden="false" customHeight="false" outlineLevel="0" collapsed="false">
      <c r="A57" s="38" t="s">
        <v>773</v>
      </c>
      <c r="B57" s="9" t="s">
        <v>49</v>
      </c>
      <c r="C57" s="71" t="n">
        <f aca="false">C56</f>
        <v>0</v>
      </c>
      <c r="D57" s="71" t="n">
        <f aca="false">C57*(1-Assumptions!$D$68)+D56</f>
        <v>0</v>
      </c>
      <c r="E57" s="71" t="n">
        <f aca="false">D57*(1-Assumptions!$D$68)+E56</f>
        <v>0</v>
      </c>
      <c r="F57" s="71" t="n">
        <f aca="false">E57*(1-Assumptions!$D$68)+F56</f>
        <v>0</v>
      </c>
      <c r="G57" s="71" t="n">
        <f aca="false">F57*(1-Assumptions!$D$68)+G56</f>
        <v>0</v>
      </c>
      <c r="H57" s="71" t="n">
        <f aca="false">G57*(1-Assumptions!$D$68)+H56</f>
        <v>0</v>
      </c>
      <c r="I57" s="71" t="n">
        <f aca="false">H57*(1-Assumptions!$D$68)+I56</f>
        <v>0</v>
      </c>
      <c r="J57" s="71" t="n">
        <f aca="false">I57*(1-Assumptions!$D$68)+J56</f>
        <v>0</v>
      </c>
      <c r="K57" s="71" t="n">
        <f aca="false">J57*(1-Assumptions!$D$68)+K56</f>
        <v>0.734355523516687</v>
      </c>
      <c r="L57" s="71" t="n">
        <f aca="false">K57*(1-Assumptions!$D$68)+L56</f>
        <v>1.40769300473704</v>
      </c>
      <c r="M57" s="71" t="n">
        <f aca="false">L57*(1-Assumptions!$D$68)+M56</f>
        <v>2.03453444457492</v>
      </c>
      <c r="N57" s="71" t="n">
        <f aca="false">M57*(1-Assumptions!$D$68)+N56</f>
        <v>2.62681300989799</v>
      </c>
      <c r="O57" s="71" t="n">
        <f aca="false">N57*(1-Assumptions!$D$68)+O56</f>
        <v>3.19440316511887</v>
      </c>
      <c r="P57" s="71" t="n">
        <f aca="false">O57*(1-Assumptions!$D$68)+P56</f>
        <v>3.74555410925228</v>
      </c>
      <c r="Q57" s="71" t="n">
        <f aca="false">P57*(1-Assumptions!$D$68)+Q56</f>
        <v>4.28724092027346</v>
      </c>
      <c r="R57" s="71" t="n">
        <f aca="false">Q57*(1-Assumptions!$D$68)+R56</f>
        <v>4.82544741081009</v>
      </c>
      <c r="S57" s="71" t="n">
        <f aca="false">R57*(1-Assumptions!$D$68)+S56</f>
        <v>5.3653932926315</v>
      </c>
      <c r="T57" s="71" t="n">
        <f aca="false">S57*(1-Assumptions!$D$68)+T56</f>
        <v>5.911716496376</v>
      </c>
      <c r="U57" s="71" t="n">
        <f aca="false">T57*(1-Assumptions!$D$68)+U56</f>
        <v>6.46861972944275</v>
      </c>
      <c r="V57" s="71" t="n">
        <f aca="false">U57*(1-Assumptions!$D$68)+V56</f>
        <v>7.03998873561682</v>
      </c>
      <c r="W57" s="71" t="n">
        <f aca="false">V57*(1-Assumptions!$D$68)+W56</f>
        <v>7.62948830751001</v>
      </c>
      <c r="X57" s="71" t="n">
        <f aca="false">W57*(1-Assumptions!$D$68)+X56</f>
        <v>8.24064091030589</v>
      </c>
      <c r="Y57" s="71" t="n">
        <f aca="false">X57*(1-Assumptions!$D$68)+Y56</f>
        <v>8.87689179060607</v>
      </c>
      <c r="Z57" s="71" t="n">
        <f aca="false">Y57*(1-Assumptions!$D$68)+Z56</f>
        <v>9.54166364419896</v>
      </c>
      <c r="AA57" s="71" t="n">
        <f aca="false">Z57*(1-Assumptions!$D$68)+AA56</f>
        <v>10.2384032745499</v>
      </c>
      <c r="AB57" s="71" t="n">
        <f aca="false">AA57*(1-Assumptions!$D$68)+AB56</f>
        <v>10.9706221634172</v>
      </c>
      <c r="AC57" s="71" t="n">
        <f aca="false">AB57*(1-Assumptions!$D$68)+AC56</f>
        <v>11.7419324722979</v>
      </c>
      <c r="AD57" s="71" t="n">
        <f aca="false">AC57*(1-Assumptions!$D$68)+AD56</f>
        <v>12.5560796776199</v>
      </c>
      <c r="AE57" s="71" t="n">
        <f aca="false">AD57*(1-Assumptions!$D$68)+AE56</f>
        <v>13.4169727962318</v>
      </c>
      <c r="AF57" s="71" t="n">
        <f aca="false">AE57*(1-Assumptions!$D$68)+AF56</f>
        <v>14.32871296637</v>
      </c>
      <c r="AG57" s="71" t="n">
        <f aca="false">AF57*(1-Assumptions!$D$68)+AG56</f>
        <v>15.2956210012105</v>
      </c>
      <c r="AH57" s="71" t="n">
        <f aca="false">AG57*(1-Assumptions!$D$68)+AH56</f>
        <v>16.3222644179541</v>
      </c>
      <c r="AI57" s="71" t="n">
        <f aca="false">AH57*(1-Assumptions!$D$68)+AI56</f>
        <v>17.4134843576826</v>
      </c>
      <c r="AJ57" s="71" t="n">
        <f aca="false">AI57*(1-Assumptions!$D$68)+AJ56</f>
        <v>18.5775360059283</v>
      </c>
      <c r="AK57" s="71" t="n">
        <f aca="false">AJ57*(1-Assumptions!$D$68)+AK56</f>
        <v>19.8297982217506</v>
      </c>
      <c r="AL57" s="71" t="n">
        <f aca="false">AK57*(1-Assumptions!$D$68)+AL56</f>
        <v>21.1776881143019</v>
      </c>
      <c r="AM57" s="71" t="n">
        <f aca="false">AL57</f>
        <v>21.1776881143019</v>
      </c>
    </row>
    <row r="58" customFormat="false" ht="15" hidden="false" customHeight="false" outlineLevel="0" collapsed="false">
      <c r="A58" s="10" t="s">
        <v>774</v>
      </c>
      <c r="B58" s="9" t="s">
        <v>49</v>
      </c>
      <c r="C58" s="61" t="n">
        <f aca="false">0</f>
        <v>0</v>
      </c>
      <c r="D58" s="61" t="n">
        <f aca="false">C57*Assumptions!$D$68</f>
        <v>0</v>
      </c>
      <c r="E58" s="61" t="n">
        <f aca="false">D57*Assumptions!$D$68</f>
        <v>0</v>
      </c>
      <c r="F58" s="61" t="n">
        <f aca="false">E57*Assumptions!$D$68</f>
        <v>0</v>
      </c>
      <c r="G58" s="61" t="n">
        <f aca="false">F57*Assumptions!$D$68</f>
        <v>0</v>
      </c>
      <c r="H58" s="61" t="n">
        <f aca="false">G57*Assumptions!$D$68</f>
        <v>0</v>
      </c>
      <c r="I58" s="61" t="n">
        <f aca="false">H57*Assumptions!$D$68</f>
        <v>0</v>
      </c>
      <c r="J58" s="61" t="n">
        <f aca="false">I57*Assumptions!$D$68</f>
        <v>0</v>
      </c>
      <c r="K58" s="61" t="n">
        <f aca="false">J57*Assumptions!$D$68</f>
        <v>0</v>
      </c>
      <c r="L58" s="61" t="n">
        <f aca="false">K57*Assumptions!$D$68</f>
        <v>0.0954662180571693</v>
      </c>
      <c r="M58" s="61" t="n">
        <f aca="false">L57*Assumptions!$D$68</f>
        <v>0.183000090615815</v>
      </c>
      <c r="N58" s="61" t="n">
        <f aca="false">M57*Assumptions!$D$68</f>
        <v>0.264489477794739</v>
      </c>
      <c r="O58" s="61" t="n">
        <f aca="false">N57*Assumptions!$D$68</f>
        <v>0.341485691286739</v>
      </c>
      <c r="P58" s="61" t="n">
        <f aca="false">O57*Assumptions!$D$68</f>
        <v>0.415272411465453</v>
      </c>
      <c r="Q58" s="61" t="n">
        <f aca="false">P57*Assumptions!$D$68</f>
        <v>0.486922034202797</v>
      </c>
      <c r="R58" s="61" t="n">
        <f aca="false">Q57*Assumptions!$D$68</f>
        <v>0.55734131963555</v>
      </c>
      <c r="S58" s="61" t="n">
        <f aca="false">R57*Assumptions!$D$68</f>
        <v>0.627308163405312</v>
      </c>
      <c r="T58" s="61" t="n">
        <f aca="false">S57*Assumptions!$D$68</f>
        <v>0.697501128042095</v>
      </c>
      <c r="U58" s="61" t="n">
        <f aca="false">T57*Assumptions!$D$68</f>
        <v>0.76852314452888</v>
      </c>
      <c r="V58" s="61" t="n">
        <f aca="false">U57*Assumptions!$D$68</f>
        <v>0.840920564827557</v>
      </c>
      <c r="W58" s="61" t="n">
        <f aca="false">V57*Assumptions!$D$68</f>
        <v>0.915198535630187</v>
      </c>
      <c r="X58" s="61" t="n">
        <f aca="false">W57*Assumptions!$D$68</f>
        <v>0.991833479976301</v>
      </c>
      <c r="Y58" s="61" t="n">
        <f aca="false">X57*Assumptions!$D$68</f>
        <v>1.07128331833977</v>
      </c>
      <c r="Z58" s="61" t="n">
        <f aca="false">Y57*Assumptions!$D$68</f>
        <v>1.15399593277879</v>
      </c>
      <c r="AA58" s="61" t="n">
        <f aca="false">Z57*Assumptions!$D$68</f>
        <v>1.24041627374587</v>
      </c>
      <c r="AB58" s="61" t="n">
        <f aca="false">AA57*Assumptions!$D$68</f>
        <v>1.33099242569149</v>
      </c>
      <c r="AC58" s="61" t="n">
        <f aca="false">AB57*Assumptions!$D$68</f>
        <v>1.42618088124424</v>
      </c>
      <c r="AD58" s="61" t="n">
        <f aca="false">AC57*Assumptions!$D$68</f>
        <v>1.52645122139872</v>
      </c>
      <c r="AE58" s="61" t="n">
        <f aca="false">AD57*Assumptions!$D$68</f>
        <v>1.63229035809059</v>
      </c>
      <c r="AF58" s="61" t="n">
        <f aca="false">AE57*Assumptions!$D$68</f>
        <v>1.74420646351014</v>
      </c>
      <c r="AG58" s="61" t="n">
        <f aca="false">AF57*Assumptions!$D$68</f>
        <v>1.8627326856281</v>
      </c>
      <c r="AH58" s="61" t="n">
        <f aca="false">AG57*Assumptions!$D$68</f>
        <v>1.98843073015736</v>
      </c>
      <c r="AI58" s="61" t="n">
        <f aca="false">AH57*Assumptions!$D$68</f>
        <v>2.12189437433404</v>
      </c>
      <c r="AJ58" s="61" t="n">
        <f aca="false">AI57*Assumptions!$D$68</f>
        <v>2.26375296649874</v>
      </c>
      <c r="AK58" s="61" t="n">
        <f aca="false">AJ57*Assumptions!$D$68</f>
        <v>2.41507968077068</v>
      </c>
      <c r="AL58" s="61" t="n">
        <f aca="false">AK57*Assumptions!$D$68</f>
        <v>2.57787376882758</v>
      </c>
      <c r="AM58" s="61" t="n">
        <f aca="false">SUM(C58:AL58)</f>
        <v>31.5408433404847</v>
      </c>
    </row>
    <row r="59" customFormat="false" ht="15" hidden="false" customHeight="false" outlineLevel="0" collapsed="false">
      <c r="A59" s="10" t="s">
        <v>775</v>
      </c>
      <c r="B59" s="9" t="s">
        <v>95</v>
      </c>
      <c r="C59" s="70" t="n">
        <f aca="false">C57*Assumptions!$D$70</f>
        <v>0</v>
      </c>
      <c r="D59" s="70" t="n">
        <f aca="false">D57*Assumptions!$D$70</f>
        <v>0</v>
      </c>
      <c r="E59" s="70" t="n">
        <f aca="false">E57*Assumptions!$D$70</f>
        <v>0</v>
      </c>
      <c r="F59" s="70" t="n">
        <f aca="false">F57*Assumptions!$D$70</f>
        <v>0</v>
      </c>
      <c r="G59" s="70" t="n">
        <f aca="false">G57*Assumptions!$D$70</f>
        <v>0</v>
      </c>
      <c r="H59" s="70" t="n">
        <f aca="false">H57*Assumptions!$D$70</f>
        <v>0</v>
      </c>
      <c r="I59" s="70" t="n">
        <f aca="false">I57*Assumptions!$D$70</f>
        <v>0</v>
      </c>
      <c r="J59" s="70" t="n">
        <f aca="false">J57*Assumptions!$D$70</f>
        <v>0</v>
      </c>
      <c r="K59" s="70" t="n">
        <f aca="false">K57*Assumptions!$D$70</f>
        <v>146.136749179821</v>
      </c>
      <c r="L59" s="70" t="n">
        <f aca="false">L57*Assumptions!$D$70</f>
        <v>280.130907942671</v>
      </c>
      <c r="M59" s="70" t="n">
        <f aca="false">M57*Assumptions!$D$70</f>
        <v>404.872354470408</v>
      </c>
      <c r="N59" s="70" t="n">
        <f aca="false">N57*Assumptions!$D$70</f>
        <v>522.7357889697</v>
      </c>
      <c r="O59" s="70" t="n">
        <f aca="false">O57*Assumptions!$D$70</f>
        <v>635.686229858655</v>
      </c>
      <c r="P59" s="70" t="n">
        <f aca="false">P57*Assumptions!$D$70</f>
        <v>745.365267741204</v>
      </c>
      <c r="Q59" s="70" t="n">
        <f aca="false">Q57*Assumptions!$D$70</f>
        <v>853.160943134419</v>
      </c>
      <c r="R59" s="70" t="n">
        <f aca="false">R57*Assumptions!$D$70</f>
        <v>960.264034751208</v>
      </c>
      <c r="S59" s="70" t="n">
        <f aca="false">S57*Assumptions!$D$70</f>
        <v>1067.71326523367</v>
      </c>
      <c r="T59" s="70" t="n">
        <f aca="false">T57*Assumptions!$D$70</f>
        <v>1176.43158277882</v>
      </c>
      <c r="U59" s="70" t="n">
        <f aca="false">U57*Assumptions!$D$70</f>
        <v>1287.25532615911</v>
      </c>
      <c r="V59" s="70" t="n">
        <f aca="false">V57*Assumptions!$D$70</f>
        <v>1400.95775838775</v>
      </c>
      <c r="W59" s="70" t="n">
        <f aca="false">W57*Assumptions!$D$70</f>
        <v>1518.26817319449</v>
      </c>
      <c r="X59" s="70" t="n">
        <f aca="false">X57*Assumptions!$D$70</f>
        <v>1639.88754115087</v>
      </c>
      <c r="Y59" s="70" t="n">
        <f aca="false">Y57*Assumptions!$D$70</f>
        <v>1766.50146633061</v>
      </c>
      <c r="Z59" s="70" t="n">
        <f aca="false">Z57*Assumptions!$D$70</f>
        <v>1898.79106519559</v>
      </c>
      <c r="AA59" s="70" t="n">
        <f aca="false">AA57*Assumptions!$D$70</f>
        <v>2037.44225163543</v>
      </c>
      <c r="AB59" s="70" t="n">
        <f aca="false">AB57*Assumptions!$D$70</f>
        <v>2183.15381052003</v>
      </c>
      <c r="AC59" s="70" t="n">
        <f aca="false">AC57*Assumptions!$D$70</f>
        <v>2336.64456198728</v>
      </c>
      <c r="AD59" s="70" t="n">
        <f aca="false">AD57*Assumptions!$D$70</f>
        <v>2498.65985584636</v>
      </c>
      <c r="AE59" s="70" t="n">
        <f aca="false">AE57*Assumptions!$D$70</f>
        <v>2669.97758645014</v>
      </c>
      <c r="AF59" s="70" t="n">
        <f aca="false">AF57*Assumptions!$D$70</f>
        <v>2851.41388030762</v>
      </c>
      <c r="AG59" s="70" t="n">
        <f aca="false">AG57*Assumptions!$D$70</f>
        <v>3043.82857924088</v>
      </c>
      <c r="AH59" s="70" t="n">
        <f aca="false">AH57*Assumptions!$D$70</f>
        <v>3248.13061917287</v>
      </c>
      <c r="AI59" s="70" t="n">
        <f aca="false">AI57*Assumptions!$D$70</f>
        <v>3465.28338717883</v>
      </c>
      <c r="AJ59" s="70" t="n">
        <f aca="false">AJ57*Assumptions!$D$70</f>
        <v>3696.92966517974</v>
      </c>
      <c r="AK59" s="70" t="n">
        <f aca="false">AK57*Assumptions!$D$70</f>
        <v>3946.12984612837</v>
      </c>
      <c r="AL59" s="70" t="n">
        <f aca="false">AL57*Assumptions!$D$70</f>
        <v>4214.35993474609</v>
      </c>
      <c r="AM59" s="70" t="n">
        <f aca="false">SUM(C59:AL59)</f>
        <v>52496.1124328726</v>
      </c>
    </row>
    <row r="60" customFormat="false" ht="15" hidden="false" customHeight="false" outlineLevel="0" collapsed="false">
      <c r="A60" s="10" t="s">
        <v>776</v>
      </c>
      <c r="B60" s="9" t="s">
        <v>95</v>
      </c>
      <c r="C60" s="70" t="n">
        <f aca="false">C53*Assumptions!$D$71</f>
        <v>0</v>
      </c>
      <c r="D60" s="70" t="n">
        <f aca="false">D53*Assumptions!$D$71</f>
        <v>0</v>
      </c>
      <c r="E60" s="70" t="n">
        <f aca="false">E53*Assumptions!$D$71</f>
        <v>0</v>
      </c>
      <c r="F60" s="70" t="n">
        <f aca="false">F53*Assumptions!$D$71</f>
        <v>0</v>
      </c>
      <c r="G60" s="70" t="n">
        <f aca="false">G53*Assumptions!$D$71</f>
        <v>0</v>
      </c>
      <c r="H60" s="70" t="n">
        <f aca="false">H53*Assumptions!$D$71</f>
        <v>0</v>
      </c>
      <c r="I60" s="70" t="n">
        <f aca="false">I53*Assumptions!$D$71</f>
        <v>0</v>
      </c>
      <c r="J60" s="70" t="n">
        <f aca="false">J53*Assumptions!$D$71</f>
        <v>0</v>
      </c>
      <c r="K60" s="70" t="n">
        <f aca="false">K53*Assumptions!$D$71</f>
        <v>148.421962763231</v>
      </c>
      <c r="L60" s="70" t="n">
        <f aca="false">L53*Assumptions!$D$71</f>
        <v>155.384347733867</v>
      </c>
      <c r="M60" s="70" t="n">
        <f aca="false">M53*Assumptions!$D$71</f>
        <v>163.678580235237</v>
      </c>
      <c r="N60" s="70" t="n">
        <f aca="false">N53*Assumptions!$D$71</f>
        <v>173.162985121155</v>
      </c>
      <c r="O60" s="70" t="n">
        <f aca="false">O53*Assumptions!$D$71</f>
        <v>183.735012699526</v>
      </c>
      <c r="P60" s="70" t="n">
        <f aca="false">P53*Assumptions!$D$71</f>
        <v>195.325624584823</v>
      </c>
      <c r="Q60" s="70" t="n">
        <f aca="false">Q53*Assumptions!$D$71</f>
        <v>207.894049727663</v>
      </c>
      <c r="R60" s="70" t="n">
        <f aca="false">R53*Assumptions!$D$71</f>
        <v>221.423208622492</v>
      </c>
      <c r="S60" s="70" t="n">
        <f aca="false">S53*Assumptions!$D$71</f>
        <v>235.915889358643</v>
      </c>
      <c r="T60" s="70" t="n">
        <f aca="false">T53*Assumptions!$D$71</f>
        <v>251.391652604947</v>
      </c>
      <c r="U60" s="70" t="n">
        <f aca="false">U53*Assumptions!$D$71</f>
        <v>267.8843940859</v>
      </c>
      <c r="V60" s="70" t="n">
        <f aca="false">V53*Assumptions!$D$71</f>
        <v>285.440475907771</v>
      </c>
      <c r="W60" s="70" t="n">
        <f aca="false">W53*Assumptions!$D$71</f>
        <v>304.117337356233</v>
      </c>
      <c r="X60" s="70" t="n">
        <f aca="false">X53*Assumptions!$D$71</f>
        <v>323.982503117625</v>
      </c>
      <c r="Y60" s="70" t="n">
        <f aca="false">Y53*Assumptions!$D$71</f>
        <v>345.112917560458</v>
      </c>
      <c r="Z60" s="70" t="n">
        <f aca="false">Z53*Assumptions!$D$71</f>
        <v>367.59454517494</v>
      </c>
      <c r="AA60" s="70" t="n">
        <f aca="false">AA53*Assumptions!$D$71</f>
        <v>391.522188173335</v>
      </c>
      <c r="AB60" s="70" t="n">
        <f aca="false">AB53*Assumptions!$D$71</f>
        <v>416.99948198887</v>
      </c>
      <c r="AC60" s="70" t="n">
        <f aca="false">AC53*Assumptions!$D$71</f>
        <v>444.139037766538</v>
      </c>
      <c r="AD60" s="70" t="n">
        <f aca="false">AD53*Assumptions!$D$71</f>
        <v>473.062707924914</v>
      </c>
      <c r="AE60" s="70" t="n">
        <f aca="false">AE53*Assumptions!$D$71</f>
        <v>503.901956601323</v>
      </c>
      <c r="AF60" s="70" t="n">
        <f aca="false">AF53*Assumptions!$D$71</f>
        <v>536.798321435262</v>
      </c>
      <c r="AG60" s="70" t="n">
        <f aca="false">AG53*Assumptions!$D$71</f>
        <v>571.90395686752</v>
      </c>
      <c r="AH60" s="70" t="n">
        <f aca="false">AH53*Assumptions!$D$71</f>
        <v>609.38225209598</v>
      </c>
      <c r="AI60" s="70" t="n">
        <f aca="false">AI53*Assumptions!$D$71</f>
        <v>649.408519176135</v>
      </c>
      <c r="AJ60" s="70" t="n">
        <f aca="false">AJ53*Assumptions!$D$71</f>
        <v>692.799975756804</v>
      </c>
      <c r="AK60" s="70" t="n">
        <f aca="false">AK53*Assumptions!$D$71</f>
        <v>741.213301984228</v>
      </c>
      <c r="AL60" s="70" t="n">
        <f aca="false">AL53*Assumptions!$D$71</f>
        <v>793.443406234804</v>
      </c>
      <c r="AM60" s="70" t="n">
        <f aca="false">SUM(C60:AL60)</f>
        <v>10655.0405926602</v>
      </c>
    </row>
    <row r="61" customFormat="false" ht="15" hidden="false" customHeight="false" outlineLevel="0" collapsed="false">
      <c r="A61" s="10" t="s">
        <v>777</v>
      </c>
      <c r="B61" s="9" t="s">
        <v>95</v>
      </c>
      <c r="C61" s="70" t="n">
        <f aca="false">C59+C60</f>
        <v>0</v>
      </c>
      <c r="D61" s="70" t="n">
        <f aca="false">D59+D60</f>
        <v>0</v>
      </c>
      <c r="E61" s="70" t="n">
        <f aca="false">E59+E60</f>
        <v>0</v>
      </c>
      <c r="F61" s="70" t="n">
        <f aca="false">F59+F60</f>
        <v>0</v>
      </c>
      <c r="G61" s="70" t="n">
        <f aca="false">G59+G60</f>
        <v>0</v>
      </c>
      <c r="H61" s="70" t="n">
        <f aca="false">H59+H60</f>
        <v>0</v>
      </c>
      <c r="I61" s="70" t="n">
        <f aca="false">I59+I60</f>
        <v>0</v>
      </c>
      <c r="J61" s="70" t="n">
        <f aca="false">J59+J60</f>
        <v>0</v>
      </c>
      <c r="K61" s="70" t="n">
        <f aca="false">K59+K60</f>
        <v>294.558711943051</v>
      </c>
      <c r="L61" s="70" t="n">
        <f aca="false">L59+L60</f>
        <v>435.515255676538</v>
      </c>
      <c r="M61" s="70" t="n">
        <f aca="false">M59+M60</f>
        <v>568.550934705645</v>
      </c>
      <c r="N61" s="70" t="n">
        <f aca="false">N59+N60</f>
        <v>695.898774090856</v>
      </c>
      <c r="O61" s="70" t="n">
        <f aca="false">O59+O60</f>
        <v>819.421242558181</v>
      </c>
      <c r="P61" s="70" t="n">
        <f aca="false">P59+P60</f>
        <v>940.690892326028</v>
      </c>
      <c r="Q61" s="70" t="n">
        <f aca="false">Q59+Q60</f>
        <v>1061.05499286208</v>
      </c>
      <c r="R61" s="70" t="n">
        <f aca="false">R59+R60</f>
        <v>1181.6872433737</v>
      </c>
      <c r="S61" s="70" t="n">
        <f aca="false">S59+S60</f>
        <v>1303.62915459231</v>
      </c>
      <c r="T61" s="70" t="n">
        <f aca="false">T59+T60</f>
        <v>1427.82323538377</v>
      </c>
      <c r="U61" s="70" t="n">
        <f aca="false">U59+U60</f>
        <v>1555.13972024501</v>
      </c>
      <c r="V61" s="70" t="n">
        <f aca="false">V59+V60</f>
        <v>1686.39823429552</v>
      </c>
      <c r="W61" s="70" t="n">
        <f aca="false">W59+W60</f>
        <v>1822.38551055072</v>
      </c>
      <c r="X61" s="70" t="n">
        <f aca="false">X59+X60</f>
        <v>1963.8700442685</v>
      </c>
      <c r="Y61" s="70" t="n">
        <f aca="false">Y59+Y60</f>
        <v>2111.61438389107</v>
      </c>
      <c r="Z61" s="70" t="n">
        <f aca="false">Z59+Z60</f>
        <v>2266.38561037053</v>
      </c>
      <c r="AA61" s="70" t="n">
        <f aca="false">AA59+AA60</f>
        <v>2428.96443980877</v>
      </c>
      <c r="AB61" s="70" t="n">
        <f aca="false">AB59+AB60</f>
        <v>2600.1532925089</v>
      </c>
      <c r="AC61" s="70" t="n">
        <f aca="false">AC59+AC60</f>
        <v>2780.78359975381</v>
      </c>
      <c r="AD61" s="70" t="n">
        <f aca="false">AD59+AD60</f>
        <v>2971.72256377127</v>
      </c>
      <c r="AE61" s="70" t="n">
        <f aca="false">AE59+AE60</f>
        <v>3173.87954305146</v>
      </c>
      <c r="AF61" s="70" t="n">
        <f aca="false">AF59+AF60</f>
        <v>3388.21220174289</v>
      </c>
      <c r="AG61" s="70" t="n">
        <f aca="false">AG59+AG60</f>
        <v>3615.7325361084</v>
      </c>
      <c r="AH61" s="70" t="n">
        <f aca="false">AH59+AH60</f>
        <v>3857.51287126885</v>
      </c>
      <c r="AI61" s="70" t="n">
        <f aca="false">AI59+AI60</f>
        <v>4114.69190635497</v>
      </c>
      <c r="AJ61" s="70" t="n">
        <f aca="false">AJ59+AJ60</f>
        <v>4389.72964093654</v>
      </c>
      <c r="AK61" s="70" t="n">
        <f aca="false">AK59+AK60</f>
        <v>4687.3431481126</v>
      </c>
      <c r="AL61" s="70" t="n">
        <f aca="false">AL59+AL60</f>
        <v>5007.80334098089</v>
      </c>
      <c r="AM61" s="70" t="n">
        <f aca="false">SUM(C61:AL61)</f>
        <v>63151.1530255329</v>
      </c>
    </row>
    <row r="62" customFormat="false" ht="15" hidden="false" customHeight="false" outlineLevel="0" collapsed="false">
      <c r="A62" s="10" t="s">
        <v>778</v>
      </c>
      <c r="B62" s="9" t="s">
        <v>95</v>
      </c>
      <c r="C62" s="70" t="n">
        <f aca="false">-C61*Assumptions!$D$80</f>
        <v>-0</v>
      </c>
      <c r="D62" s="70" t="n">
        <f aca="false">-D61*Assumptions!$D$80</f>
        <v>-0</v>
      </c>
      <c r="E62" s="70" t="n">
        <f aca="false">-E61*Assumptions!$D$80</f>
        <v>-0</v>
      </c>
      <c r="F62" s="70" t="n">
        <f aca="false">-F61*Assumptions!$D$80</f>
        <v>-0</v>
      </c>
      <c r="G62" s="70" t="n">
        <f aca="false">-G61*Assumptions!$D$80</f>
        <v>-0</v>
      </c>
      <c r="H62" s="70" t="n">
        <f aca="false">-H61*Assumptions!$D$80</f>
        <v>-0</v>
      </c>
      <c r="I62" s="70" t="n">
        <f aca="false">-I61*Assumptions!$D$80</f>
        <v>-0</v>
      </c>
      <c r="J62" s="70" t="n">
        <f aca="false">-J61*Assumptions!$D$80</f>
        <v>-0</v>
      </c>
      <c r="K62" s="70" t="n">
        <f aca="false">-K61*Assumptions!$D$80</f>
        <v>-11.7823484777221</v>
      </c>
      <c r="L62" s="70" t="n">
        <f aca="false">-L61*Assumptions!$D$80</f>
        <v>-17.4206102270615</v>
      </c>
      <c r="M62" s="70" t="n">
        <f aca="false">-M61*Assumptions!$D$80</f>
        <v>-22.7420373882258</v>
      </c>
      <c r="N62" s="70" t="n">
        <f aca="false">-N61*Assumptions!$D$80</f>
        <v>-27.8359509636342</v>
      </c>
      <c r="O62" s="70" t="n">
        <f aca="false">-O61*Assumptions!$D$80</f>
        <v>-32.7768497023273</v>
      </c>
      <c r="P62" s="70" t="n">
        <f aca="false">-P61*Assumptions!$D$80</f>
        <v>-37.6276356930411</v>
      </c>
      <c r="Q62" s="70" t="n">
        <f aca="false">-Q61*Assumptions!$D$80</f>
        <v>-42.4421997144833</v>
      </c>
      <c r="R62" s="70" t="n">
        <f aca="false">-R61*Assumptions!$D$80</f>
        <v>-47.267489734948</v>
      </c>
      <c r="S62" s="70" t="n">
        <f aca="false">-S61*Assumptions!$D$80</f>
        <v>-52.1451661836924</v>
      </c>
      <c r="T62" s="70" t="n">
        <f aca="false">-T61*Assumptions!$D$80</f>
        <v>-57.1129294153508</v>
      </c>
      <c r="U62" s="70" t="n">
        <f aca="false">-U61*Assumptions!$D$80</f>
        <v>-62.2055888098002</v>
      </c>
      <c r="V62" s="70" t="n">
        <f aca="false">-V61*Assumptions!$D$80</f>
        <v>-67.4559293718207</v>
      </c>
      <c r="W62" s="70" t="n">
        <f aca="false">-W61*Assumptions!$D$80</f>
        <v>-72.895420422029</v>
      </c>
      <c r="X62" s="70" t="n">
        <f aca="false">-X61*Assumptions!$D$80</f>
        <v>-78.5548017707399</v>
      </c>
      <c r="Y62" s="70" t="n">
        <f aca="false">-Y61*Assumptions!$D$80</f>
        <v>-84.4645753556426</v>
      </c>
      <c r="Z62" s="70" t="n">
        <f aca="false">-Z61*Assumptions!$D$80</f>
        <v>-90.6554244148213</v>
      </c>
      <c r="AA62" s="70" t="n">
        <f aca="false">-AA61*Assumptions!$D$80</f>
        <v>-97.1585775923506</v>
      </c>
      <c r="AB62" s="70" t="n">
        <f aca="false">-AB61*Assumptions!$D$80</f>
        <v>-104.006131700356</v>
      </c>
      <c r="AC62" s="70" t="n">
        <f aca="false">-AC61*Assumptions!$D$80</f>
        <v>-111.231343990153</v>
      </c>
      <c r="AD62" s="70" t="n">
        <f aca="false">-AD61*Assumptions!$D$80</f>
        <v>-118.868902550851</v>
      </c>
      <c r="AE62" s="70" t="n">
        <f aca="false">-AE61*Assumptions!$D$80</f>
        <v>-126.955181722058</v>
      </c>
      <c r="AF62" s="70" t="n">
        <f aca="false">-AF61*Assumptions!$D$80</f>
        <v>-135.528488069715</v>
      </c>
      <c r="AG62" s="70" t="n">
        <f aca="false">-AG61*Assumptions!$D$80</f>
        <v>-144.629301444336</v>
      </c>
      <c r="AH62" s="70" t="n">
        <f aca="false">-AH61*Assumptions!$D$80</f>
        <v>-154.300514850754</v>
      </c>
      <c r="AI62" s="70" t="n">
        <f aca="false">-AI61*Assumptions!$D$80</f>
        <v>-164.587676254199</v>
      </c>
      <c r="AJ62" s="70" t="n">
        <f aca="false">-AJ61*Assumptions!$D$80</f>
        <v>-175.589185637462</v>
      </c>
      <c r="AK62" s="70" t="n">
        <f aca="false">-AK61*Assumptions!$D$80</f>
        <v>-187.493725924504</v>
      </c>
      <c r="AL62" s="70" t="n">
        <f aca="false">-AL61*Assumptions!$D$80</f>
        <v>-200.312133639236</v>
      </c>
      <c r="AM62" s="70" t="n">
        <f aca="false">SUM(C62:AL62)</f>
        <v>-2526.04612102131</v>
      </c>
    </row>
    <row r="63" customFormat="false" ht="15" hidden="false" customHeight="false" outlineLevel="0" collapsed="false">
      <c r="A63" s="38" t="s">
        <v>779</v>
      </c>
      <c r="B63" s="9" t="s">
        <v>95</v>
      </c>
      <c r="C63" s="53" t="n">
        <f aca="false">C61+C62</f>
        <v>0</v>
      </c>
      <c r="D63" s="53" t="n">
        <f aca="false">D61+D62</f>
        <v>0</v>
      </c>
      <c r="E63" s="53" t="n">
        <f aca="false">E61+E62</f>
        <v>0</v>
      </c>
      <c r="F63" s="53" t="n">
        <f aca="false">F61+F62</f>
        <v>0</v>
      </c>
      <c r="G63" s="53" t="n">
        <f aca="false">G61+G62</f>
        <v>0</v>
      </c>
      <c r="H63" s="53" t="n">
        <f aca="false">H61+H62</f>
        <v>0</v>
      </c>
      <c r="I63" s="53" t="n">
        <f aca="false">I61+I62</f>
        <v>0</v>
      </c>
      <c r="J63" s="53" t="n">
        <f aca="false">J61+J62</f>
        <v>0</v>
      </c>
      <c r="K63" s="53" t="n">
        <f aca="false">K61+K62</f>
        <v>282.776363465329</v>
      </c>
      <c r="L63" s="53" t="n">
        <f aca="false">L61+L62</f>
        <v>418.094645449476</v>
      </c>
      <c r="M63" s="53" t="n">
        <f aca="false">M61+M62</f>
        <v>545.80889731742</v>
      </c>
      <c r="N63" s="53" t="n">
        <f aca="false">N61+N62</f>
        <v>668.062823127221</v>
      </c>
      <c r="O63" s="53" t="n">
        <f aca="false">O61+O62</f>
        <v>786.644392855854</v>
      </c>
      <c r="P63" s="53" t="n">
        <f aca="false">P61+P62</f>
        <v>903.063256632986</v>
      </c>
      <c r="Q63" s="53" t="n">
        <f aca="false">Q61+Q62</f>
        <v>1018.6127931476</v>
      </c>
      <c r="R63" s="53" t="n">
        <f aca="false">R61+R62</f>
        <v>1134.41975363875</v>
      </c>
      <c r="S63" s="53" t="n">
        <f aca="false">S61+S62</f>
        <v>1251.48398840862</v>
      </c>
      <c r="T63" s="53" t="n">
        <f aca="false">T61+T62</f>
        <v>1370.71030596842</v>
      </c>
      <c r="U63" s="53" t="n">
        <f aca="false">U61+U62</f>
        <v>1492.93413143521</v>
      </c>
      <c r="V63" s="53" t="n">
        <f aca="false">V61+V62</f>
        <v>1618.9423049237</v>
      </c>
      <c r="W63" s="53" t="n">
        <f aca="false">W61+W62</f>
        <v>1749.4900901287</v>
      </c>
      <c r="X63" s="53" t="n">
        <f aca="false">X61+X62</f>
        <v>1885.31524249776</v>
      </c>
      <c r="Y63" s="53" t="n">
        <f aca="false">Y61+Y62</f>
        <v>2027.14980853542</v>
      </c>
      <c r="Z63" s="53" t="n">
        <f aca="false">Z61+Z62</f>
        <v>2175.73018595571</v>
      </c>
      <c r="AA63" s="53" t="n">
        <f aca="false">AA61+AA62</f>
        <v>2331.80586221642</v>
      </c>
      <c r="AB63" s="53" t="n">
        <f aca="false">AB61+AB62</f>
        <v>2496.14716080854</v>
      </c>
      <c r="AC63" s="53" t="n">
        <f aca="false">AC61+AC62</f>
        <v>2669.55225576366</v>
      </c>
      <c r="AD63" s="53" t="n">
        <f aca="false">AD61+AD62</f>
        <v>2852.85366122042</v>
      </c>
      <c r="AE63" s="53" t="n">
        <f aca="false">AE61+AE62</f>
        <v>3046.9243613294</v>
      </c>
      <c r="AF63" s="53" t="n">
        <f aca="false">AF61+AF62</f>
        <v>3252.68371367317</v>
      </c>
      <c r="AG63" s="53" t="n">
        <f aca="false">AG61+AG62</f>
        <v>3471.10323466407</v>
      </c>
      <c r="AH63" s="53" t="n">
        <f aca="false">AH61+AH62</f>
        <v>3703.2123564181</v>
      </c>
      <c r="AI63" s="53" t="n">
        <f aca="false">AI61+AI62</f>
        <v>3950.10423010077</v>
      </c>
      <c r="AJ63" s="53" t="n">
        <f aca="false">AJ61+AJ62</f>
        <v>4214.14045529908</v>
      </c>
      <c r="AK63" s="53" t="n">
        <f aca="false">AK61+AK62</f>
        <v>4499.8494221881</v>
      </c>
      <c r="AL63" s="53" t="n">
        <f aca="false">AL61+AL62</f>
        <v>4807.49120734165</v>
      </c>
      <c r="AM63" s="53" t="n">
        <f aca="false">SUM(C63:AL63)</f>
        <v>60625.1069045115</v>
      </c>
    </row>
    <row r="64" customFormat="false" ht="15" hidden="false" customHeight="false" outlineLevel="0" collapsed="false">
      <c r="A64" s="10" t="s">
        <v>780</v>
      </c>
      <c r="B64" s="9" t="s">
        <v>95</v>
      </c>
      <c r="C64" s="70" t="n">
        <f aca="false">-C57*Assumptions!$D$73</f>
        <v>-0</v>
      </c>
      <c r="D64" s="70" t="n">
        <f aca="false">-D57*Assumptions!$D$73</f>
        <v>-0</v>
      </c>
      <c r="E64" s="70" t="n">
        <f aca="false">-E57*Assumptions!$D$73</f>
        <v>-0</v>
      </c>
      <c r="F64" s="70" t="n">
        <f aca="false">-F57*Assumptions!$D$73</f>
        <v>-0</v>
      </c>
      <c r="G64" s="70" t="n">
        <f aca="false">-G57*Assumptions!$D$73</f>
        <v>-0</v>
      </c>
      <c r="H64" s="70" t="n">
        <f aca="false">-H57*Assumptions!$D$73</f>
        <v>-0</v>
      </c>
      <c r="I64" s="70" t="n">
        <f aca="false">-I57*Assumptions!$D$73</f>
        <v>-0</v>
      </c>
      <c r="J64" s="70" t="n">
        <f aca="false">-J57*Assumptions!$D$73</f>
        <v>-0</v>
      </c>
      <c r="K64" s="70" t="n">
        <f aca="false">-K57*Assumptions!$D$73</f>
        <v>-77.1073299692521</v>
      </c>
      <c r="L64" s="70" t="n">
        <f aca="false">-L57*Assumptions!$D$73</f>
        <v>-147.807765497389</v>
      </c>
      <c r="M64" s="70" t="n">
        <f aca="false">-M57*Assumptions!$D$73</f>
        <v>-213.626116680366</v>
      </c>
      <c r="N64" s="70" t="n">
        <f aca="false">-N57*Assumptions!$D$73</f>
        <v>-275.815366039289</v>
      </c>
      <c r="O64" s="70" t="n">
        <f aca="false">-O57*Assumptions!$D$73</f>
        <v>-335.412332337481</v>
      </c>
      <c r="P64" s="70" t="n">
        <f aca="false">-P57*Assumptions!$D$73</f>
        <v>-393.28318147149</v>
      </c>
      <c r="Q64" s="70" t="n">
        <f aca="false">-Q57*Assumptions!$D$73</f>
        <v>-450.160296628713</v>
      </c>
      <c r="R64" s="70" t="n">
        <f aca="false">-R57*Assumptions!$D$73</f>
        <v>-506.67197813506</v>
      </c>
      <c r="S64" s="70" t="n">
        <f aca="false">-S57*Assumptions!$D$73</f>
        <v>-563.366295726308</v>
      </c>
      <c r="T64" s="70" t="n">
        <f aca="false">-T57*Assumptions!$D$73</f>
        <v>-620.73023211948</v>
      </c>
      <c r="U64" s="70" t="n">
        <f aca="false">-U57*Assumptions!$D$73</f>
        <v>-679.205071591488</v>
      </c>
      <c r="V64" s="70" t="n">
        <f aca="false">-V57*Assumptions!$D$73</f>
        <v>-739.198817239766</v>
      </c>
      <c r="W64" s="70" t="n">
        <f aca="false">-W57*Assumptions!$D$73</f>
        <v>-801.096272288551</v>
      </c>
      <c r="X64" s="70" t="n">
        <f aca="false">-X57*Assumptions!$D$73</f>
        <v>-865.267295582118</v>
      </c>
      <c r="Y64" s="70" t="n">
        <f aca="false">-Y57*Assumptions!$D$73</f>
        <v>-932.073638013637</v>
      </c>
      <c r="Z64" s="70" t="n">
        <f aca="false">-Z57*Assumptions!$D$73</f>
        <v>-1001.87468264089</v>
      </c>
      <c r="AA64" s="70" t="n">
        <f aca="false">-AA57*Assumptions!$D$73</f>
        <v>-1075.03234382774</v>
      </c>
      <c r="AB64" s="70" t="n">
        <f aca="false">-AB57*Assumptions!$D$73</f>
        <v>-1151.91532715881</v>
      </c>
      <c r="AC64" s="70" t="n">
        <f aca="false">-AC57*Assumptions!$D$73</f>
        <v>-1232.90290959128</v>
      </c>
      <c r="AD64" s="70" t="n">
        <f aca="false">-AD57*Assumptions!$D$73</f>
        <v>-1318.38836615009</v>
      </c>
      <c r="AE64" s="70" t="n">
        <f aca="false">-AE57*Assumptions!$D$73</f>
        <v>-1408.78214360434</v>
      </c>
      <c r="AF64" s="70" t="n">
        <f aca="false">-AF57*Assumptions!$D$73</f>
        <v>-1504.51486146885</v>
      </c>
      <c r="AG64" s="70" t="n">
        <f aca="false">-AG57*Assumptions!$D$73</f>
        <v>-1606.0402051271</v>
      </c>
      <c r="AH64" s="70" t="n">
        <f aca="false">-AH57*Assumptions!$D$73</f>
        <v>-1713.83776388518</v>
      </c>
      <c r="AI64" s="70" t="n">
        <f aca="false">-AI57*Assumptions!$D$73</f>
        <v>-1828.41585755667</v>
      </c>
      <c r="AJ64" s="70" t="n">
        <f aca="false">-AJ57*Assumptions!$D$73</f>
        <v>-1950.64128062247</v>
      </c>
      <c r="AK64" s="70" t="n">
        <f aca="false">-AK57*Assumptions!$D$73</f>
        <v>-2082.12881328382</v>
      </c>
      <c r="AL64" s="70" t="n">
        <f aca="false">-AL57*Assumptions!$D$73</f>
        <v>-2223.6572520017</v>
      </c>
      <c r="AM64" s="70" t="n">
        <f aca="false">SUM(C64:AL64)</f>
        <v>-27698.9537962393</v>
      </c>
    </row>
    <row r="65" customFormat="false" ht="15" hidden="false" customHeight="false" outlineLevel="0" collapsed="false">
      <c r="A65" s="10" t="s">
        <v>781</v>
      </c>
      <c r="B65" s="9" t="s">
        <v>95</v>
      </c>
      <c r="C65" s="70" t="n">
        <f aca="false">-C54*Assumptions!$D$74</f>
        <v>-0</v>
      </c>
      <c r="D65" s="70" t="n">
        <f aca="false">-D54*Assumptions!$D$74</f>
        <v>-0</v>
      </c>
      <c r="E65" s="70" t="n">
        <f aca="false">-E54*Assumptions!$D$74</f>
        <v>-0</v>
      </c>
      <c r="F65" s="70" t="n">
        <f aca="false">-F54*Assumptions!$D$74</f>
        <v>-0</v>
      </c>
      <c r="G65" s="70" t="n">
        <f aca="false">-G54*Assumptions!$D$74</f>
        <v>-0</v>
      </c>
      <c r="H65" s="70" t="n">
        <f aca="false">-H54*Assumptions!$D$74</f>
        <v>-0</v>
      </c>
      <c r="I65" s="70" t="n">
        <f aca="false">-I54*Assumptions!$D$74</f>
        <v>-0</v>
      </c>
      <c r="J65" s="70" t="n">
        <f aca="false">-J54*Assumptions!$D$74</f>
        <v>-0</v>
      </c>
      <c r="K65" s="70" t="n">
        <f aca="false">-K54*Assumptions!$D$74</f>
        <v>-103.592471969439</v>
      </c>
      <c r="L65" s="70" t="n">
        <f aca="false">-L54*Assumptions!$D$74</f>
        <v>-108.451932499964</v>
      </c>
      <c r="M65" s="70" t="n">
        <f aca="false">-M54*Assumptions!$D$74</f>
        <v>-114.240968245818</v>
      </c>
      <c r="N65" s="70" t="n">
        <f aca="false">-N54*Assumptions!$D$74</f>
        <v>-120.860695737623</v>
      </c>
      <c r="O65" s="70" t="n">
        <f aca="false">-O54*Assumptions!$D$74</f>
        <v>-128.239539475996</v>
      </c>
      <c r="P65" s="70" t="n">
        <f aca="false">-P54*Assumptions!$D$74</f>
        <v>-136.329313485734</v>
      </c>
      <c r="Q65" s="70" t="n">
        <f aca="false">-Q54*Assumptions!$D$74</f>
        <v>-145.101561238492</v>
      </c>
      <c r="R65" s="70" t="n">
        <f aca="false">-R54*Assumptions!$D$74</f>
        <v>-154.544361936515</v>
      </c>
      <c r="S65" s="70" t="n">
        <f aca="false">-S54*Assumptions!$D$74</f>
        <v>-164.659661552359</v>
      </c>
      <c r="T65" s="70" t="n">
        <f aca="false">-T54*Assumptions!$D$74</f>
        <v>-175.461112634473</v>
      </c>
      <c r="U65" s="70" t="n">
        <f aca="false">-U54*Assumptions!$D$74</f>
        <v>-186.972373015057</v>
      </c>
      <c r="V65" s="70" t="n">
        <f aca="false">-V54*Assumptions!$D$74</f>
        <v>-199.225801551954</v>
      </c>
      <c r="W65" s="70" t="n">
        <f aca="false">-W54*Assumptions!$D$74</f>
        <v>-212.261488522106</v>
      </c>
      <c r="X65" s="70" t="n">
        <f aca="false">-X54*Assumptions!$D$74</f>
        <v>-226.126563400465</v>
      </c>
      <c r="Y65" s="70" t="n">
        <f aca="false">-Y54*Assumptions!$D$74</f>
        <v>-240.874730215667</v>
      </c>
      <c r="Z65" s="70" t="n">
        <f aca="false">-Z54*Assumptions!$D$74</f>
        <v>-256.565988673121</v>
      </c>
      <c r="AA65" s="70" t="n">
        <f aca="false">-AA54*Assumptions!$D$74</f>
        <v>-273.266506847511</v>
      </c>
      <c r="AB65" s="70" t="n">
        <f aca="false">-AB54*Assumptions!$D$74</f>
        <v>-291.048618041211</v>
      </c>
      <c r="AC65" s="70" t="n">
        <f aca="false">-AC54*Assumptions!$D$74</f>
        <v>-309.990920237053</v>
      </c>
      <c r="AD65" s="70" t="n">
        <f aca="false">-AD54*Assumptions!$D$74</f>
        <v>-330.178461449634</v>
      </c>
      <c r="AE65" s="70" t="n">
        <f aca="false">-AE54*Assumptions!$D$74</f>
        <v>-351.702998280923</v>
      </c>
      <c r="AF65" s="70" t="n">
        <f aca="false">-AF54*Assumptions!$D$74</f>
        <v>-374.663318226244</v>
      </c>
      <c r="AG65" s="70" t="n">
        <f aca="false">-AG54*Assumptions!$D$74</f>
        <v>-399.165618874881</v>
      </c>
      <c r="AH65" s="70" t="n">
        <f aca="false">-AH54*Assumptions!$D$74</f>
        <v>-425.323939218011</v>
      </c>
      <c r="AI65" s="70" t="n">
        <f aca="false">-AI54*Assumptions!$D$74</f>
        <v>-453.260639914772</v>
      </c>
      <c r="AJ65" s="70" t="n">
        <f aca="false">-AJ54*Assumptions!$D$74</f>
        <v>-483.546105528218</v>
      </c>
      <c r="AK65" s="70" t="n">
        <f aca="false">-AK54*Assumptions!$D$74</f>
        <v>-517.336631180829</v>
      </c>
      <c r="AL65" s="70" t="n">
        <f aca="false">-AL54*Assumptions!$D$74</f>
        <v>-553.791112106741</v>
      </c>
      <c r="AM65" s="70" t="n">
        <f aca="false">SUM(C65:AL65)</f>
        <v>-7436.78343406081</v>
      </c>
    </row>
    <row r="66" customFormat="false" ht="15" hidden="false" customHeight="false" outlineLevel="0" collapsed="false">
      <c r="A66" s="10" t="s">
        <v>782</v>
      </c>
      <c r="B66" s="9" t="s">
        <v>95</v>
      </c>
      <c r="C66" s="70" t="n">
        <f aca="false">-C57*Assumptions!$D$75</f>
        <v>-0</v>
      </c>
      <c r="D66" s="70" t="n">
        <f aca="false">-D57*Assumptions!$D$75</f>
        <v>-0</v>
      </c>
      <c r="E66" s="70" t="n">
        <f aca="false">-E57*Assumptions!$D$75</f>
        <v>-0</v>
      </c>
      <c r="F66" s="70" t="n">
        <f aca="false">-F57*Assumptions!$D$75</f>
        <v>-0</v>
      </c>
      <c r="G66" s="70" t="n">
        <f aca="false">-G57*Assumptions!$D$75</f>
        <v>-0</v>
      </c>
      <c r="H66" s="70" t="n">
        <f aca="false">-H57*Assumptions!$D$75</f>
        <v>-0</v>
      </c>
      <c r="I66" s="70" t="n">
        <f aca="false">-I57*Assumptions!$D$75</f>
        <v>-0</v>
      </c>
      <c r="J66" s="70" t="n">
        <f aca="false">-J57*Assumptions!$D$75</f>
        <v>-0</v>
      </c>
      <c r="K66" s="70" t="n">
        <f aca="false">-K57*Assumptions!$D$75</f>
        <v>-7.34355523516687</v>
      </c>
      <c r="L66" s="70" t="n">
        <f aca="false">-L57*Assumptions!$D$75</f>
        <v>-14.0769300473704</v>
      </c>
      <c r="M66" s="70" t="n">
        <f aca="false">-M57*Assumptions!$D$75</f>
        <v>-20.3453444457492</v>
      </c>
      <c r="N66" s="70" t="n">
        <f aca="false">-N57*Assumptions!$D$75</f>
        <v>-26.2681300989799</v>
      </c>
      <c r="O66" s="70" t="n">
        <f aca="false">-O57*Assumptions!$D$75</f>
        <v>-31.9440316511887</v>
      </c>
      <c r="P66" s="70" t="n">
        <f aca="false">-P57*Assumptions!$D$75</f>
        <v>-37.4555410925228</v>
      </c>
      <c r="Q66" s="70" t="n">
        <f aca="false">-Q57*Assumptions!$D$75</f>
        <v>-42.8724092027346</v>
      </c>
      <c r="R66" s="70" t="n">
        <f aca="false">-R57*Assumptions!$D$75</f>
        <v>-48.2544741081009</v>
      </c>
      <c r="S66" s="70" t="n">
        <f aca="false">-S57*Assumptions!$D$75</f>
        <v>-53.653932926315</v>
      </c>
      <c r="T66" s="70" t="n">
        <f aca="false">-T57*Assumptions!$D$75</f>
        <v>-59.11716496376</v>
      </c>
      <c r="U66" s="70" t="n">
        <f aca="false">-U57*Assumptions!$D$75</f>
        <v>-64.6861972944274</v>
      </c>
      <c r="V66" s="70" t="n">
        <f aca="false">-V57*Assumptions!$D$75</f>
        <v>-70.3998873561682</v>
      </c>
      <c r="W66" s="70" t="n">
        <f aca="false">-W57*Assumptions!$D$75</f>
        <v>-76.2948830751001</v>
      </c>
      <c r="X66" s="70" t="n">
        <f aca="false">-X57*Assumptions!$D$75</f>
        <v>-82.4064091030589</v>
      </c>
      <c r="Y66" s="70" t="n">
        <f aca="false">-Y57*Assumptions!$D$75</f>
        <v>-88.7689179060607</v>
      </c>
      <c r="Z66" s="70" t="n">
        <f aca="false">-Z57*Assumptions!$D$75</f>
        <v>-95.4166364419896</v>
      </c>
      <c r="AA66" s="70" t="n">
        <f aca="false">-AA57*Assumptions!$D$75</f>
        <v>-102.384032745499</v>
      </c>
      <c r="AB66" s="70" t="n">
        <f aca="false">-AB57*Assumptions!$D$75</f>
        <v>-109.706221634172</v>
      </c>
      <c r="AC66" s="70" t="n">
        <f aca="false">-AC57*Assumptions!$D$75</f>
        <v>-117.419324722979</v>
      </c>
      <c r="AD66" s="70" t="n">
        <f aca="false">-AD57*Assumptions!$D$75</f>
        <v>-125.560796776199</v>
      </c>
      <c r="AE66" s="70" t="n">
        <f aca="false">-AE57*Assumptions!$D$75</f>
        <v>-134.169727962318</v>
      </c>
      <c r="AF66" s="70" t="n">
        <f aca="false">-AF57*Assumptions!$D$75</f>
        <v>-143.2871296637</v>
      </c>
      <c r="AG66" s="70" t="n">
        <f aca="false">-AG57*Assumptions!$D$75</f>
        <v>-152.956210012105</v>
      </c>
      <c r="AH66" s="70" t="n">
        <f aca="false">-AH57*Assumptions!$D$75</f>
        <v>-163.222644179541</v>
      </c>
      <c r="AI66" s="70" t="n">
        <f aca="false">-AI57*Assumptions!$D$75</f>
        <v>-174.134843576826</v>
      </c>
      <c r="AJ66" s="70" t="n">
        <f aca="false">-AJ57*Assumptions!$D$75</f>
        <v>-185.775360059283</v>
      </c>
      <c r="AK66" s="70" t="n">
        <f aca="false">-AK57*Assumptions!$D$75</f>
        <v>-198.297982217506</v>
      </c>
      <c r="AL66" s="70" t="n">
        <f aca="false">-AL57*Assumptions!$D$75</f>
        <v>-211.776881143019</v>
      </c>
      <c r="AM66" s="70" t="n">
        <f aca="false">SUM(C66:AL66)</f>
        <v>-2637.99559964184</v>
      </c>
    </row>
    <row r="67" customFormat="false" ht="15" hidden="false" customHeight="false" outlineLevel="0" collapsed="false">
      <c r="A67" s="10" t="s">
        <v>783</v>
      </c>
      <c r="B67" s="9" t="s">
        <v>95</v>
      </c>
      <c r="C67" s="70" t="n">
        <f aca="false">-C57*Assumptions!$D$76</f>
        <v>-0</v>
      </c>
      <c r="D67" s="70" t="n">
        <f aca="false">-D57*Assumptions!$D$76</f>
        <v>-0</v>
      </c>
      <c r="E67" s="70" t="n">
        <f aca="false">-E57*Assumptions!$D$76</f>
        <v>-0</v>
      </c>
      <c r="F67" s="70" t="n">
        <f aca="false">-F57*Assumptions!$D$76</f>
        <v>-0</v>
      </c>
      <c r="G67" s="70" t="n">
        <f aca="false">-G57*Assumptions!$D$76</f>
        <v>-0</v>
      </c>
      <c r="H67" s="70" t="n">
        <f aca="false">-H57*Assumptions!$D$76</f>
        <v>-0</v>
      </c>
      <c r="I67" s="70" t="n">
        <f aca="false">-I57*Assumptions!$D$76</f>
        <v>-0</v>
      </c>
      <c r="J67" s="70" t="n">
        <f aca="false">-J57*Assumptions!$D$76</f>
        <v>-0</v>
      </c>
      <c r="K67" s="70" t="n">
        <f aca="false">-K57*Assumptions!$D$76</f>
        <v>-16.1558215173671</v>
      </c>
      <c r="L67" s="70" t="n">
        <f aca="false">-L57*Assumptions!$D$76</f>
        <v>-30.9692461042149</v>
      </c>
      <c r="M67" s="70" t="n">
        <f aca="false">-M57*Assumptions!$D$76</f>
        <v>-44.7597577806482</v>
      </c>
      <c r="N67" s="70" t="n">
        <f aca="false">-N57*Assumptions!$D$76</f>
        <v>-57.7898862177558</v>
      </c>
      <c r="O67" s="70" t="n">
        <f aca="false">-O57*Assumptions!$D$76</f>
        <v>-70.2768696326151</v>
      </c>
      <c r="P67" s="70" t="n">
        <f aca="false">-P57*Assumptions!$D$76</f>
        <v>-82.4021904035502</v>
      </c>
      <c r="Q67" s="70" t="n">
        <f aca="false">-Q57*Assumptions!$D$76</f>
        <v>-94.3193002460161</v>
      </c>
      <c r="R67" s="70" t="n">
        <f aca="false">-R57*Assumptions!$D$76</f>
        <v>-106.159843037822</v>
      </c>
      <c r="S67" s="70" t="n">
        <f aca="false">-S57*Assumptions!$D$76</f>
        <v>-118.038652437893</v>
      </c>
      <c r="T67" s="70" t="n">
        <f aca="false">-T57*Assumptions!$D$76</f>
        <v>-130.057762920272</v>
      </c>
      <c r="U67" s="70" t="n">
        <f aca="false">-U57*Assumptions!$D$76</f>
        <v>-142.30963404774</v>
      </c>
      <c r="V67" s="70" t="n">
        <f aca="false">-V57*Assumptions!$D$76</f>
        <v>-154.87975218357</v>
      </c>
      <c r="W67" s="70" t="n">
        <f aca="false">-W57*Assumptions!$D$76</f>
        <v>-167.84874276522</v>
      </c>
      <c r="X67" s="70" t="n">
        <f aca="false">-X57*Assumptions!$D$76</f>
        <v>-181.29410002673</v>
      </c>
      <c r="Y67" s="70" t="n">
        <f aca="false">-Y57*Assumptions!$D$76</f>
        <v>-195.291619393334</v>
      </c>
      <c r="Z67" s="70" t="n">
        <f aca="false">-Z57*Assumptions!$D$76</f>
        <v>-209.916600172377</v>
      </c>
      <c r="AA67" s="70" t="n">
        <f aca="false">-AA57*Assumptions!$D$76</f>
        <v>-225.244872040098</v>
      </c>
      <c r="AB67" s="70" t="n">
        <f aca="false">-AB57*Assumptions!$D$76</f>
        <v>-241.353687595179</v>
      </c>
      <c r="AC67" s="70" t="n">
        <f aca="false">-AC57*Assumptions!$D$76</f>
        <v>-258.322514390553</v>
      </c>
      <c r="AD67" s="70" t="n">
        <f aca="false">-AD57*Assumptions!$D$76</f>
        <v>-276.233752907638</v>
      </c>
      <c r="AE67" s="70" t="n">
        <f aca="false">-AE57*Assumptions!$D$76</f>
        <v>-295.173401517101</v>
      </c>
      <c r="AF67" s="70" t="n">
        <f aca="false">-AF57*Assumptions!$D$76</f>
        <v>-315.231685260139</v>
      </c>
      <c r="AG67" s="70" t="n">
        <f aca="false">-AG57*Assumptions!$D$76</f>
        <v>-336.50366202663</v>
      </c>
      <c r="AH67" s="70" t="n">
        <f aca="false">-AH57*Assumptions!$D$76</f>
        <v>-359.089817194991</v>
      </c>
      <c r="AI67" s="70" t="n">
        <f aca="false">-AI57*Assumptions!$D$76</f>
        <v>-383.096655869017</v>
      </c>
      <c r="AJ67" s="70" t="n">
        <f aca="false">-AJ57*Assumptions!$D$76</f>
        <v>-408.705792130423</v>
      </c>
      <c r="AK67" s="70" t="n">
        <f aca="false">-AK57*Assumptions!$D$76</f>
        <v>-436.255560878514</v>
      </c>
      <c r="AL67" s="70" t="n">
        <f aca="false">-AL57*Assumptions!$D$76</f>
        <v>-465.909138514643</v>
      </c>
      <c r="AM67" s="70" t="n">
        <f aca="false">SUM(C67:AL67)</f>
        <v>-5803.59031921205</v>
      </c>
    </row>
    <row r="68" customFormat="false" ht="15" hidden="false" customHeight="false" outlineLevel="0" collapsed="false">
      <c r="A68" s="10" t="s">
        <v>784</v>
      </c>
      <c r="B68" s="9" t="s">
        <v>95</v>
      </c>
      <c r="C68" s="70" t="n">
        <f aca="false">-C57*Assumptions!$D$77</f>
        <v>-0</v>
      </c>
      <c r="D68" s="70" t="n">
        <f aca="false">-D57*Assumptions!$D$77</f>
        <v>-0</v>
      </c>
      <c r="E68" s="70" t="n">
        <f aca="false">-E57*Assumptions!$D$77</f>
        <v>-0</v>
      </c>
      <c r="F68" s="70" t="n">
        <f aca="false">-F57*Assumptions!$D$77</f>
        <v>-0</v>
      </c>
      <c r="G68" s="70" t="n">
        <f aca="false">-G57*Assumptions!$D$77</f>
        <v>-0</v>
      </c>
      <c r="H68" s="70" t="n">
        <f aca="false">-H57*Assumptions!$D$77</f>
        <v>-0</v>
      </c>
      <c r="I68" s="70" t="n">
        <f aca="false">-I57*Assumptions!$D$77</f>
        <v>-0</v>
      </c>
      <c r="J68" s="70" t="n">
        <f aca="false">-J57*Assumptions!$D$77</f>
        <v>-0</v>
      </c>
      <c r="K68" s="70" t="n">
        <f aca="false">-K57*Assumptions!$D$77</f>
        <v>-4.40613314110012</v>
      </c>
      <c r="L68" s="70" t="n">
        <f aca="false">-L57*Assumptions!$D$77</f>
        <v>-8.44615802842225</v>
      </c>
      <c r="M68" s="70" t="n">
        <f aca="false">-M57*Assumptions!$D$77</f>
        <v>-12.2072066674495</v>
      </c>
      <c r="N68" s="70" t="n">
        <f aca="false">-N57*Assumptions!$D$77</f>
        <v>-15.7608780593879</v>
      </c>
      <c r="O68" s="70" t="n">
        <f aca="false">-O57*Assumptions!$D$77</f>
        <v>-19.1664189907132</v>
      </c>
      <c r="P68" s="70" t="n">
        <f aca="false">-P57*Assumptions!$D$77</f>
        <v>-22.4733246555137</v>
      </c>
      <c r="Q68" s="70" t="n">
        <f aca="false">-Q57*Assumptions!$D$77</f>
        <v>-25.7234455216408</v>
      </c>
      <c r="R68" s="70" t="n">
        <f aca="false">-R57*Assumptions!$D$77</f>
        <v>-28.9526844648606</v>
      </c>
      <c r="S68" s="70" t="n">
        <f aca="false">-S57*Assumptions!$D$77</f>
        <v>-32.192359755789</v>
      </c>
      <c r="T68" s="70" t="n">
        <f aca="false">-T57*Assumptions!$D$77</f>
        <v>-35.470298978256</v>
      </c>
      <c r="U68" s="70" t="n">
        <f aca="false">-U57*Assumptions!$D$77</f>
        <v>-38.8117183766565</v>
      </c>
      <c r="V68" s="70" t="n">
        <f aca="false">-V57*Assumptions!$D$77</f>
        <v>-42.2399324137009</v>
      </c>
      <c r="W68" s="70" t="n">
        <f aca="false">-W57*Assumptions!$D$77</f>
        <v>-45.77692984506</v>
      </c>
      <c r="X68" s="70" t="n">
        <f aca="false">-X57*Assumptions!$D$77</f>
        <v>-49.4438454618353</v>
      </c>
      <c r="Y68" s="70" t="n">
        <f aca="false">-Y57*Assumptions!$D$77</f>
        <v>-53.2613507436364</v>
      </c>
      <c r="Z68" s="70" t="n">
        <f aca="false">-Z57*Assumptions!$D$77</f>
        <v>-57.2499818651938</v>
      </c>
      <c r="AA68" s="70" t="n">
        <f aca="false">-AA57*Assumptions!$D$77</f>
        <v>-61.4304196472994</v>
      </c>
      <c r="AB68" s="70" t="n">
        <f aca="false">-AB57*Assumptions!$D$77</f>
        <v>-65.8237329805033</v>
      </c>
      <c r="AC68" s="70" t="n">
        <f aca="false">-AC57*Assumptions!$D$77</f>
        <v>-70.4515948337872</v>
      </c>
      <c r="AD68" s="70" t="n">
        <f aca="false">-AD57*Assumptions!$D$77</f>
        <v>-75.3364780657193</v>
      </c>
      <c r="AE68" s="70" t="n">
        <f aca="false">-AE57*Assumptions!$D$77</f>
        <v>-80.5018367773911</v>
      </c>
      <c r="AF68" s="70" t="n">
        <f aca="false">-AF57*Assumptions!$D$77</f>
        <v>-85.9722777982198</v>
      </c>
      <c r="AG68" s="70" t="n">
        <f aca="false">-AG57*Assumptions!$D$77</f>
        <v>-91.7737260072628</v>
      </c>
      <c r="AH68" s="70" t="n">
        <f aca="false">-AH57*Assumptions!$D$77</f>
        <v>-97.9335865077247</v>
      </c>
      <c r="AI68" s="70" t="n">
        <f aca="false">-AI57*Assumptions!$D$77</f>
        <v>-104.480906146095</v>
      </c>
      <c r="AJ68" s="70" t="n">
        <f aca="false">-AJ57*Assumptions!$D$77</f>
        <v>-111.46521603557</v>
      </c>
      <c r="AK68" s="70" t="n">
        <f aca="false">-AK57*Assumptions!$D$77</f>
        <v>-118.978789330504</v>
      </c>
      <c r="AL68" s="70" t="n">
        <f aca="false">-AL57*Assumptions!$D$77</f>
        <v>-127.066128685812</v>
      </c>
      <c r="AM68" s="70" t="n">
        <f aca="false">SUM(C68:AL68)</f>
        <v>-1582.7973597851</v>
      </c>
    </row>
    <row r="69" customFormat="false" ht="15" hidden="false" customHeight="false" outlineLevel="0" collapsed="false">
      <c r="A69" s="10" t="s">
        <v>785</v>
      </c>
      <c r="B69" s="9" t="s">
        <v>95</v>
      </c>
      <c r="C69" s="70" t="n">
        <f aca="false">-C63*Assumptions!$D$79</f>
        <v>-0</v>
      </c>
      <c r="D69" s="70" t="n">
        <f aca="false">-D63*Assumptions!$D$79</f>
        <v>-0</v>
      </c>
      <c r="E69" s="70" t="n">
        <f aca="false">-E63*Assumptions!$D$79</f>
        <v>-0</v>
      </c>
      <c r="F69" s="70" t="n">
        <f aca="false">-F63*Assumptions!$D$79</f>
        <v>-0</v>
      </c>
      <c r="G69" s="70" t="n">
        <f aca="false">-G63*Assumptions!$D$79</f>
        <v>-0</v>
      </c>
      <c r="H69" s="70" t="n">
        <f aca="false">-H63*Assumptions!$D$79</f>
        <v>-0</v>
      </c>
      <c r="I69" s="70" t="n">
        <f aca="false">-I63*Assumptions!$D$79</f>
        <v>-0</v>
      </c>
      <c r="J69" s="70" t="n">
        <f aca="false">-J63*Assumptions!$D$79</f>
        <v>-0</v>
      </c>
      <c r="K69" s="70" t="n">
        <f aca="false">-K63*Assumptions!$D$79</f>
        <v>-9.04884363089054</v>
      </c>
      <c r="L69" s="70" t="n">
        <f aca="false">-L63*Assumptions!$D$79</f>
        <v>-13.3790286543832</v>
      </c>
      <c r="M69" s="70" t="n">
        <f aca="false">-M63*Assumptions!$D$79</f>
        <v>-17.4658847141574</v>
      </c>
      <c r="N69" s="70" t="n">
        <f aca="false">-N63*Assumptions!$D$79</f>
        <v>-21.3780103400711</v>
      </c>
      <c r="O69" s="70" t="n">
        <f aca="false">-O63*Assumptions!$D$79</f>
        <v>-25.1726205713873</v>
      </c>
      <c r="P69" s="70" t="n">
        <f aca="false">-P63*Assumptions!$D$79</f>
        <v>-28.8980242122556</v>
      </c>
      <c r="Q69" s="70" t="n">
        <f aca="false">-Q63*Assumptions!$D$79</f>
        <v>-32.5956093807232</v>
      </c>
      <c r="R69" s="70" t="n">
        <f aca="false">-R63*Assumptions!$D$79</f>
        <v>-36.3014321164401</v>
      </c>
      <c r="S69" s="70" t="n">
        <f aca="false">-S63*Assumptions!$D$79</f>
        <v>-40.0474876290758</v>
      </c>
      <c r="T69" s="70" t="n">
        <f aca="false">-T63*Assumptions!$D$79</f>
        <v>-43.8627297909894</v>
      </c>
      <c r="U69" s="70" t="n">
        <f aca="false">-U63*Assumptions!$D$79</f>
        <v>-47.7738922059266</v>
      </c>
      <c r="V69" s="70" t="n">
        <f aca="false">-V63*Assumptions!$D$79</f>
        <v>-51.8061537575583</v>
      </c>
      <c r="W69" s="70" t="n">
        <f aca="false">-W63*Assumptions!$D$79</f>
        <v>-55.9836828841183</v>
      </c>
      <c r="X69" s="70" t="n">
        <f aca="false">-X63*Assumptions!$D$79</f>
        <v>-60.3300877599282</v>
      </c>
      <c r="Y69" s="70" t="n">
        <f aca="false">-Y63*Assumptions!$D$79</f>
        <v>-64.8687938731335</v>
      </c>
      <c r="Z69" s="70" t="n">
        <f aca="false">-Z63*Assumptions!$D$79</f>
        <v>-69.6233659505828</v>
      </c>
      <c r="AA69" s="70" t="n">
        <f aca="false">-AA63*Assumptions!$D$79</f>
        <v>-74.6177875909253</v>
      </c>
      <c r="AB69" s="70" t="n">
        <f aca="false">-AB63*Assumptions!$D$79</f>
        <v>-79.8767091458733</v>
      </c>
      <c r="AC69" s="70" t="n">
        <f aca="false">-AC63*Assumptions!$D$79</f>
        <v>-85.4256721844372</v>
      </c>
      <c r="AD69" s="70" t="n">
        <f aca="false">-AD63*Assumptions!$D$79</f>
        <v>-91.2913171590535</v>
      </c>
      <c r="AE69" s="70" t="n">
        <f aca="false">-AE63*Assumptions!$D$79</f>
        <v>-97.5015795625409</v>
      </c>
      <c r="AF69" s="70" t="n">
        <f aca="false">-AF63*Assumptions!$D$79</f>
        <v>-104.085878837541</v>
      </c>
      <c r="AG69" s="70" t="n">
        <f aca="false">-AG63*Assumptions!$D$79</f>
        <v>-111.07530350925</v>
      </c>
      <c r="AH69" s="70" t="n">
        <f aca="false">-AH63*Assumptions!$D$79</f>
        <v>-118.502795405379</v>
      </c>
      <c r="AI69" s="70" t="n">
        <f aca="false">-AI63*Assumptions!$D$79</f>
        <v>-126.403335363225</v>
      </c>
      <c r="AJ69" s="70" t="n">
        <f aca="false">-AJ63*Assumptions!$D$79</f>
        <v>-134.852494569571</v>
      </c>
      <c r="AK69" s="70" t="n">
        <f aca="false">-AK63*Assumptions!$D$79</f>
        <v>-143.995181510019</v>
      </c>
      <c r="AL69" s="70" t="n">
        <f aca="false">-AL63*Assumptions!$D$79</f>
        <v>-153.839718634933</v>
      </c>
      <c r="AM69" s="70" t="n">
        <f aca="false">SUM(C69:AL69)</f>
        <v>-1940.00342094437</v>
      </c>
    </row>
    <row r="70" customFormat="false" ht="15" hidden="false" customHeight="false" outlineLevel="0" collapsed="false">
      <c r="A70" s="38" t="s">
        <v>786</v>
      </c>
      <c r="B70" s="9" t="s">
        <v>95</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0</v>
      </c>
      <c r="J70" s="53" t="n">
        <f aca="false">J63+J64+J65+J66+J67+J68+J69</f>
        <v>0</v>
      </c>
      <c r="K70" s="53" t="n">
        <f aca="false">K63+K64+K65+K66+K67+K68+K69</f>
        <v>65.122208002114</v>
      </c>
      <c r="L70" s="53" t="n">
        <f aca="false">L63+L64+L65+L66+L67+L68+L69</f>
        <v>94.9635846177322</v>
      </c>
      <c r="M70" s="53" t="n">
        <f aca="false">M63+M64+M65+M66+M67+M68+M69</f>
        <v>123.163618783231</v>
      </c>
      <c r="N70" s="53" t="n">
        <f aca="false">N63+N64+N65+N66+N67+N68+N69</f>
        <v>150.189856634115</v>
      </c>
      <c r="O70" s="53" t="n">
        <f aca="false">O63+O64+O65+O66+O67+O68+O69</f>
        <v>176.432580196473</v>
      </c>
      <c r="P70" s="53" t="n">
        <f aca="false">P63+P64+P65+P66+P67+P68+P69</f>
        <v>202.221681311921</v>
      </c>
      <c r="Q70" s="53" t="n">
        <f aca="false">Q63+Q64+Q65+Q66+Q67+Q68+Q69</f>
        <v>227.840170929279</v>
      </c>
      <c r="R70" s="53" t="n">
        <f aca="false">R63+R64+R65+R66+R67+R68+R69</f>
        <v>253.534979839954</v>
      </c>
      <c r="S70" s="53" t="n">
        <f aca="false">S63+S64+S65+S66+S67+S68+S69</f>
        <v>279.52559838088</v>
      </c>
      <c r="T70" s="53" t="n">
        <f aca="false">T63+T64+T65+T66+T67+T68+T69</f>
        <v>306.011004561189</v>
      </c>
      <c r="U70" s="53" t="n">
        <f aca="false">U63+U64+U65+U66+U67+U68+U69</f>
        <v>333.17524490391</v>
      </c>
      <c r="V70" s="53" t="n">
        <f aca="false">V63+V64+V65+V66+V67+V68+V69</f>
        <v>361.19196042098</v>
      </c>
      <c r="W70" s="53" t="n">
        <f aca="false">W63+W64+W65+W66+W67+W68+W69</f>
        <v>390.228090748541</v>
      </c>
      <c r="X70" s="53" t="n">
        <f aca="false">X63+X64+X65+X66+X67+X68+X69</f>
        <v>420.446941163622</v>
      </c>
      <c r="Y70" s="53" t="n">
        <f aca="false">Y63+Y64+Y65+Y66+Y67+Y68+Y69</f>
        <v>452.010758389955</v>
      </c>
      <c r="Z70" s="53" t="n">
        <f aca="false">Z63+Z64+Z65+Z66+Z67+Z68+Z69</f>
        <v>485.082930211556</v>
      </c>
      <c r="AA70" s="53" t="n">
        <f aca="false">AA63+AA64+AA65+AA66+AA67+AA68+AA69</f>
        <v>519.829899517343</v>
      </c>
      <c r="AB70" s="53" t="n">
        <f aca="false">AB63+AB64+AB65+AB66+AB67+AB68+AB69</f>
        <v>556.422864252794</v>
      </c>
      <c r="AC70" s="53" t="n">
        <f aca="false">AC63+AC64+AC65+AC66+AC67+AC68+AC69</f>
        <v>595.039319803576</v>
      </c>
      <c r="AD70" s="53" t="n">
        <f aca="false">AD63+AD64+AD65+AD66+AD67+AD68+AD69</f>
        <v>635.864488712089</v>
      </c>
      <c r="AE70" s="53" t="n">
        <f aca="false">AE63+AE64+AE65+AE66+AE67+AE68+AE69</f>
        <v>679.092673624784</v>
      </c>
      <c r="AF70" s="53" t="n">
        <f aca="false">AF63+AF64+AF65+AF66+AF67+AF68+AF69</f>
        <v>724.928562418479</v>
      </c>
      <c r="AG70" s="53" t="n">
        <f aca="false">AG63+AG64+AG65+AG66+AG67+AG68+AG69</f>
        <v>773.588509106839</v>
      </c>
      <c r="AH70" s="53" t="n">
        <f aca="false">AH63+AH64+AH65+AH66+AH67+AH68+AH69</f>
        <v>825.301810027267</v>
      </c>
      <c r="AI70" s="53" t="n">
        <f aca="false">AI63+AI64+AI65+AI66+AI67+AI68+AI69</f>
        <v>880.311991674163</v>
      </c>
      <c r="AJ70" s="53" t="n">
        <f aca="false">AJ63+AJ64+AJ65+AJ66+AJ67+AJ68+AJ69</f>
        <v>939.154206353539</v>
      </c>
      <c r="AK70" s="53" t="n">
        <f aca="false">AK63+AK64+AK65+AK66+AK67+AK68+AK69</f>
        <v>1002.85646378691</v>
      </c>
      <c r="AL70" s="53" t="n">
        <f aca="false">AL63+AL64+AL65+AL66+AL67+AL68+AL69</f>
        <v>1071.4509762548</v>
      </c>
      <c r="AM70" s="53" t="n">
        <f aca="false">SUM(C70:AL70)</f>
        <v>13524.982974628</v>
      </c>
    </row>
    <row r="71" customFormat="false" ht="15" hidden="false" customHeight="false" outlineLevel="0" collapsed="false">
      <c r="A71" s="10" t="s">
        <v>787</v>
      </c>
      <c r="B71" s="9" t="s">
        <v>59</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v>
      </c>
      <c r="J71" s="62" t="n">
        <f aca="false">IFERROR(J70/J63,0)</f>
        <v>0</v>
      </c>
      <c r="K71" s="62" t="n">
        <f aca="false">IFERROR(K70/K63,0)</f>
        <v>0.230295797018051</v>
      </c>
      <c r="L71" s="62" t="n">
        <f aca="false">IFERROR(L70/L63,0)</f>
        <v>0.227134180385498</v>
      </c>
      <c r="M71" s="62" t="n">
        <f aca="false">IFERROR(M70/M63,0)</f>
        <v>0.225653373165157</v>
      </c>
      <c r="N71" s="62" t="n">
        <f aca="false">IFERROR(N70/N63,0)</f>
        <v>0.224813971732586</v>
      </c>
      <c r="O71" s="62" t="n">
        <f aca="false">IFERROR(O70/O63,0)</f>
        <v>0.224285054083901</v>
      </c>
      <c r="P71" s="62" t="n">
        <f aca="false">IFERROR(P70/P63,0)</f>
        <v>0.223928589527484</v>
      </c>
      <c r="Q71" s="62" t="n">
        <f aca="false">IFERROR(Q70/Q63,0)</f>
        <v>0.223676918709448</v>
      </c>
      <c r="R71" s="62" t="n">
        <f aca="false">IFERROR(R70/R63,0)</f>
        <v>0.223493093298771</v>
      </c>
      <c r="S71" s="62" t="n">
        <f aca="false">IFERROR(S70/S63,0)</f>
        <v>0.223355313347894</v>
      </c>
      <c r="T71" s="62" t="n">
        <f aca="false">IFERROR(T70/T63,0)</f>
        <v>0.223249948022379</v>
      </c>
      <c r="U71" s="62" t="n">
        <f aca="false">IFERROR(U70/U63,0)</f>
        <v>0.223168080820564</v>
      </c>
      <c r="V71" s="62" t="n">
        <f aca="false">IFERROR(V70/V63,0)</f>
        <v>0.223103664239599</v>
      </c>
      <c r="W71" s="62" t="n">
        <f aca="false">IFERROR(W70/W63,0)</f>
        <v>0.223052472803567</v>
      </c>
      <c r="X71" s="62" t="n">
        <f aca="false">IFERROR(X70/X63,0)</f>
        <v>0.223011479293295</v>
      </c>
      <c r="Y71" s="62" t="n">
        <f aca="false">IFERROR(Y70/Y63,0)</f>
        <v>0.222978467840285</v>
      </c>
      <c r="Z71" s="62" t="n">
        <f aca="false">IFERROR(Z70/Z63,0)</f>
        <v>0.222951785723595</v>
      </c>
      <c r="AA71" s="62" t="n">
        <f aca="false">IFERROR(AA70/AA63,0)</f>
        <v>0.222930179540434</v>
      </c>
      <c r="AB71" s="62" t="n">
        <f aca="false">IFERROR(AB70/AB63,0)</f>
        <v>0.222912684391797</v>
      </c>
      <c r="AC71" s="62" t="n">
        <f aca="false">IFERROR(AC70/AC63,0)</f>
        <v>0.222898547319635</v>
      </c>
      <c r="AD71" s="62" t="n">
        <f aca="false">IFERROR(AD70/AD63,0)</f>
        <v>0.22288717341361</v>
      </c>
      <c r="AE71" s="62" t="n">
        <f aca="false">IFERROR(AE70/AE63,0)</f>
        <v>0.222878087242208</v>
      </c>
      <c r="AF71" s="62" t="n">
        <f aca="false">IFERROR(AF70/AF63,0)</f>
        <v>0.222870904838097</v>
      </c>
      <c r="AG71" s="62" t="n">
        <f aca="false">IFERROR(AG70/AG63,0)</f>
        <v>0.222865313074362</v>
      </c>
      <c r="AH71" s="62" t="n">
        <f aca="false">IFERROR(AH70/AH63,0)</f>
        <v>0.222861054294368</v>
      </c>
      <c r="AI71" s="62" t="n">
        <f aca="false">IFERROR(AI70/AI63,0)</f>
        <v>0.2228579147269</v>
      </c>
      <c r="AJ71" s="62" t="n">
        <f aca="false">IFERROR(AJ70/AJ63,0)</f>
        <v>0.222857832176096</v>
      </c>
      <c r="AK71" s="62" t="n">
        <f aca="false">IFERROR(AK70/AK63,0)</f>
        <v>0.222864449384011</v>
      </c>
      <c r="AL71" s="62" t="n">
        <f aca="false">IFERROR(AL70/AL63,0)</f>
        <v>0.222871125508989</v>
      </c>
      <c r="AM71" s="62" t="n">
        <f aca="false">AVERAGE(N71:AL71)</f>
        <v>0.223184964214155</v>
      </c>
    </row>
    <row r="72" customFormat="false" ht="15" hidden="false" customHeight="false" outlineLevel="0" collapsed="false">
      <c r="A72" s="38" t="s">
        <v>788</v>
      </c>
      <c r="B72" s="9" t="s">
        <v>95</v>
      </c>
      <c r="C72" s="53" t="n">
        <f aca="false">C42+C63</f>
        <v>0</v>
      </c>
      <c r="D72" s="53" t="n">
        <f aca="false">D42+D63</f>
        <v>0</v>
      </c>
      <c r="E72" s="53" t="n">
        <f aca="false">E42+E63</f>
        <v>13068.3779877224</v>
      </c>
      <c r="F72" s="53" t="n">
        <f aca="false">F42+F63</f>
        <v>12413.5096356183</v>
      </c>
      <c r="G72" s="53" t="n">
        <f aca="false">G42+G63</f>
        <v>13265.5055430883</v>
      </c>
      <c r="H72" s="53" t="n">
        <f aca="false">H42+H63</f>
        <v>14152.4334054144</v>
      </c>
      <c r="I72" s="53" t="n">
        <f aca="false">I42+I63</f>
        <v>14930.6463032097</v>
      </c>
      <c r="J72" s="53" t="n">
        <f aca="false">J42+J63</f>
        <v>15629.4222344726</v>
      </c>
      <c r="K72" s="53" t="n">
        <f aca="false">K42+K63</f>
        <v>16550.058123597</v>
      </c>
      <c r="L72" s="53" t="n">
        <f aca="false">L42+L63</f>
        <v>17276.21847748</v>
      </c>
      <c r="M72" s="53" t="n">
        <f aca="false">M42+M63</f>
        <v>17958.4828056154</v>
      </c>
      <c r="N72" s="53" t="n">
        <f aca="false">N42+N63</f>
        <v>18607.4537596678</v>
      </c>
      <c r="O72" s="53" t="n">
        <f aca="false">O42+O63</f>
        <v>19231.7354021014</v>
      </c>
      <c r="P72" s="53" t="n">
        <f aca="false">P42+P63</f>
        <v>19838.4507893459</v>
      </c>
      <c r="Q72" s="53" t="n">
        <f aca="false">Q42+Q63</f>
        <v>20433.6195934159</v>
      </c>
      <c r="R72" s="53" t="n">
        <f aca="false">R42+R63</f>
        <v>21022.4366671368</v>
      </c>
      <c r="S72" s="53" t="n">
        <f aca="false">S42+S63</f>
        <v>21609.4795479459</v>
      </c>
      <c r="T72" s="53" t="n">
        <f aca="false">T42+T63</f>
        <v>22198.8645387075</v>
      </c>
      <c r="U72" s="53" t="n">
        <f aca="false">U42+U63</f>
        <v>22794.365354591</v>
      </c>
      <c r="V72" s="53" t="n">
        <f aca="false">V42+V63</f>
        <v>23399.5044009496</v>
      </c>
      <c r="W72" s="53" t="n">
        <f aca="false">W42+W63</f>
        <v>24017.6239743369</v>
      </c>
      <c r="X72" s="53" t="n">
        <f aca="false">X42+X63</f>
        <v>24651.9426977326</v>
      </c>
      <c r="Y72" s="53" t="n">
        <f aca="false">Y42+Y63</f>
        <v>25305.6010752164</v>
      </c>
      <c r="Z72" s="53" t="n">
        <f aca="false">Z42+Z63</f>
        <v>25981.6990199251</v>
      </c>
      <c r="AA72" s="53" t="n">
        <f aca="false">AA42+AA63</f>
        <v>26683.3274603596</v>
      </c>
      <c r="AB72" s="53" t="n">
        <f aca="false">AB42+AB63</f>
        <v>27413.5955850446</v>
      </c>
      <c r="AC72" s="53" t="n">
        <f aca="false">AC42+AC63</f>
        <v>28175.6548879111</v>
      </c>
      <c r="AD72" s="53" t="n">
        <f aca="false">AD42+AD63</f>
        <v>28972.7208861439</v>
      </c>
      <c r="AE72" s="53" t="n">
        <f aca="false">AE42+AE63</f>
        <v>29808.0931694441</v>
      </c>
      <c r="AF72" s="53" t="n">
        <f aca="false">AF42+AF63</f>
        <v>30685.1742835613</v>
      </c>
      <c r="AG72" s="53" t="n">
        <f aca="false">AG42+AG63</f>
        <v>31607.4878362135</v>
      </c>
      <c r="AH72" s="53" t="n">
        <f aca="false">AH42+AH63</f>
        <v>32578.6961289405</v>
      </c>
      <c r="AI72" s="53" t="n">
        <f aca="false">AI42+AI63</f>
        <v>33602.6175558831</v>
      </c>
      <c r="AJ72" s="53" t="n">
        <f aca="false">AJ42+AJ63</f>
        <v>34699.7221004576</v>
      </c>
      <c r="AK72" s="53" t="n">
        <f aca="false">AK42+AK63</f>
        <v>35913.7167586572</v>
      </c>
      <c r="AL72" s="53" t="n">
        <f aca="false">AL42+AL63</f>
        <v>37221.0331258795</v>
      </c>
      <c r="AM72" s="53" t="n">
        <f aca="false">SUM(C72:AL72)</f>
        <v>801699.271115787</v>
      </c>
    </row>
    <row r="73" customFormat="false" ht="15" hidden="false" customHeight="false" outlineLevel="0" collapsed="false">
      <c r="A73" s="38" t="s">
        <v>789</v>
      </c>
      <c r="B73" s="9" t="s">
        <v>95</v>
      </c>
      <c r="C73" s="53" t="n">
        <f aca="false">C46+C70</f>
        <v>0</v>
      </c>
      <c r="D73" s="53" t="n">
        <f aca="false">D46+D70</f>
        <v>0</v>
      </c>
      <c r="E73" s="53" t="n">
        <f aca="false">E46+E70</f>
        <v>6864.7100538007</v>
      </c>
      <c r="F73" s="53" t="n">
        <f aca="false">F46+F70</f>
        <v>6520.71316567668</v>
      </c>
      <c r="G73" s="53" t="n">
        <f aca="false">G46+G70</f>
        <v>6968.25951590477</v>
      </c>
      <c r="H73" s="53" t="n">
        <f aca="false">H46+H70</f>
        <v>7434.15533091915</v>
      </c>
      <c r="I73" s="53" t="n">
        <f aca="false">I46+I70</f>
        <v>7842.94408102355</v>
      </c>
      <c r="J73" s="53" t="n">
        <f aca="false">J46+J70</f>
        <v>8210.00525458315</v>
      </c>
      <c r="K73" s="53" t="n">
        <f aca="false">K46+K70</f>
        <v>8610.18975591792</v>
      </c>
      <c r="L73" s="53" t="n">
        <f aca="false">L46+L70</f>
        <v>8950.39554921807</v>
      </c>
      <c r="M73" s="53" t="n">
        <f aca="false">M46+M70</f>
        <v>9269.89611719626</v>
      </c>
      <c r="N73" s="53" t="n">
        <f aca="false">N46+N70</f>
        <v>9573.60242067442</v>
      </c>
      <c r="O73" s="53" t="n">
        <f aca="false">O46+O70</f>
        <v>9865.4851782614</v>
      </c>
      <c r="P73" s="53" t="n">
        <f aca="false">P46+P70</f>
        <v>10148.8229573499</v>
      </c>
      <c r="Q73" s="53" t="n">
        <f aca="false">Q46+Q70</f>
        <v>10426.3814513869</v>
      </c>
      <c r="R73" s="53" t="n">
        <f aca="false">R46+R70</f>
        <v>10700.5445310262</v>
      </c>
      <c r="S73" s="53" t="n">
        <f aca="false">S46+S70</f>
        <v>10973.4110158428</v>
      </c>
      <c r="T73" s="53" t="n">
        <f aca="false">T46+T70</f>
        <v>11246.8668550671</v>
      </c>
      <c r="U73" s="53" t="n">
        <f aca="false">U46+U70</f>
        <v>11522.6395545008</v>
      </c>
      <c r="V73" s="53" t="n">
        <f aca="false">V46+V70</f>
        <v>11802.3397247793</v>
      </c>
      <c r="W73" s="53" t="n">
        <f aca="false">W46+W70</f>
        <v>12087.4932523407</v>
      </c>
      <c r="X73" s="53" t="n">
        <f aca="false">X46+X70</f>
        <v>12379.566621503</v>
      </c>
      <c r="Y73" s="53" t="n">
        <f aca="false">Y46+Y70</f>
        <v>12679.9872216836</v>
      </c>
      <c r="Z73" s="53" t="n">
        <f aca="false">Z46+Z70</f>
        <v>12990.1599756221</v>
      </c>
      <c r="AA73" s="53" t="n">
        <f aca="false">AA46+AA70</f>
        <v>13311.4812656753</v>
      </c>
      <c r="AB73" s="53" t="n">
        <f aca="false">AB46+AB70</f>
        <v>13645.3508761005</v>
      </c>
      <c r="AC73" s="53" t="n">
        <f aca="false">AC46+AC70</f>
        <v>13993.1824816153</v>
      </c>
      <c r="AD73" s="53" t="n">
        <f aca="false">AD46+AD70</f>
        <v>14356.4130764042</v>
      </c>
      <c r="AE73" s="53" t="n">
        <f aca="false">AE46+AE70</f>
        <v>14736.5116387874</v>
      </c>
      <c r="AF73" s="53" t="n">
        <f aca="false">AF46+AF70</f>
        <v>15134.9872546927</v>
      </c>
      <c r="AG73" s="53" t="n">
        <f aca="false">AG46+AG70</f>
        <v>15553.3968704291</v>
      </c>
      <c r="AH73" s="53" t="n">
        <f aca="false">AH46+AH70</f>
        <v>15993.3528067019</v>
      </c>
      <c r="AI73" s="53" t="n">
        <f aca="false">AI46+AI70</f>
        <v>16456.5301374299</v>
      </c>
      <c r="AJ73" s="53" t="n">
        <f aca="false">AJ46+AJ70</f>
        <v>16952.9761980416</v>
      </c>
      <c r="AK73" s="53" t="n">
        <f aca="false">AK46+AK70</f>
        <v>17504.2991934063</v>
      </c>
      <c r="AL73" s="53" t="n">
        <f aca="false">AL46+AL70</f>
        <v>18098.0144332134</v>
      </c>
      <c r="AM73" s="53" t="n">
        <f aca="false">SUM(C73:AL73)</f>
        <v>402805.065816776</v>
      </c>
    </row>
    <row r="74" customFormat="false" ht="15" hidden="false" customHeight="false" outlineLevel="0" collapsed="false">
      <c r="A74" s="38" t="s">
        <v>790</v>
      </c>
      <c r="B74" s="9" t="s">
        <v>59</v>
      </c>
      <c r="C74" s="52" t="n">
        <f aca="false">IFERROR(C73/C72,0)</f>
        <v>0</v>
      </c>
      <c r="D74" s="52" t="n">
        <f aca="false">IFERROR(D73/D72,0)</f>
        <v>0</v>
      </c>
      <c r="E74" s="52" t="n">
        <f aca="false">IFERROR(E73/E72,0)</f>
        <v>0.525291666666667</v>
      </c>
      <c r="F74" s="52" t="n">
        <f aca="false">IFERROR(F73/F72,0)</f>
        <v>0.525291666666667</v>
      </c>
      <c r="G74" s="52" t="n">
        <f aca="false">IFERROR(G73/G72,0)</f>
        <v>0.525291666666667</v>
      </c>
      <c r="H74" s="52" t="n">
        <f aca="false">IFERROR(H73/H72,0)</f>
        <v>0.525291666666667</v>
      </c>
      <c r="I74" s="52" t="n">
        <f aca="false">IFERROR(I73/I72,0)</f>
        <v>0.525291666666667</v>
      </c>
      <c r="J74" s="52" t="n">
        <f aca="false">IFERROR(J73/J72,0)</f>
        <v>0.525291666666667</v>
      </c>
      <c r="K74" s="52" t="n">
        <f aca="false">IFERROR(K73/K72,0)</f>
        <v>0.5202513303347</v>
      </c>
      <c r="L74" s="52" t="n">
        <f aca="false">IFERROR(L73/L72,0)</f>
        <v>0.518076080184166</v>
      </c>
      <c r="M74" s="52" t="n">
        <f aca="false">IFERROR(M73/M72,0)</f>
        <v>0.516184814582314</v>
      </c>
      <c r="N74" s="52" t="n">
        <f aca="false">IFERROR(N73/N72,0)</f>
        <v>0.514503625500093</v>
      </c>
      <c r="O74" s="52" t="n">
        <f aca="false">IFERROR(O73/O72,0)</f>
        <v>0.51297945671525</v>
      </c>
      <c r="P74" s="52" t="n">
        <f aca="false">IFERROR(P73/P72,0)</f>
        <v>0.511573361504632</v>
      </c>
      <c r="Q74" s="52" t="n">
        <f aca="false">IFERROR(Q73/Q72,0)</f>
        <v>0.510256217882536</v>
      </c>
      <c r="R74" s="52" t="n">
        <f aca="false">IFERROR(R73/R72,0)</f>
        <v>0.509005911182207</v>
      </c>
      <c r="S74" s="52" t="n">
        <f aca="false">IFERROR(S73/S72,0)</f>
        <v>0.5078054282379</v>
      </c>
      <c r="T74" s="52" t="n">
        <f aca="false">IFERROR(T73/T72,0)</f>
        <v>0.50664153724873</v>
      </c>
      <c r="U74" s="52" t="n">
        <f aca="false">IFERROR(U73/U72,0)</f>
        <v>0.505503854801556</v>
      </c>
      <c r="V74" s="52" t="n">
        <f aca="false">IFERROR(V73/V72,0)</f>
        <v>0.504384175089635</v>
      </c>
      <c r="W74" s="52" t="n">
        <f aca="false">IFERROR(W73/W72,0)</f>
        <v>0.503275980390748</v>
      </c>
      <c r="X74" s="52" t="n">
        <f aca="false">IFERROR(X73/X72,0)</f>
        <v>0.5021740790693</v>
      </c>
      <c r="Y74" s="52" t="n">
        <f aca="false">IFERROR(Y73/Y72,0)</f>
        <v>0.501074334650048</v>
      </c>
      <c r="Z74" s="52" t="n">
        <f aca="false">IFERROR(Z73/Z72,0)</f>
        <v>0.499973460767906</v>
      </c>
      <c r="AA74" s="52" t="n">
        <f aca="false">IFERROR(AA73/AA72,0)</f>
        <v>0.498868864291782</v>
      </c>
      <c r="AB74" s="52" t="n">
        <f aca="false">IFERROR(AB73/AB72,0)</f>
        <v>0.497758524005681</v>
      </c>
      <c r="AC74" s="52" t="n">
        <f aca="false">IFERROR(AC73/AC72,0)</f>
        <v>0.496640895740784</v>
      </c>
      <c r="AD74" s="52" t="n">
        <f aca="false">IFERROR(AD73/AD72,0)</f>
        <v>0.495514837312711</v>
      </c>
      <c r="AE74" s="52" t="n">
        <f aca="false">IFERROR(AE73/AE72,0)</f>
        <v>0.49437954836687</v>
      </c>
      <c r="AF74" s="52" t="n">
        <f aca="false">IFERROR(AF73/AF72,0)</f>
        <v>0.493234521493357</v>
      </c>
      <c r="AG74" s="52" t="n">
        <f aca="false">IFERROR(AG73/AG72,0)</f>
        <v>0.492079501889712</v>
      </c>
      <c r="AH74" s="52" t="n">
        <f aca="false">IFERROR(AH73/AH72,0)</f>
        <v>0.490914453525184</v>
      </c>
      <c r="AI74" s="52" t="n">
        <f aca="false">IFERROR(AI73/AI72,0)</f>
        <v>0.489739530263133</v>
      </c>
      <c r="AJ74" s="52" t="n">
        <f aca="false">IFERROR(AJ73/AJ72,0)</f>
        <v>0.488562304590273</v>
      </c>
      <c r="AK74" s="52" t="n">
        <f aca="false">IFERROR(AK73/AK72,0)</f>
        <v>0.487398709274133</v>
      </c>
      <c r="AL74" s="52" t="n">
        <f aca="false">IFERROR(AL73/AL72,0)</f>
        <v>0.48623084619943</v>
      </c>
      <c r="AM74" s="52" t="n">
        <f aca="false">AVERAGE(N74:AL74)</f>
        <v>0.500018958399744</v>
      </c>
    </row>
    <row r="75" customFormat="false" ht="15" hidden="false" customHeight="false" outlineLevel="0" collapsed="false">
      <c r="A75" s="10" t="s">
        <v>791</v>
      </c>
      <c r="B75" s="9" t="s">
        <v>95</v>
      </c>
      <c r="C75" s="70" t="n">
        <f aca="false">-Assumptions!$D$82</f>
        <v>-600</v>
      </c>
      <c r="D75" s="70" t="n">
        <f aca="false">-Assumptions!$D$82</f>
        <v>-600</v>
      </c>
      <c r="E75" s="70" t="n">
        <f aca="false">-Assumptions!$D$82</f>
        <v>-600</v>
      </c>
      <c r="F75" s="70" t="n">
        <f aca="false">-Assumptions!$D$82</f>
        <v>-600</v>
      </c>
      <c r="G75" s="70" t="n">
        <f aca="false">-Assumptions!$D$82</f>
        <v>-600</v>
      </c>
      <c r="H75" s="70" t="n">
        <f aca="false">-Assumptions!$D$82</f>
        <v>-600</v>
      </c>
      <c r="I75" s="70" t="n">
        <f aca="false">-Assumptions!$D$82</f>
        <v>-600</v>
      </c>
      <c r="J75" s="70" t="n">
        <f aca="false">-Assumptions!$D$82</f>
        <v>-600</v>
      </c>
      <c r="K75" s="70" t="n">
        <f aca="false">-Assumptions!$D$82</f>
        <v>-600</v>
      </c>
      <c r="L75" s="70" t="n">
        <f aca="false">-Assumptions!$D$82</f>
        <v>-600</v>
      </c>
      <c r="M75" s="70" t="n">
        <f aca="false">-Assumptions!$D$82</f>
        <v>-600</v>
      </c>
      <c r="N75" s="70" t="n">
        <f aca="false">-Assumptions!$D$82</f>
        <v>-600</v>
      </c>
      <c r="O75" s="70" t="n">
        <f aca="false">-Assumptions!$D$82</f>
        <v>-600</v>
      </c>
      <c r="P75" s="70" t="n">
        <f aca="false">-Assumptions!$D$82</f>
        <v>-600</v>
      </c>
      <c r="Q75" s="70" t="n">
        <f aca="false">-Assumptions!$D$82</f>
        <v>-600</v>
      </c>
      <c r="R75" s="70" t="n">
        <f aca="false">-Assumptions!$D$82</f>
        <v>-600</v>
      </c>
      <c r="S75" s="70" t="n">
        <f aca="false">-Assumptions!$D$82</f>
        <v>-600</v>
      </c>
      <c r="T75" s="70" t="n">
        <f aca="false">-Assumptions!$D$82</f>
        <v>-600</v>
      </c>
      <c r="U75" s="70" t="n">
        <f aca="false">-Assumptions!$D$82</f>
        <v>-600</v>
      </c>
      <c r="V75" s="70" t="n">
        <f aca="false">-Assumptions!$D$82</f>
        <v>-600</v>
      </c>
      <c r="W75" s="70" t="n">
        <f aca="false">-Assumptions!$D$82</f>
        <v>-600</v>
      </c>
      <c r="X75" s="70" t="n">
        <f aca="false">-Assumptions!$D$82</f>
        <v>-600</v>
      </c>
      <c r="Y75" s="70" t="n">
        <f aca="false">-Assumptions!$D$82</f>
        <v>-600</v>
      </c>
      <c r="Z75" s="70" t="n">
        <f aca="false">-Assumptions!$D$82</f>
        <v>-600</v>
      </c>
      <c r="AA75" s="70" t="n">
        <f aca="false">-Assumptions!$D$82</f>
        <v>-600</v>
      </c>
      <c r="AB75" s="70" t="n">
        <f aca="false">-Assumptions!$D$82</f>
        <v>-600</v>
      </c>
      <c r="AC75" s="70" t="n">
        <f aca="false">-Assumptions!$D$82</f>
        <v>-600</v>
      </c>
      <c r="AD75" s="70" t="n">
        <f aca="false">-Assumptions!$D$82</f>
        <v>-600</v>
      </c>
      <c r="AE75" s="70" t="n">
        <f aca="false">-Assumptions!$D$82</f>
        <v>-600</v>
      </c>
      <c r="AF75" s="70" t="n">
        <f aca="false">-Assumptions!$D$82</f>
        <v>-600</v>
      </c>
      <c r="AG75" s="70" t="n">
        <f aca="false">-Assumptions!$D$82</f>
        <v>-600</v>
      </c>
      <c r="AH75" s="70" t="n">
        <f aca="false">-Assumptions!$D$82</f>
        <v>-600</v>
      </c>
      <c r="AI75" s="70" t="n">
        <f aca="false">-Assumptions!$D$82</f>
        <v>-600</v>
      </c>
      <c r="AJ75" s="70" t="n">
        <f aca="false">-Assumptions!$D$82</f>
        <v>-600</v>
      </c>
      <c r="AK75" s="70" t="n">
        <f aca="false">-Assumptions!$D$82</f>
        <v>-600</v>
      </c>
      <c r="AL75" s="70" t="n">
        <f aca="false">-Assumptions!$D$82</f>
        <v>-600</v>
      </c>
      <c r="AM75" s="70" t="n">
        <f aca="false">SUM(C75:AL75)</f>
        <v>-21600</v>
      </c>
    </row>
    <row r="76" customFormat="false" ht="15" hidden="false" customHeight="false" outlineLevel="0" collapsed="false">
      <c r="A76" s="10" t="s">
        <v>792</v>
      </c>
      <c r="B76" s="9" t="s">
        <v>95</v>
      </c>
      <c r="C76" s="70" t="n">
        <f aca="false">-Assumptions!$D$83</f>
        <v>-320</v>
      </c>
      <c r="D76" s="70" t="n">
        <f aca="false">-Assumptions!$D$83</f>
        <v>-320</v>
      </c>
      <c r="E76" s="70" t="n">
        <f aca="false">-Assumptions!$D$83</f>
        <v>-320</v>
      </c>
      <c r="F76" s="70" t="n">
        <f aca="false">-Assumptions!$D$83</f>
        <v>-320</v>
      </c>
      <c r="G76" s="70" t="n">
        <f aca="false">-Assumptions!$D$83</f>
        <v>-320</v>
      </c>
      <c r="H76" s="70" t="n">
        <f aca="false">-Assumptions!$D$83</f>
        <v>-320</v>
      </c>
      <c r="I76" s="70" t="n">
        <f aca="false">-Assumptions!$D$83</f>
        <v>-320</v>
      </c>
      <c r="J76" s="70" t="n">
        <f aca="false">-Assumptions!$D$83</f>
        <v>-320</v>
      </c>
      <c r="K76" s="70" t="n">
        <f aca="false">-Assumptions!$D$83</f>
        <v>-320</v>
      </c>
      <c r="L76" s="70" t="n">
        <f aca="false">-Assumptions!$D$83</f>
        <v>-320</v>
      </c>
      <c r="M76" s="70" t="n">
        <f aca="false">-Assumptions!$D$83</f>
        <v>-320</v>
      </c>
      <c r="N76" s="70" t="n">
        <f aca="false">-Assumptions!$D$83</f>
        <v>-320</v>
      </c>
      <c r="O76" s="70" t="n">
        <f aca="false">-Assumptions!$D$83</f>
        <v>-320</v>
      </c>
      <c r="P76" s="70" t="n">
        <f aca="false">-Assumptions!$D$83</f>
        <v>-320</v>
      </c>
      <c r="Q76" s="70" t="n">
        <f aca="false">-Assumptions!$D$83</f>
        <v>-320</v>
      </c>
      <c r="R76" s="70" t="n">
        <f aca="false">-Assumptions!$D$83</f>
        <v>-320</v>
      </c>
      <c r="S76" s="70" t="n">
        <f aca="false">-Assumptions!$D$83</f>
        <v>-320</v>
      </c>
      <c r="T76" s="70" t="n">
        <f aca="false">-Assumptions!$D$83</f>
        <v>-320</v>
      </c>
      <c r="U76" s="70" t="n">
        <f aca="false">-Assumptions!$D$83</f>
        <v>-320</v>
      </c>
      <c r="V76" s="70" t="n">
        <f aca="false">-Assumptions!$D$83</f>
        <v>-320</v>
      </c>
      <c r="W76" s="70" t="n">
        <f aca="false">-Assumptions!$D$83</f>
        <v>-320</v>
      </c>
      <c r="X76" s="70" t="n">
        <f aca="false">-Assumptions!$D$83</f>
        <v>-320</v>
      </c>
      <c r="Y76" s="70" t="n">
        <f aca="false">-Assumptions!$D$83</f>
        <v>-320</v>
      </c>
      <c r="Z76" s="70" t="n">
        <f aca="false">-Assumptions!$D$83</f>
        <v>-320</v>
      </c>
      <c r="AA76" s="70" t="n">
        <f aca="false">-Assumptions!$D$83</f>
        <v>-320</v>
      </c>
      <c r="AB76" s="70" t="n">
        <f aca="false">-Assumptions!$D$83</f>
        <v>-320</v>
      </c>
      <c r="AC76" s="70" t="n">
        <f aca="false">-Assumptions!$D$83</f>
        <v>-320</v>
      </c>
      <c r="AD76" s="70" t="n">
        <f aca="false">-Assumptions!$D$83</f>
        <v>-320</v>
      </c>
      <c r="AE76" s="70" t="n">
        <f aca="false">-Assumptions!$D$83</f>
        <v>-320</v>
      </c>
      <c r="AF76" s="70" t="n">
        <f aca="false">-Assumptions!$D$83</f>
        <v>-320</v>
      </c>
      <c r="AG76" s="70" t="n">
        <f aca="false">-Assumptions!$D$83</f>
        <v>-320</v>
      </c>
      <c r="AH76" s="70" t="n">
        <f aca="false">-Assumptions!$D$83</f>
        <v>-320</v>
      </c>
      <c r="AI76" s="70" t="n">
        <f aca="false">-Assumptions!$D$83</f>
        <v>-320</v>
      </c>
      <c r="AJ76" s="70" t="n">
        <f aca="false">-Assumptions!$D$83</f>
        <v>-320</v>
      </c>
      <c r="AK76" s="70" t="n">
        <f aca="false">-Assumptions!$D$83</f>
        <v>-320</v>
      </c>
      <c r="AL76" s="70" t="n">
        <f aca="false">-Assumptions!$D$83</f>
        <v>-320</v>
      </c>
      <c r="AM76" s="70" t="n">
        <f aca="false">SUM(C76:AL76)</f>
        <v>-11520</v>
      </c>
    </row>
    <row r="77" customFormat="false" ht="15" hidden="false" customHeight="false" outlineLevel="0" collapsed="false">
      <c r="A77" s="10" t="s">
        <v>793</v>
      </c>
      <c r="B77" s="9" t="s">
        <v>95</v>
      </c>
      <c r="C77" s="70" t="n">
        <f aca="false">-MAX(IF(C8=0,Assumptions!$D$84,IF(C$5&lt;=12,Assumptions!$D$85,IF(C$5&lt;=24,Assumptions!$D$86,Assumptions!$D$87))))</f>
        <v>-8000</v>
      </c>
      <c r="D77" s="70" t="n">
        <f aca="false">-MAX(IF(D8=0,Assumptions!$D$84,IF(D$5&lt;=12,Assumptions!$D$85,IF(D$5&lt;=24,Assumptions!$D$86,Assumptions!$D$87))),C72*Assumptions!$D$88)</f>
        <v>-8000</v>
      </c>
      <c r="E77" s="70" t="n">
        <f aca="false">-MAX(IF(E8=0,Assumptions!$D$84,IF(E$5&lt;=12,Assumptions!$D$85,IF(E$5&lt;=24,Assumptions!$D$86,Assumptions!$D$87))),D72*Assumptions!$D$88)</f>
        <v>-16000</v>
      </c>
      <c r="F77" s="70" t="n">
        <f aca="false">-MAX(IF(F8=0,Assumptions!$D$84,IF(F$5&lt;=12,Assumptions!$D$85,IF(F$5&lt;=24,Assumptions!$D$86,Assumptions!$D$87))),E72*Assumptions!$D$88)</f>
        <v>-16000</v>
      </c>
      <c r="G77" s="70" t="n">
        <f aca="false">-MAX(IF(G8=0,Assumptions!$D$84,IF(G$5&lt;=12,Assumptions!$D$85,IF(G$5&lt;=24,Assumptions!$D$86,Assumptions!$D$87))),F72*Assumptions!$D$88)</f>
        <v>-16000</v>
      </c>
      <c r="H77" s="70" t="n">
        <f aca="false">-MAX(IF(H8=0,Assumptions!$D$84,IF(H$5&lt;=12,Assumptions!$D$85,IF(H$5&lt;=24,Assumptions!$D$86,Assumptions!$D$87))),G72*Assumptions!$D$88)</f>
        <v>-16000</v>
      </c>
      <c r="I77" s="70" t="n">
        <f aca="false">-MAX(IF(I8=0,Assumptions!$D$84,IF(I$5&lt;=12,Assumptions!$D$85,IF(I$5&lt;=24,Assumptions!$D$86,Assumptions!$D$87))),H72*Assumptions!$D$88)</f>
        <v>-16000</v>
      </c>
      <c r="J77" s="70" t="n">
        <f aca="false">-MAX(IF(J8=0,Assumptions!$D$84,IF(J$5&lt;=12,Assumptions!$D$85,IF(J$5&lt;=24,Assumptions!$D$86,Assumptions!$D$87))),I72*Assumptions!$D$88)</f>
        <v>-16000</v>
      </c>
      <c r="K77" s="70" t="n">
        <f aca="false">-MAX(IF(K8=0,Assumptions!$D$84,IF(K$5&lt;=12,Assumptions!$D$85,IF(K$5&lt;=24,Assumptions!$D$86,Assumptions!$D$87))),J72*Assumptions!$D$88)</f>
        <v>-16000</v>
      </c>
      <c r="L77" s="70" t="n">
        <f aca="false">-MAX(IF(L8=0,Assumptions!$D$84,IF(L$5&lt;=12,Assumptions!$D$85,IF(L$5&lt;=24,Assumptions!$D$86,Assumptions!$D$87))),K72*Assumptions!$D$88)</f>
        <v>-16000</v>
      </c>
      <c r="M77" s="70" t="n">
        <f aca="false">-MAX(IF(M8=0,Assumptions!$D$84,IF(M$5&lt;=12,Assumptions!$D$85,IF(M$5&lt;=24,Assumptions!$D$86,Assumptions!$D$87))),L72*Assumptions!$D$88)</f>
        <v>-16000</v>
      </c>
      <c r="N77" s="70" t="n">
        <f aca="false">-MAX(IF(N8=0,Assumptions!$D$84,IF(N$5&lt;=12,Assumptions!$D$85,IF(N$5&lt;=24,Assumptions!$D$86,Assumptions!$D$87))),M72*Assumptions!$D$88)</f>
        <v>-16000</v>
      </c>
      <c r="O77" s="70" t="n">
        <f aca="false">-MAX(IF(O8=0,Assumptions!$D$84,IF(O$5&lt;=12,Assumptions!$D$85,IF(O$5&lt;=24,Assumptions!$D$86,Assumptions!$D$87))),N72*Assumptions!$D$88)</f>
        <v>-24000</v>
      </c>
      <c r="P77" s="70" t="n">
        <f aca="false">-MAX(IF(P8=0,Assumptions!$D$84,IF(P$5&lt;=12,Assumptions!$D$85,IF(P$5&lt;=24,Assumptions!$D$86,Assumptions!$D$87))),O72*Assumptions!$D$88)</f>
        <v>-24000</v>
      </c>
      <c r="Q77" s="70" t="n">
        <f aca="false">-MAX(IF(Q8=0,Assumptions!$D$84,IF(Q$5&lt;=12,Assumptions!$D$85,IF(Q$5&lt;=24,Assumptions!$D$86,Assumptions!$D$87))),P72*Assumptions!$D$88)</f>
        <v>-24000</v>
      </c>
      <c r="R77" s="70" t="n">
        <f aca="false">-MAX(IF(R8=0,Assumptions!$D$84,IF(R$5&lt;=12,Assumptions!$D$85,IF(R$5&lt;=24,Assumptions!$D$86,Assumptions!$D$87))),Q72*Assumptions!$D$88)</f>
        <v>-24000</v>
      </c>
      <c r="S77" s="70" t="n">
        <f aca="false">-MAX(IF(S8=0,Assumptions!$D$84,IF(S$5&lt;=12,Assumptions!$D$85,IF(S$5&lt;=24,Assumptions!$D$86,Assumptions!$D$87))),R72*Assumptions!$D$88)</f>
        <v>-24000</v>
      </c>
      <c r="T77" s="70" t="n">
        <f aca="false">-MAX(IF(T8=0,Assumptions!$D$84,IF(T$5&lt;=12,Assumptions!$D$85,IF(T$5&lt;=24,Assumptions!$D$86,Assumptions!$D$87))),S72*Assumptions!$D$88)</f>
        <v>-24000</v>
      </c>
      <c r="U77" s="70" t="n">
        <f aca="false">-MAX(IF(U8=0,Assumptions!$D$84,IF(U$5&lt;=12,Assumptions!$D$85,IF(U$5&lt;=24,Assumptions!$D$86,Assumptions!$D$87))),T72*Assumptions!$D$88)</f>
        <v>-24000</v>
      </c>
      <c r="V77" s="70" t="n">
        <f aca="false">-MAX(IF(V8=0,Assumptions!$D$84,IF(V$5&lt;=12,Assumptions!$D$85,IF(V$5&lt;=24,Assumptions!$D$86,Assumptions!$D$87))),U72*Assumptions!$D$88)</f>
        <v>-24000</v>
      </c>
      <c r="W77" s="70" t="n">
        <f aca="false">-MAX(IF(W8=0,Assumptions!$D$84,IF(W$5&lt;=12,Assumptions!$D$85,IF(W$5&lt;=24,Assumptions!$D$86,Assumptions!$D$87))),V72*Assumptions!$D$88)</f>
        <v>-24000</v>
      </c>
      <c r="X77" s="70" t="n">
        <f aca="false">-MAX(IF(X8=0,Assumptions!$D$84,IF(X$5&lt;=12,Assumptions!$D$85,IF(X$5&lt;=24,Assumptions!$D$86,Assumptions!$D$87))),W72*Assumptions!$D$88)</f>
        <v>-24000</v>
      </c>
      <c r="Y77" s="70" t="n">
        <f aca="false">-MAX(IF(Y8=0,Assumptions!$D$84,IF(Y$5&lt;=12,Assumptions!$D$85,IF(Y$5&lt;=24,Assumptions!$D$86,Assumptions!$D$87))),X72*Assumptions!$D$88)</f>
        <v>-24000</v>
      </c>
      <c r="Z77" s="70" t="n">
        <f aca="false">-MAX(IF(Z8=0,Assumptions!$D$84,IF(Z$5&lt;=12,Assumptions!$D$85,IF(Z$5&lt;=24,Assumptions!$D$86,Assumptions!$D$87))),Y72*Assumptions!$D$88)</f>
        <v>-24000</v>
      </c>
      <c r="AA77" s="70" t="n">
        <f aca="false">-MAX(IF(AA8=0,Assumptions!$D$84,IF(AA$5&lt;=12,Assumptions!$D$85,IF(AA$5&lt;=24,Assumptions!$D$86,Assumptions!$D$87))),Z72*Assumptions!$D$88)</f>
        <v>-32000</v>
      </c>
      <c r="AB77" s="70" t="n">
        <f aca="false">-MAX(IF(AB8=0,Assumptions!$D$84,IF(AB$5&lt;=12,Assumptions!$D$85,IF(AB$5&lt;=24,Assumptions!$D$86,Assumptions!$D$87))),AA72*Assumptions!$D$88)</f>
        <v>-32000</v>
      </c>
      <c r="AC77" s="70" t="n">
        <f aca="false">-MAX(IF(AC8=0,Assumptions!$D$84,IF(AC$5&lt;=12,Assumptions!$D$85,IF(AC$5&lt;=24,Assumptions!$D$86,Assumptions!$D$87))),AB72*Assumptions!$D$88)</f>
        <v>-32000</v>
      </c>
      <c r="AD77" s="70" t="n">
        <f aca="false">-MAX(IF(AD8=0,Assumptions!$D$84,IF(AD$5&lt;=12,Assumptions!$D$85,IF(AD$5&lt;=24,Assumptions!$D$86,Assumptions!$D$87))),AC72*Assumptions!$D$88)</f>
        <v>-32000</v>
      </c>
      <c r="AE77" s="70" t="n">
        <f aca="false">-MAX(IF(AE8=0,Assumptions!$D$84,IF(AE$5&lt;=12,Assumptions!$D$85,IF(AE$5&lt;=24,Assumptions!$D$86,Assumptions!$D$87))),AD72*Assumptions!$D$88)</f>
        <v>-32000</v>
      </c>
      <c r="AF77" s="70" t="n">
        <f aca="false">-MAX(IF(AF8=0,Assumptions!$D$84,IF(AF$5&lt;=12,Assumptions!$D$85,IF(AF$5&lt;=24,Assumptions!$D$86,Assumptions!$D$87))),AE72*Assumptions!$D$88)</f>
        <v>-32000</v>
      </c>
      <c r="AG77" s="70" t="n">
        <f aca="false">-MAX(IF(AG8=0,Assumptions!$D$84,IF(AG$5&lt;=12,Assumptions!$D$85,IF(AG$5&lt;=24,Assumptions!$D$86,Assumptions!$D$87))),AF72*Assumptions!$D$88)</f>
        <v>-32000</v>
      </c>
      <c r="AH77" s="70" t="n">
        <f aca="false">-MAX(IF(AH8=0,Assumptions!$D$84,IF(AH$5&lt;=12,Assumptions!$D$85,IF(AH$5&lt;=24,Assumptions!$D$86,Assumptions!$D$87))),AG72*Assumptions!$D$88)</f>
        <v>-32000</v>
      </c>
      <c r="AI77" s="70" t="n">
        <f aca="false">-MAX(IF(AI8=0,Assumptions!$D$84,IF(AI$5&lt;=12,Assumptions!$D$85,IF(AI$5&lt;=24,Assumptions!$D$86,Assumptions!$D$87))),AH72*Assumptions!$D$88)</f>
        <v>-32000</v>
      </c>
      <c r="AJ77" s="70" t="n">
        <f aca="false">-MAX(IF(AJ8=0,Assumptions!$D$84,IF(AJ$5&lt;=12,Assumptions!$D$85,IF(AJ$5&lt;=24,Assumptions!$D$86,Assumptions!$D$87))),AI72*Assumptions!$D$88)</f>
        <v>-32000</v>
      </c>
      <c r="AK77" s="70" t="n">
        <f aca="false">-MAX(IF(AK8=0,Assumptions!$D$84,IF(AK$5&lt;=12,Assumptions!$D$85,IF(AK$5&lt;=24,Assumptions!$D$86,Assumptions!$D$87))),AJ72*Assumptions!$D$88)</f>
        <v>-32000</v>
      </c>
      <c r="AL77" s="70" t="n">
        <f aca="false">-MAX(IF(AL8=0,Assumptions!$D$84,IF(AL$5&lt;=12,Assumptions!$D$85,IF(AL$5&lt;=24,Assumptions!$D$86,Assumptions!$D$87))),AK72*Assumptions!$D$88)</f>
        <v>-32000</v>
      </c>
      <c r="AM77" s="70" t="n">
        <f aca="false">SUM(C77:AL77)</f>
        <v>-848000</v>
      </c>
    </row>
    <row r="78" customFormat="false" ht="15" hidden="false" customHeight="false" outlineLevel="0" collapsed="false">
      <c r="A78" s="10" t="s">
        <v>794</v>
      </c>
      <c r="B78" s="9" t="s">
        <v>95</v>
      </c>
      <c r="C78" s="70" t="n">
        <f aca="false">-IF(C$5&gt;=Assumptions!$D$7-2,Assumptions!$D$91,0)</f>
        <v>-0</v>
      </c>
      <c r="D78" s="70" t="n">
        <f aca="false">-IF(D$5&gt;=Assumptions!$D$7-2,Assumptions!$D$91,0)</f>
        <v>-0</v>
      </c>
      <c r="E78" s="70" t="n">
        <f aca="false">-IF(E$5&gt;=Assumptions!$D$7-2,Assumptions!$D$91,0)</f>
        <v>-0</v>
      </c>
      <c r="F78" s="70" t="n">
        <f aca="false">-IF(F$5&gt;=Assumptions!$D$7-2,Assumptions!$D$91,0)</f>
        <v>-0</v>
      </c>
      <c r="G78" s="70" t="n">
        <f aca="false">-IF(G$5&gt;=Assumptions!$D$7-2,Assumptions!$D$91,0)</f>
        <v>-0</v>
      </c>
      <c r="H78" s="70" t="n">
        <f aca="false">-IF(H$5&gt;=Assumptions!$D$7-2,Assumptions!$D$91,0)</f>
        <v>-0</v>
      </c>
      <c r="I78" s="70" t="n">
        <f aca="false">-IF(I$5&gt;=Assumptions!$D$7-2,Assumptions!$D$91,0)</f>
        <v>-5000</v>
      </c>
      <c r="J78" s="70" t="n">
        <f aca="false">-IF(J$5&gt;=Assumptions!$D$7-2,Assumptions!$D$91,0)</f>
        <v>-5000</v>
      </c>
      <c r="K78" s="70" t="n">
        <f aca="false">-IF(K$5&gt;=Assumptions!$D$7-2,Assumptions!$D$91,0)</f>
        <v>-5000</v>
      </c>
      <c r="L78" s="70" t="n">
        <f aca="false">-IF(L$5&gt;=Assumptions!$D$7-2,Assumptions!$D$91,0)</f>
        <v>-5000</v>
      </c>
      <c r="M78" s="70" t="n">
        <f aca="false">-IF(M$5&gt;=Assumptions!$D$7-2,Assumptions!$D$91,0)</f>
        <v>-5000</v>
      </c>
      <c r="N78" s="70" t="n">
        <f aca="false">-IF(N$5&gt;=Assumptions!$D$7-2,Assumptions!$D$91,0)</f>
        <v>-5000</v>
      </c>
      <c r="O78" s="70" t="n">
        <f aca="false">-IF(O$5&gt;=Assumptions!$D$7-2,Assumptions!$D$91,0)</f>
        <v>-5000</v>
      </c>
      <c r="P78" s="70" t="n">
        <f aca="false">-IF(P$5&gt;=Assumptions!$D$7-2,Assumptions!$D$91,0)</f>
        <v>-5000</v>
      </c>
      <c r="Q78" s="70" t="n">
        <f aca="false">-IF(Q$5&gt;=Assumptions!$D$7-2,Assumptions!$D$91,0)</f>
        <v>-5000</v>
      </c>
      <c r="R78" s="70" t="n">
        <f aca="false">-IF(R$5&gt;=Assumptions!$D$7-2,Assumptions!$D$91,0)</f>
        <v>-5000</v>
      </c>
      <c r="S78" s="70" t="n">
        <f aca="false">-IF(S$5&gt;=Assumptions!$D$7-2,Assumptions!$D$91,0)</f>
        <v>-5000</v>
      </c>
      <c r="T78" s="70" t="n">
        <f aca="false">-IF(T$5&gt;=Assumptions!$D$7-2,Assumptions!$D$91,0)</f>
        <v>-5000</v>
      </c>
      <c r="U78" s="70" t="n">
        <f aca="false">-IF(U$5&gt;=Assumptions!$D$7-2,Assumptions!$D$91,0)</f>
        <v>-5000</v>
      </c>
      <c r="V78" s="70" t="n">
        <f aca="false">-IF(V$5&gt;=Assumptions!$D$7-2,Assumptions!$D$91,0)</f>
        <v>-5000</v>
      </c>
      <c r="W78" s="70" t="n">
        <f aca="false">-IF(W$5&gt;=Assumptions!$D$7-2,Assumptions!$D$91,0)</f>
        <v>-5000</v>
      </c>
      <c r="X78" s="70" t="n">
        <f aca="false">-IF(X$5&gt;=Assumptions!$D$7-2,Assumptions!$D$91,0)</f>
        <v>-5000</v>
      </c>
      <c r="Y78" s="70" t="n">
        <f aca="false">-IF(Y$5&gt;=Assumptions!$D$7-2,Assumptions!$D$91,0)</f>
        <v>-5000</v>
      </c>
      <c r="Z78" s="70" t="n">
        <f aca="false">-IF(Z$5&gt;=Assumptions!$D$7-2,Assumptions!$D$91,0)</f>
        <v>-5000</v>
      </c>
      <c r="AA78" s="70" t="n">
        <f aca="false">-IF(AA$5&gt;=Assumptions!$D$7-2,Assumptions!$D$91,0)</f>
        <v>-5000</v>
      </c>
      <c r="AB78" s="70" t="n">
        <f aca="false">-IF(AB$5&gt;=Assumptions!$D$7-2,Assumptions!$D$91,0)</f>
        <v>-5000</v>
      </c>
      <c r="AC78" s="70" t="n">
        <f aca="false">-IF(AC$5&gt;=Assumptions!$D$7-2,Assumptions!$D$91,0)</f>
        <v>-5000</v>
      </c>
      <c r="AD78" s="70" t="n">
        <f aca="false">-IF(AD$5&gt;=Assumptions!$D$7-2,Assumptions!$D$91,0)</f>
        <v>-5000</v>
      </c>
      <c r="AE78" s="70" t="n">
        <f aca="false">-IF(AE$5&gt;=Assumptions!$D$7-2,Assumptions!$D$91,0)</f>
        <v>-5000</v>
      </c>
      <c r="AF78" s="70" t="n">
        <f aca="false">-IF(AF$5&gt;=Assumptions!$D$7-2,Assumptions!$D$91,0)</f>
        <v>-5000</v>
      </c>
      <c r="AG78" s="70" t="n">
        <f aca="false">-IF(AG$5&gt;=Assumptions!$D$7-2,Assumptions!$D$91,0)</f>
        <v>-5000</v>
      </c>
      <c r="AH78" s="70" t="n">
        <f aca="false">-IF(AH$5&gt;=Assumptions!$D$7-2,Assumptions!$D$91,0)</f>
        <v>-5000</v>
      </c>
      <c r="AI78" s="70" t="n">
        <f aca="false">-IF(AI$5&gt;=Assumptions!$D$7-2,Assumptions!$D$91,0)</f>
        <v>-5000</v>
      </c>
      <c r="AJ78" s="70" t="n">
        <f aca="false">-IF(AJ$5&gt;=Assumptions!$D$7-2,Assumptions!$D$91,0)</f>
        <v>-5000</v>
      </c>
      <c r="AK78" s="70" t="n">
        <f aca="false">-IF(AK$5&gt;=Assumptions!$D$7-2,Assumptions!$D$91,0)</f>
        <v>-5000</v>
      </c>
      <c r="AL78" s="70" t="n">
        <f aca="false">-IF(AL$5&gt;=Assumptions!$D$7-2,Assumptions!$D$91,0)</f>
        <v>-5000</v>
      </c>
      <c r="AM78" s="70" t="n">
        <f aca="false">SUM(C78:AL78)</f>
        <v>-150000</v>
      </c>
    </row>
    <row r="79" customFormat="false" ht="15" hidden="false" customHeight="false" outlineLevel="0" collapsed="false">
      <c r="A79" s="10" t="s">
        <v>795</v>
      </c>
      <c r="B79" s="9" t="s">
        <v>95</v>
      </c>
      <c r="C79" s="70" t="n">
        <f aca="false">-Assumptions!$D$92</f>
        <v>-1500</v>
      </c>
      <c r="D79" s="70" t="n">
        <f aca="false">-MAX(Assumptions!$D$92,C72*Assumptions!$D$90)</f>
        <v>-1500</v>
      </c>
      <c r="E79" s="70" t="n">
        <f aca="false">-MAX(Assumptions!$D$92,D72*Assumptions!$D$90)</f>
        <v>-1500</v>
      </c>
      <c r="F79" s="70" t="n">
        <f aca="false">-MAX(Assumptions!$D$92,E72*Assumptions!$D$90)</f>
        <v>-1500</v>
      </c>
      <c r="G79" s="70" t="n">
        <f aca="false">-MAX(Assumptions!$D$92,F72*Assumptions!$D$90)</f>
        <v>-1500</v>
      </c>
      <c r="H79" s="70" t="n">
        <f aca="false">-MAX(Assumptions!$D$92,G72*Assumptions!$D$90)</f>
        <v>-1500</v>
      </c>
      <c r="I79" s="70" t="n">
        <f aca="false">-MAX(Assumptions!$D$92,H72*Assumptions!$D$90)</f>
        <v>-1500</v>
      </c>
      <c r="J79" s="70" t="n">
        <f aca="false">-MAX(Assumptions!$D$92,I72*Assumptions!$D$90)</f>
        <v>-1500</v>
      </c>
      <c r="K79" s="70" t="n">
        <f aca="false">-MAX(Assumptions!$D$92,J72*Assumptions!$D$90)</f>
        <v>-1500</v>
      </c>
      <c r="L79" s="70" t="n">
        <f aca="false">-MAX(Assumptions!$D$92,K72*Assumptions!$D$90)</f>
        <v>-1500</v>
      </c>
      <c r="M79" s="70" t="n">
        <f aca="false">-MAX(Assumptions!$D$92,L72*Assumptions!$D$90)</f>
        <v>-1500</v>
      </c>
      <c r="N79" s="70" t="n">
        <f aca="false">-MAX(Assumptions!$D$92,M72*Assumptions!$D$90)</f>
        <v>-1500</v>
      </c>
      <c r="O79" s="70" t="n">
        <f aca="false">-MAX(Assumptions!$D$92,N72*Assumptions!$D$90)</f>
        <v>-1500</v>
      </c>
      <c r="P79" s="70" t="n">
        <f aca="false">-MAX(Assumptions!$D$92,O72*Assumptions!$D$90)</f>
        <v>-1500</v>
      </c>
      <c r="Q79" s="70" t="n">
        <f aca="false">-MAX(Assumptions!$D$92,P72*Assumptions!$D$90)</f>
        <v>-1500</v>
      </c>
      <c r="R79" s="70" t="n">
        <f aca="false">-MAX(Assumptions!$D$92,Q72*Assumptions!$D$90)</f>
        <v>-1500</v>
      </c>
      <c r="S79" s="70" t="n">
        <f aca="false">-MAX(Assumptions!$D$92,R72*Assumptions!$D$90)</f>
        <v>-1500</v>
      </c>
      <c r="T79" s="70" t="n">
        <f aca="false">-MAX(Assumptions!$D$92,S72*Assumptions!$D$90)</f>
        <v>-1500</v>
      </c>
      <c r="U79" s="70" t="n">
        <f aca="false">-MAX(Assumptions!$D$92,T72*Assumptions!$D$90)</f>
        <v>-1500</v>
      </c>
      <c r="V79" s="70" t="n">
        <f aca="false">-MAX(Assumptions!$D$92,U72*Assumptions!$D$90)</f>
        <v>-1500</v>
      </c>
      <c r="W79" s="70" t="n">
        <f aca="false">-MAX(Assumptions!$D$92,V72*Assumptions!$D$90)</f>
        <v>-1500</v>
      </c>
      <c r="X79" s="70" t="n">
        <f aca="false">-MAX(Assumptions!$D$92,W72*Assumptions!$D$90)</f>
        <v>-1500</v>
      </c>
      <c r="Y79" s="70" t="n">
        <f aca="false">-MAX(Assumptions!$D$92,X72*Assumptions!$D$90)</f>
        <v>-1500</v>
      </c>
      <c r="Z79" s="70" t="n">
        <f aca="false">-MAX(Assumptions!$D$92,Y72*Assumptions!$D$90)</f>
        <v>-1500</v>
      </c>
      <c r="AA79" s="70" t="n">
        <f aca="false">-MAX(Assumptions!$D$92,Z72*Assumptions!$D$90)</f>
        <v>-1500</v>
      </c>
      <c r="AB79" s="70" t="n">
        <f aca="false">-MAX(Assumptions!$D$92,AA72*Assumptions!$D$90)</f>
        <v>-1500</v>
      </c>
      <c r="AC79" s="70" t="n">
        <f aca="false">-MAX(Assumptions!$D$92,AB72*Assumptions!$D$90)</f>
        <v>-1500</v>
      </c>
      <c r="AD79" s="70" t="n">
        <f aca="false">-MAX(Assumptions!$D$92,AC72*Assumptions!$D$90)</f>
        <v>-1500</v>
      </c>
      <c r="AE79" s="70" t="n">
        <f aca="false">-MAX(Assumptions!$D$92,AD72*Assumptions!$D$90)</f>
        <v>-1500</v>
      </c>
      <c r="AF79" s="70" t="n">
        <f aca="false">-MAX(Assumptions!$D$92,AE72*Assumptions!$D$90)</f>
        <v>-1500</v>
      </c>
      <c r="AG79" s="70" t="n">
        <f aca="false">-MAX(Assumptions!$D$92,AF72*Assumptions!$D$90)</f>
        <v>-1500</v>
      </c>
      <c r="AH79" s="70" t="n">
        <f aca="false">-MAX(Assumptions!$D$92,AG72*Assumptions!$D$90)</f>
        <v>-1500</v>
      </c>
      <c r="AI79" s="70" t="n">
        <f aca="false">-MAX(Assumptions!$D$92,AH72*Assumptions!$D$90)</f>
        <v>-1500</v>
      </c>
      <c r="AJ79" s="70" t="n">
        <f aca="false">-MAX(Assumptions!$D$92,AI72*Assumptions!$D$90)</f>
        <v>-1500</v>
      </c>
      <c r="AK79" s="70" t="n">
        <f aca="false">-MAX(Assumptions!$D$92,AJ72*Assumptions!$D$90)</f>
        <v>-1500</v>
      </c>
      <c r="AL79" s="70" t="n">
        <f aca="false">-MAX(Assumptions!$D$92,AK72*Assumptions!$D$90)</f>
        <v>-1500</v>
      </c>
      <c r="AM79" s="70" t="n">
        <f aca="false">SUM(C79:AL79)</f>
        <v>-54000</v>
      </c>
    </row>
    <row r="80" customFormat="false" ht="15" hidden="false" customHeight="false" outlineLevel="0" collapsed="false">
      <c r="A80" s="10" t="s">
        <v>796</v>
      </c>
      <c r="B80" s="9" t="s">
        <v>95</v>
      </c>
      <c r="C80" s="70" t="n">
        <f aca="false">-IF(C$5&lt;=4,Assumptions!$D$93,Assumptions!$D$94)</f>
        <v>-14000</v>
      </c>
      <c r="D80" s="70" t="n">
        <f aca="false">-IF(D$5&lt;=4,Assumptions!$D$93,Assumptions!$D$94)</f>
        <v>-14000</v>
      </c>
      <c r="E80" s="70" t="n">
        <f aca="false">-IF(E$5&lt;=4,Assumptions!$D$93,Assumptions!$D$94)</f>
        <v>-14000</v>
      </c>
      <c r="F80" s="70" t="n">
        <f aca="false">-IF(F$5&lt;=4,Assumptions!$D$93,Assumptions!$D$94)</f>
        <v>-14000</v>
      </c>
      <c r="G80" s="70" t="n">
        <f aca="false">-IF(G$5&lt;=4,Assumptions!$D$93,Assumptions!$D$94)</f>
        <v>-4000</v>
      </c>
      <c r="H80" s="70" t="n">
        <f aca="false">-IF(H$5&lt;=4,Assumptions!$D$93,Assumptions!$D$94)</f>
        <v>-4000</v>
      </c>
      <c r="I80" s="70" t="n">
        <f aca="false">-IF(I$5&lt;=4,Assumptions!$D$93,Assumptions!$D$94)</f>
        <v>-4000</v>
      </c>
      <c r="J80" s="70" t="n">
        <f aca="false">-IF(J$5&lt;=4,Assumptions!$D$93,Assumptions!$D$94)</f>
        <v>-4000</v>
      </c>
      <c r="K80" s="70" t="n">
        <f aca="false">-IF(K$5&lt;=4,Assumptions!$D$93,Assumptions!$D$94)</f>
        <v>-4000</v>
      </c>
      <c r="L80" s="70" t="n">
        <f aca="false">-IF(L$5&lt;=4,Assumptions!$D$93,Assumptions!$D$94)</f>
        <v>-4000</v>
      </c>
      <c r="M80" s="70" t="n">
        <f aca="false">-IF(M$5&lt;=4,Assumptions!$D$93,Assumptions!$D$94)</f>
        <v>-4000</v>
      </c>
      <c r="N80" s="70" t="n">
        <f aca="false">-IF(N$5&lt;=4,Assumptions!$D$93,Assumptions!$D$94)</f>
        <v>-4000</v>
      </c>
      <c r="O80" s="70" t="n">
        <f aca="false">-IF(O$5&lt;=4,Assumptions!$D$93,Assumptions!$D$94)</f>
        <v>-4000</v>
      </c>
      <c r="P80" s="70" t="n">
        <f aca="false">-IF(P$5&lt;=4,Assumptions!$D$93,Assumptions!$D$94)</f>
        <v>-4000</v>
      </c>
      <c r="Q80" s="70" t="n">
        <f aca="false">-IF(Q$5&lt;=4,Assumptions!$D$93,Assumptions!$D$94)</f>
        <v>-4000</v>
      </c>
      <c r="R80" s="70" t="n">
        <f aca="false">-IF(R$5&lt;=4,Assumptions!$D$93,Assumptions!$D$94)</f>
        <v>-4000</v>
      </c>
      <c r="S80" s="70" t="n">
        <f aca="false">-IF(S$5&lt;=4,Assumptions!$D$93,Assumptions!$D$94)</f>
        <v>-4000</v>
      </c>
      <c r="T80" s="70" t="n">
        <f aca="false">-IF(T$5&lt;=4,Assumptions!$D$93,Assumptions!$D$94)</f>
        <v>-4000</v>
      </c>
      <c r="U80" s="70" t="n">
        <f aca="false">-IF(U$5&lt;=4,Assumptions!$D$93,Assumptions!$D$94)</f>
        <v>-4000</v>
      </c>
      <c r="V80" s="70" t="n">
        <f aca="false">-IF(V$5&lt;=4,Assumptions!$D$93,Assumptions!$D$94)</f>
        <v>-4000</v>
      </c>
      <c r="W80" s="70" t="n">
        <f aca="false">-IF(W$5&lt;=4,Assumptions!$D$93,Assumptions!$D$94)</f>
        <v>-4000</v>
      </c>
      <c r="X80" s="70" t="n">
        <f aca="false">-IF(X$5&lt;=4,Assumptions!$D$93,Assumptions!$D$94)</f>
        <v>-4000</v>
      </c>
      <c r="Y80" s="70" t="n">
        <f aca="false">-IF(Y$5&lt;=4,Assumptions!$D$93,Assumptions!$D$94)</f>
        <v>-4000</v>
      </c>
      <c r="Z80" s="70" t="n">
        <f aca="false">-IF(Z$5&lt;=4,Assumptions!$D$93,Assumptions!$D$94)</f>
        <v>-4000</v>
      </c>
      <c r="AA80" s="70" t="n">
        <f aca="false">-IF(AA$5&lt;=4,Assumptions!$D$93,Assumptions!$D$94)</f>
        <v>-4000</v>
      </c>
      <c r="AB80" s="70" t="n">
        <f aca="false">-IF(AB$5&lt;=4,Assumptions!$D$93,Assumptions!$D$94)</f>
        <v>-4000</v>
      </c>
      <c r="AC80" s="70" t="n">
        <f aca="false">-IF(AC$5&lt;=4,Assumptions!$D$93,Assumptions!$D$94)</f>
        <v>-4000</v>
      </c>
      <c r="AD80" s="70" t="n">
        <f aca="false">-IF(AD$5&lt;=4,Assumptions!$D$93,Assumptions!$D$94)</f>
        <v>-4000</v>
      </c>
      <c r="AE80" s="70" t="n">
        <f aca="false">-IF(AE$5&lt;=4,Assumptions!$D$93,Assumptions!$D$94)</f>
        <v>-4000</v>
      </c>
      <c r="AF80" s="70" t="n">
        <f aca="false">-IF(AF$5&lt;=4,Assumptions!$D$93,Assumptions!$D$94)</f>
        <v>-4000</v>
      </c>
      <c r="AG80" s="70" t="n">
        <f aca="false">-IF(AG$5&lt;=4,Assumptions!$D$93,Assumptions!$D$94)</f>
        <v>-4000</v>
      </c>
      <c r="AH80" s="70" t="n">
        <f aca="false">-IF(AH$5&lt;=4,Assumptions!$D$93,Assumptions!$D$94)</f>
        <v>-4000</v>
      </c>
      <c r="AI80" s="70" t="n">
        <f aca="false">-IF(AI$5&lt;=4,Assumptions!$D$93,Assumptions!$D$94)</f>
        <v>-4000</v>
      </c>
      <c r="AJ80" s="70" t="n">
        <f aca="false">-IF(AJ$5&lt;=4,Assumptions!$D$93,Assumptions!$D$94)</f>
        <v>-4000</v>
      </c>
      <c r="AK80" s="70" t="n">
        <f aca="false">-IF(AK$5&lt;=4,Assumptions!$D$93,Assumptions!$D$94)</f>
        <v>-4000</v>
      </c>
      <c r="AL80" s="70" t="n">
        <f aca="false">-IF(AL$5&lt;=4,Assumptions!$D$93,Assumptions!$D$94)</f>
        <v>-4000</v>
      </c>
      <c r="AM80" s="70" t="n">
        <f aca="false">SUM(C80:AL80)</f>
        <v>-184000</v>
      </c>
    </row>
    <row r="81" customFormat="false" ht="15" hidden="false" customHeight="false" outlineLevel="0" collapsed="false">
      <c r="A81" s="10" t="s">
        <v>797</v>
      </c>
      <c r="B81" s="9" t="s">
        <v>95</v>
      </c>
      <c r="C81" s="70" t="n">
        <f aca="false">-C8*Assumptions!$D$95</f>
        <v>-0</v>
      </c>
      <c r="D81" s="70" t="n">
        <f aca="false">-D8*Assumptions!$D$95</f>
        <v>-0</v>
      </c>
      <c r="E81" s="70" t="n">
        <f aca="false">-E8*Assumptions!$D$95</f>
        <v>-2000</v>
      </c>
      <c r="F81" s="70" t="n">
        <f aca="false">-F8*Assumptions!$D$95</f>
        <v>-2000</v>
      </c>
      <c r="G81" s="70" t="n">
        <f aca="false">-G8*Assumptions!$D$95</f>
        <v>-2000</v>
      </c>
      <c r="H81" s="70" t="n">
        <f aca="false">-H8*Assumptions!$D$95</f>
        <v>-2000</v>
      </c>
      <c r="I81" s="70" t="n">
        <f aca="false">-I8*Assumptions!$D$95</f>
        <v>-2000</v>
      </c>
      <c r="J81" s="70" t="n">
        <f aca="false">-J8*Assumptions!$D$95</f>
        <v>-2000</v>
      </c>
      <c r="K81" s="70" t="n">
        <f aca="false">-K8*Assumptions!$D$95</f>
        <v>-2000</v>
      </c>
      <c r="L81" s="70" t="n">
        <f aca="false">-L8*Assumptions!$D$95</f>
        <v>-2000</v>
      </c>
      <c r="M81" s="70" t="n">
        <f aca="false">-M8*Assumptions!$D$95</f>
        <v>-2000</v>
      </c>
      <c r="N81" s="70" t="n">
        <f aca="false">-N8*Assumptions!$D$95</f>
        <v>-2000</v>
      </c>
      <c r="O81" s="70" t="n">
        <f aca="false">-O8*Assumptions!$D$95</f>
        <v>-2000</v>
      </c>
      <c r="P81" s="70" t="n">
        <f aca="false">-P8*Assumptions!$D$95</f>
        <v>-2000</v>
      </c>
      <c r="Q81" s="70" t="n">
        <f aca="false">-Q8*Assumptions!$D$95</f>
        <v>-2000</v>
      </c>
      <c r="R81" s="70" t="n">
        <f aca="false">-R8*Assumptions!$D$95</f>
        <v>-2000</v>
      </c>
      <c r="S81" s="70" t="n">
        <f aca="false">-S8*Assumptions!$D$95</f>
        <v>-2000</v>
      </c>
      <c r="T81" s="70" t="n">
        <f aca="false">-T8*Assumptions!$D$95</f>
        <v>-2000</v>
      </c>
      <c r="U81" s="70" t="n">
        <f aca="false">-U8*Assumptions!$D$95</f>
        <v>-2000</v>
      </c>
      <c r="V81" s="70" t="n">
        <f aca="false">-V8*Assumptions!$D$95</f>
        <v>-2000</v>
      </c>
      <c r="W81" s="70" t="n">
        <f aca="false">-W8*Assumptions!$D$95</f>
        <v>-2000</v>
      </c>
      <c r="X81" s="70" t="n">
        <f aca="false">-X8*Assumptions!$D$95</f>
        <v>-2000</v>
      </c>
      <c r="Y81" s="70" t="n">
        <f aca="false">-Y8*Assumptions!$D$95</f>
        <v>-2000</v>
      </c>
      <c r="Z81" s="70" t="n">
        <f aca="false">-Z8*Assumptions!$D$95</f>
        <v>-2000</v>
      </c>
      <c r="AA81" s="70" t="n">
        <f aca="false">-AA8*Assumptions!$D$95</f>
        <v>-2000</v>
      </c>
      <c r="AB81" s="70" t="n">
        <f aca="false">-AB8*Assumptions!$D$95</f>
        <v>-2000</v>
      </c>
      <c r="AC81" s="70" t="n">
        <f aca="false">-AC8*Assumptions!$D$95</f>
        <v>-2000</v>
      </c>
      <c r="AD81" s="70" t="n">
        <f aca="false">-AD8*Assumptions!$D$95</f>
        <v>-2000</v>
      </c>
      <c r="AE81" s="70" t="n">
        <f aca="false">-AE8*Assumptions!$D$95</f>
        <v>-2000</v>
      </c>
      <c r="AF81" s="70" t="n">
        <f aca="false">-AF8*Assumptions!$D$95</f>
        <v>-2000</v>
      </c>
      <c r="AG81" s="70" t="n">
        <f aca="false">-AG8*Assumptions!$D$95</f>
        <v>-2000</v>
      </c>
      <c r="AH81" s="70" t="n">
        <f aca="false">-AH8*Assumptions!$D$95</f>
        <v>-2000</v>
      </c>
      <c r="AI81" s="70" t="n">
        <f aca="false">-AI8*Assumptions!$D$95</f>
        <v>-2000</v>
      </c>
      <c r="AJ81" s="70" t="n">
        <f aca="false">-AJ8*Assumptions!$D$95</f>
        <v>-2000</v>
      </c>
      <c r="AK81" s="70" t="n">
        <f aca="false">-AK8*Assumptions!$D$95</f>
        <v>-2000</v>
      </c>
      <c r="AL81" s="70" t="n">
        <f aca="false">-AL8*Assumptions!$D$95</f>
        <v>-2000</v>
      </c>
      <c r="AM81" s="70" t="n">
        <f aca="false">SUM(C81:AL81)</f>
        <v>-68000</v>
      </c>
    </row>
    <row r="82" customFormat="false" ht="15" hidden="false" customHeight="false" outlineLevel="0" collapsed="false">
      <c r="A82" s="10" t="s">
        <v>798</v>
      </c>
      <c r="B82" s="9" t="s">
        <v>95</v>
      </c>
      <c r="C82" s="70" t="n">
        <f aca="false">-Assumptions!$D$96</f>
        <v>-4500</v>
      </c>
      <c r="D82" s="70" t="n">
        <f aca="false">-MAX(Assumptions!$D$96,C72*Assumptions!$D$89)</f>
        <v>-4500</v>
      </c>
      <c r="E82" s="70" t="n">
        <f aca="false">-MAX(Assumptions!$D$96,D72*Assumptions!$D$89)</f>
        <v>-4500</v>
      </c>
      <c r="F82" s="70" t="n">
        <f aca="false">-MAX(Assumptions!$D$96,E72*Assumptions!$D$89)</f>
        <v>-4500</v>
      </c>
      <c r="G82" s="70" t="n">
        <f aca="false">-MAX(Assumptions!$D$96,F72*Assumptions!$D$89)</f>
        <v>-4500</v>
      </c>
      <c r="H82" s="70" t="n">
        <f aca="false">-MAX(Assumptions!$D$96,G72*Assumptions!$D$89)</f>
        <v>-4500</v>
      </c>
      <c r="I82" s="70" t="n">
        <f aca="false">-MAX(Assumptions!$D$96,H72*Assumptions!$D$89)</f>
        <v>-4500</v>
      </c>
      <c r="J82" s="70" t="n">
        <f aca="false">-MAX(Assumptions!$D$96,I72*Assumptions!$D$89)</f>
        <v>-4500</v>
      </c>
      <c r="K82" s="70" t="n">
        <f aca="false">-MAX(Assumptions!$D$96,J72*Assumptions!$D$89)</f>
        <v>-4500</v>
      </c>
      <c r="L82" s="70" t="n">
        <f aca="false">-MAX(Assumptions!$D$96,K72*Assumptions!$D$89)</f>
        <v>-4500</v>
      </c>
      <c r="M82" s="70" t="n">
        <f aca="false">-MAX(Assumptions!$D$96,L72*Assumptions!$D$89)</f>
        <v>-4500</v>
      </c>
      <c r="N82" s="70" t="n">
        <f aca="false">-MAX(Assumptions!$D$96,M72*Assumptions!$D$89)</f>
        <v>-4500</v>
      </c>
      <c r="O82" s="70" t="n">
        <f aca="false">-MAX(Assumptions!$D$96,N72*Assumptions!$D$89)</f>
        <v>-4500</v>
      </c>
      <c r="P82" s="70" t="n">
        <f aca="false">-MAX(Assumptions!$D$96,O72*Assumptions!$D$89)</f>
        <v>-4500</v>
      </c>
      <c r="Q82" s="70" t="n">
        <f aca="false">-MAX(Assumptions!$D$96,P72*Assumptions!$D$89)</f>
        <v>-4500</v>
      </c>
      <c r="R82" s="70" t="n">
        <f aca="false">-MAX(Assumptions!$D$96,Q72*Assumptions!$D$89)</f>
        <v>-4500</v>
      </c>
      <c r="S82" s="70" t="n">
        <f aca="false">-MAX(Assumptions!$D$96,R72*Assumptions!$D$89)</f>
        <v>-4500</v>
      </c>
      <c r="T82" s="70" t="n">
        <f aca="false">-MAX(Assumptions!$D$96,S72*Assumptions!$D$89)</f>
        <v>-4500</v>
      </c>
      <c r="U82" s="70" t="n">
        <f aca="false">-MAX(Assumptions!$D$96,T72*Assumptions!$D$89)</f>
        <v>-4500</v>
      </c>
      <c r="V82" s="70" t="n">
        <f aca="false">-MAX(Assumptions!$D$96,U72*Assumptions!$D$89)</f>
        <v>-4500</v>
      </c>
      <c r="W82" s="70" t="n">
        <f aca="false">-MAX(Assumptions!$D$96,V72*Assumptions!$D$89)</f>
        <v>-4500</v>
      </c>
      <c r="X82" s="70" t="n">
        <f aca="false">-MAX(Assumptions!$D$96,W72*Assumptions!$D$89)</f>
        <v>-4500</v>
      </c>
      <c r="Y82" s="70" t="n">
        <f aca="false">-MAX(Assumptions!$D$96,X72*Assumptions!$D$89)</f>
        <v>-4500</v>
      </c>
      <c r="Z82" s="70" t="n">
        <f aca="false">-MAX(Assumptions!$D$96,Y72*Assumptions!$D$89)</f>
        <v>-4500</v>
      </c>
      <c r="AA82" s="70" t="n">
        <f aca="false">-MAX(Assumptions!$D$96,Z72*Assumptions!$D$89)</f>
        <v>-4500</v>
      </c>
      <c r="AB82" s="70" t="n">
        <f aca="false">-MAX(Assumptions!$D$96,AA72*Assumptions!$D$89)</f>
        <v>-4500</v>
      </c>
      <c r="AC82" s="70" t="n">
        <f aca="false">-MAX(Assumptions!$D$96,AB72*Assumptions!$D$89)</f>
        <v>-4500</v>
      </c>
      <c r="AD82" s="70" t="n">
        <f aca="false">-MAX(Assumptions!$D$96,AC72*Assumptions!$D$89)</f>
        <v>-4500</v>
      </c>
      <c r="AE82" s="70" t="n">
        <f aca="false">-MAX(Assumptions!$D$96,AD72*Assumptions!$D$89)</f>
        <v>-4500</v>
      </c>
      <c r="AF82" s="70" t="n">
        <f aca="false">-MAX(Assumptions!$D$96,AE72*Assumptions!$D$89)</f>
        <v>-4500</v>
      </c>
      <c r="AG82" s="70" t="n">
        <f aca="false">-MAX(Assumptions!$D$96,AF72*Assumptions!$D$89)</f>
        <v>-4500</v>
      </c>
      <c r="AH82" s="70" t="n">
        <f aca="false">-MAX(Assumptions!$D$96,AG72*Assumptions!$D$89)</f>
        <v>-4500</v>
      </c>
      <c r="AI82" s="70" t="n">
        <f aca="false">-MAX(Assumptions!$D$96,AH72*Assumptions!$D$89)</f>
        <v>-4500</v>
      </c>
      <c r="AJ82" s="70" t="n">
        <f aca="false">-MAX(Assumptions!$D$96,AI72*Assumptions!$D$89)</f>
        <v>-4500</v>
      </c>
      <c r="AK82" s="70" t="n">
        <f aca="false">-MAX(Assumptions!$D$96,AJ72*Assumptions!$D$89)</f>
        <v>-4500</v>
      </c>
      <c r="AL82" s="70" t="n">
        <f aca="false">-MAX(Assumptions!$D$96,AK72*Assumptions!$D$89)</f>
        <v>-4500</v>
      </c>
      <c r="AM82" s="70" t="n">
        <f aca="false">SUM(C82:AL82)</f>
        <v>-162000</v>
      </c>
    </row>
    <row r="83" customFormat="false" ht="15" hidden="false" customHeight="false" outlineLevel="0" collapsed="false">
      <c r="A83" s="10" t="s">
        <v>799</v>
      </c>
      <c r="B83" s="9" t="s">
        <v>95</v>
      </c>
      <c r="C83" s="70" t="n">
        <f aca="false">-C26</f>
        <v>-4000</v>
      </c>
      <c r="D83" s="70" t="n">
        <f aca="false">-D26</f>
        <v>-4000</v>
      </c>
      <c r="E83" s="70" t="n">
        <f aca="false">-E26</f>
        <v>-10000</v>
      </c>
      <c r="F83" s="70" t="n">
        <f aca="false">-F26</f>
        <v>-10000</v>
      </c>
      <c r="G83" s="70" t="n">
        <f aca="false">-G26</f>
        <v>-10000</v>
      </c>
      <c r="H83" s="70" t="n">
        <f aca="false">-H26</f>
        <v>-10000</v>
      </c>
      <c r="I83" s="70" t="n">
        <f aca="false">-I26</f>
        <v>-10000</v>
      </c>
      <c r="J83" s="70" t="n">
        <f aca="false">-J26</f>
        <v>-10000</v>
      </c>
      <c r="K83" s="70" t="n">
        <f aca="false">-K26</f>
        <v>-10000</v>
      </c>
      <c r="L83" s="70" t="n">
        <f aca="false">-L26</f>
        <v>-10000</v>
      </c>
      <c r="M83" s="70" t="n">
        <f aca="false">-M26</f>
        <v>-10000</v>
      </c>
      <c r="N83" s="70" t="n">
        <f aca="false">-N26</f>
        <v>-10000</v>
      </c>
      <c r="O83" s="70" t="n">
        <f aca="false">-O26</f>
        <v>-10000</v>
      </c>
      <c r="P83" s="70" t="n">
        <f aca="false">-P26</f>
        <v>-10000</v>
      </c>
      <c r="Q83" s="70" t="n">
        <f aca="false">-Q26</f>
        <v>-10000</v>
      </c>
      <c r="R83" s="70" t="n">
        <f aca="false">-R26</f>
        <v>-10000</v>
      </c>
      <c r="S83" s="70" t="n">
        <f aca="false">-S26</f>
        <v>-10000</v>
      </c>
      <c r="T83" s="70" t="n">
        <f aca="false">-T26</f>
        <v>-10000</v>
      </c>
      <c r="U83" s="70" t="n">
        <f aca="false">-U26</f>
        <v>-10000</v>
      </c>
      <c r="V83" s="70" t="n">
        <f aca="false">-V26</f>
        <v>-10000</v>
      </c>
      <c r="W83" s="70" t="n">
        <f aca="false">-W26</f>
        <v>-10000</v>
      </c>
      <c r="X83" s="70" t="n">
        <f aca="false">-X26</f>
        <v>-10000</v>
      </c>
      <c r="Y83" s="70" t="n">
        <f aca="false">-Y26</f>
        <v>-10000</v>
      </c>
      <c r="Z83" s="70" t="n">
        <f aca="false">-Z26</f>
        <v>-10000</v>
      </c>
      <c r="AA83" s="70" t="n">
        <f aca="false">-AA26</f>
        <v>-10000</v>
      </c>
      <c r="AB83" s="70" t="n">
        <f aca="false">-AB26</f>
        <v>-10000</v>
      </c>
      <c r="AC83" s="70" t="n">
        <f aca="false">-AC26</f>
        <v>-10000</v>
      </c>
      <c r="AD83" s="70" t="n">
        <f aca="false">-AD26</f>
        <v>-10000</v>
      </c>
      <c r="AE83" s="70" t="n">
        <f aca="false">-AE26</f>
        <v>-10000</v>
      </c>
      <c r="AF83" s="70" t="n">
        <f aca="false">-AF26</f>
        <v>-10000</v>
      </c>
      <c r="AG83" s="70" t="n">
        <f aca="false">-AG26</f>
        <v>-10000</v>
      </c>
      <c r="AH83" s="70" t="n">
        <f aca="false">-AH26</f>
        <v>-10000</v>
      </c>
      <c r="AI83" s="70" t="n">
        <f aca="false">-AI26</f>
        <v>-10000</v>
      </c>
      <c r="AJ83" s="70" t="n">
        <f aca="false">-AJ26</f>
        <v>-10080.7852667649</v>
      </c>
      <c r="AK83" s="70" t="n">
        <f aca="false">-AK26</f>
        <v>-10409.9166301373</v>
      </c>
      <c r="AL83" s="70" t="n">
        <f aca="false">-AL26</f>
        <v>-10774.1150275972</v>
      </c>
      <c r="AM83" s="70" t="n">
        <f aca="false">SUM(C83:AL83)</f>
        <v>-349264.816924499</v>
      </c>
    </row>
    <row r="84" customFormat="false" ht="15" hidden="false" customHeight="false" outlineLevel="0" collapsed="false">
      <c r="A84" s="10" t="s">
        <v>800</v>
      </c>
      <c r="B84" s="9" t="s">
        <v>95</v>
      </c>
      <c r="C84" s="70" t="n">
        <f aca="false">-IF(C$5=Assumptions!$D$6,Assumptions!$D$23,0)</f>
        <v>-0</v>
      </c>
      <c r="D84" s="70" t="n">
        <f aca="false">-IF(D$5=Assumptions!$D$6,Assumptions!$D$23,0)</f>
        <v>-0</v>
      </c>
      <c r="E84" s="70" t="n">
        <f aca="false">-IF(E$5=Assumptions!$D$6,Assumptions!$D$23,0)</f>
        <v>-40000</v>
      </c>
      <c r="F84" s="70" t="n">
        <f aca="false">-IF(F$5=Assumptions!$D$6,Assumptions!$D$23,0)</f>
        <v>-0</v>
      </c>
      <c r="G84" s="70" t="n">
        <f aca="false">-IF(G$5=Assumptions!$D$6,Assumptions!$D$23,0)</f>
        <v>-0</v>
      </c>
      <c r="H84" s="70" t="n">
        <f aca="false">-IF(H$5=Assumptions!$D$6,Assumptions!$D$23,0)</f>
        <v>-0</v>
      </c>
      <c r="I84" s="70" t="n">
        <f aca="false">-IF(I$5=Assumptions!$D$6,Assumptions!$D$23,0)</f>
        <v>-0</v>
      </c>
      <c r="J84" s="70" t="n">
        <f aca="false">-IF(J$5=Assumptions!$D$6,Assumptions!$D$23,0)</f>
        <v>-0</v>
      </c>
      <c r="K84" s="70" t="n">
        <f aca="false">-IF(K$5=Assumptions!$D$6,Assumptions!$D$23,0)</f>
        <v>-0</v>
      </c>
      <c r="L84" s="70" t="n">
        <f aca="false">-IF(L$5=Assumptions!$D$6,Assumptions!$D$23,0)</f>
        <v>-0</v>
      </c>
      <c r="M84" s="70" t="n">
        <f aca="false">-IF(M$5=Assumptions!$D$6,Assumptions!$D$23,0)</f>
        <v>-0</v>
      </c>
      <c r="N84" s="70" t="n">
        <f aca="false">-IF(N$5=Assumptions!$D$6,Assumptions!$D$23,0)</f>
        <v>-0</v>
      </c>
      <c r="O84" s="70" t="n">
        <f aca="false">-IF(O$5=Assumptions!$D$6,Assumptions!$D$23,0)</f>
        <v>-0</v>
      </c>
      <c r="P84" s="70" t="n">
        <f aca="false">-IF(P$5=Assumptions!$D$6,Assumptions!$D$23,0)</f>
        <v>-0</v>
      </c>
      <c r="Q84" s="70" t="n">
        <f aca="false">-IF(Q$5=Assumptions!$D$6,Assumptions!$D$23,0)</f>
        <v>-0</v>
      </c>
      <c r="R84" s="70" t="n">
        <f aca="false">-IF(R$5=Assumptions!$D$6,Assumptions!$D$23,0)</f>
        <v>-0</v>
      </c>
      <c r="S84" s="70" t="n">
        <f aca="false">-IF(S$5=Assumptions!$D$6,Assumptions!$D$23,0)</f>
        <v>-0</v>
      </c>
      <c r="T84" s="70" t="n">
        <f aca="false">-IF(T$5=Assumptions!$D$6,Assumptions!$D$23,0)</f>
        <v>-0</v>
      </c>
      <c r="U84" s="70" t="n">
        <f aca="false">-IF(U$5=Assumptions!$D$6,Assumptions!$D$23,0)</f>
        <v>-0</v>
      </c>
      <c r="V84" s="70" t="n">
        <f aca="false">-IF(V$5=Assumptions!$D$6,Assumptions!$D$23,0)</f>
        <v>-0</v>
      </c>
      <c r="W84" s="70" t="n">
        <f aca="false">-IF(W$5=Assumptions!$D$6,Assumptions!$D$23,0)</f>
        <v>-0</v>
      </c>
      <c r="X84" s="70" t="n">
        <f aca="false">-IF(X$5=Assumptions!$D$6,Assumptions!$D$23,0)</f>
        <v>-0</v>
      </c>
      <c r="Y84" s="70" t="n">
        <f aca="false">-IF(Y$5=Assumptions!$D$6,Assumptions!$D$23,0)</f>
        <v>-0</v>
      </c>
      <c r="Z84" s="70" t="n">
        <f aca="false">-IF(Z$5=Assumptions!$D$6,Assumptions!$D$23,0)</f>
        <v>-0</v>
      </c>
      <c r="AA84" s="70" t="n">
        <f aca="false">-IF(AA$5=Assumptions!$D$6,Assumptions!$D$23,0)</f>
        <v>-0</v>
      </c>
      <c r="AB84" s="70" t="n">
        <f aca="false">-IF(AB$5=Assumptions!$D$6,Assumptions!$D$23,0)</f>
        <v>-0</v>
      </c>
      <c r="AC84" s="70" t="n">
        <f aca="false">-IF(AC$5=Assumptions!$D$6,Assumptions!$D$23,0)</f>
        <v>-0</v>
      </c>
      <c r="AD84" s="70" t="n">
        <f aca="false">-IF(AD$5=Assumptions!$D$6,Assumptions!$D$23,0)</f>
        <v>-0</v>
      </c>
      <c r="AE84" s="70" t="n">
        <f aca="false">-IF(AE$5=Assumptions!$D$6,Assumptions!$D$23,0)</f>
        <v>-0</v>
      </c>
      <c r="AF84" s="70" t="n">
        <f aca="false">-IF(AF$5=Assumptions!$D$6,Assumptions!$D$23,0)</f>
        <v>-0</v>
      </c>
      <c r="AG84" s="70" t="n">
        <f aca="false">-IF(AG$5=Assumptions!$D$6,Assumptions!$D$23,0)</f>
        <v>-0</v>
      </c>
      <c r="AH84" s="70" t="n">
        <f aca="false">-IF(AH$5=Assumptions!$D$6,Assumptions!$D$23,0)</f>
        <v>-0</v>
      </c>
      <c r="AI84" s="70" t="n">
        <f aca="false">-IF(AI$5=Assumptions!$D$6,Assumptions!$D$23,0)</f>
        <v>-0</v>
      </c>
      <c r="AJ84" s="70" t="n">
        <f aca="false">-IF(AJ$5=Assumptions!$D$6,Assumptions!$D$23,0)</f>
        <v>-0</v>
      </c>
      <c r="AK84" s="70" t="n">
        <f aca="false">-IF(AK$5=Assumptions!$D$6,Assumptions!$D$23,0)</f>
        <v>-0</v>
      </c>
      <c r="AL84" s="70" t="n">
        <f aca="false">-IF(AL$5=Assumptions!$D$6,Assumptions!$D$23,0)</f>
        <v>-0</v>
      </c>
      <c r="AM84" s="70" t="n">
        <f aca="false">SUM(C84:AL84)</f>
        <v>-40000</v>
      </c>
    </row>
    <row r="85" customFormat="false" ht="15" hidden="false" customHeight="false" outlineLevel="0" collapsed="false">
      <c r="A85" s="10" t="s">
        <v>801</v>
      </c>
      <c r="B85" s="9" t="s">
        <v>95</v>
      </c>
      <c r="C85" s="70" t="n">
        <f aca="false">-C8*Assumptions!$D$98</f>
        <v>-0</v>
      </c>
      <c r="D85" s="70" t="n">
        <f aca="false">-D8*Assumptions!$D$98</f>
        <v>-0</v>
      </c>
      <c r="E85" s="70" t="n">
        <f aca="false">-E8*Assumptions!$D$98</f>
        <v>-0</v>
      </c>
      <c r="F85" s="70" t="n">
        <f aca="false">-F8*Assumptions!$D$98</f>
        <v>-0</v>
      </c>
      <c r="G85" s="70" t="n">
        <f aca="false">-G8*Assumptions!$D$98</f>
        <v>-0</v>
      </c>
      <c r="H85" s="70" t="n">
        <f aca="false">-H8*Assumptions!$D$98</f>
        <v>-0</v>
      </c>
      <c r="I85" s="70" t="n">
        <f aca="false">-I8*Assumptions!$D$98</f>
        <v>-0</v>
      </c>
      <c r="J85" s="70" t="n">
        <f aca="false">-J8*Assumptions!$D$98</f>
        <v>-0</v>
      </c>
      <c r="K85" s="70" t="n">
        <f aca="false">-K8*Assumptions!$D$98</f>
        <v>-0</v>
      </c>
      <c r="L85" s="70" t="n">
        <f aca="false">-L8*Assumptions!$D$98</f>
        <v>-0</v>
      </c>
      <c r="M85" s="70" t="n">
        <f aca="false">-M8*Assumptions!$D$98</f>
        <v>-0</v>
      </c>
      <c r="N85" s="70" t="n">
        <f aca="false">-N8*Assumptions!$D$98</f>
        <v>-0</v>
      </c>
      <c r="O85" s="70" t="n">
        <f aca="false">-O8*Assumptions!$D$98</f>
        <v>-0</v>
      </c>
      <c r="P85" s="70" t="n">
        <f aca="false">-P8*Assumptions!$D$98</f>
        <v>-0</v>
      </c>
      <c r="Q85" s="70" t="n">
        <f aca="false">-Q8*Assumptions!$D$98</f>
        <v>-0</v>
      </c>
      <c r="R85" s="70" t="n">
        <f aca="false">-R8*Assumptions!$D$98</f>
        <v>-0</v>
      </c>
      <c r="S85" s="70" t="n">
        <f aca="false">-S8*Assumptions!$D$98</f>
        <v>-0</v>
      </c>
      <c r="T85" s="70" t="n">
        <f aca="false">-T8*Assumptions!$D$98</f>
        <v>-0</v>
      </c>
      <c r="U85" s="70" t="n">
        <f aca="false">-U8*Assumptions!$D$98</f>
        <v>-0</v>
      </c>
      <c r="V85" s="70" t="n">
        <f aca="false">-V8*Assumptions!$D$98</f>
        <v>-0</v>
      </c>
      <c r="W85" s="70" t="n">
        <f aca="false">-W8*Assumptions!$D$98</f>
        <v>-0</v>
      </c>
      <c r="X85" s="70" t="n">
        <f aca="false">-X8*Assumptions!$D$98</f>
        <v>-0</v>
      </c>
      <c r="Y85" s="70" t="n">
        <f aca="false">-Y8*Assumptions!$D$98</f>
        <v>-0</v>
      </c>
      <c r="Z85" s="70" t="n">
        <f aca="false">-Z8*Assumptions!$D$98</f>
        <v>-0</v>
      </c>
      <c r="AA85" s="70" t="n">
        <f aca="false">-AA8*Assumptions!$D$98</f>
        <v>-0</v>
      </c>
      <c r="AB85" s="70" t="n">
        <f aca="false">-AB8*Assumptions!$D$98</f>
        <v>-0</v>
      </c>
      <c r="AC85" s="70" t="n">
        <f aca="false">-AC8*Assumptions!$D$98</f>
        <v>-0</v>
      </c>
      <c r="AD85" s="70" t="n">
        <f aca="false">-AD8*Assumptions!$D$98</f>
        <v>-0</v>
      </c>
      <c r="AE85" s="70" t="n">
        <f aca="false">-AE8*Assumptions!$D$98</f>
        <v>-0</v>
      </c>
      <c r="AF85" s="70" t="n">
        <f aca="false">-AF8*Assumptions!$D$98</f>
        <v>-0</v>
      </c>
      <c r="AG85" s="70" t="n">
        <f aca="false">-AG8*Assumptions!$D$98</f>
        <v>-0</v>
      </c>
      <c r="AH85" s="70" t="n">
        <f aca="false">-AH8*Assumptions!$D$98</f>
        <v>-0</v>
      </c>
      <c r="AI85" s="70" t="n">
        <f aca="false">-AI8*Assumptions!$D$98</f>
        <v>-0</v>
      </c>
      <c r="AJ85" s="70" t="n">
        <f aca="false">-AJ8*Assumptions!$D$98</f>
        <v>-0</v>
      </c>
      <c r="AK85" s="70" t="n">
        <f aca="false">-AK8*Assumptions!$D$98</f>
        <v>-0</v>
      </c>
      <c r="AL85" s="70" t="n">
        <f aca="false">-AL8*Assumptions!$D$98</f>
        <v>-0</v>
      </c>
      <c r="AM85" s="70" t="n">
        <f aca="false">SUM(C85:AL85)</f>
        <v>0</v>
      </c>
    </row>
    <row r="86" customFormat="false" ht="15" hidden="false" customHeight="false" outlineLevel="0" collapsed="false">
      <c r="A86" s="10" t="s">
        <v>360</v>
      </c>
      <c r="B86" s="9" t="s">
        <v>95</v>
      </c>
      <c r="C86" s="70" t="n">
        <f aca="false">-C72*Assumptions!$D$99</f>
        <v>-0</v>
      </c>
      <c r="D86" s="70" t="n">
        <f aca="false">-D72*Assumptions!$D$99</f>
        <v>-0</v>
      </c>
      <c r="E86" s="70" t="n">
        <f aca="false">-E72*Assumptions!$D$99</f>
        <v>-653.418899386122</v>
      </c>
      <c r="F86" s="70" t="n">
        <f aca="false">-F72*Assumptions!$D$99</f>
        <v>-620.675481780917</v>
      </c>
      <c r="G86" s="70" t="n">
        <f aca="false">-G72*Assumptions!$D$99</f>
        <v>-663.275277154416</v>
      </c>
      <c r="H86" s="70" t="n">
        <f aca="false">-H72*Assumptions!$D$99</f>
        <v>-707.621670270721</v>
      </c>
      <c r="I86" s="70" t="n">
        <f aca="false">-I72*Assumptions!$D$99</f>
        <v>-746.532315160487</v>
      </c>
      <c r="J86" s="70" t="n">
        <f aca="false">-J72*Assumptions!$D$99</f>
        <v>-781.471111723628</v>
      </c>
      <c r="K86" s="70" t="n">
        <f aca="false">-K72*Assumptions!$D$99</f>
        <v>-827.502906179848</v>
      </c>
      <c r="L86" s="70" t="n">
        <f aca="false">-L72*Assumptions!$D$99</f>
        <v>-863.810923873998</v>
      </c>
      <c r="M86" s="70" t="n">
        <f aca="false">-M72*Assumptions!$D$99</f>
        <v>-897.92414028077</v>
      </c>
      <c r="N86" s="70" t="n">
        <f aca="false">-N72*Assumptions!$D$99</f>
        <v>-930.372687983391</v>
      </c>
      <c r="O86" s="70" t="n">
        <f aca="false">-O72*Assumptions!$D$99</f>
        <v>-961.586770105069</v>
      </c>
      <c r="P86" s="70" t="n">
        <f aca="false">-P72*Assumptions!$D$99</f>
        <v>-991.922539467294</v>
      </c>
      <c r="Q86" s="70" t="n">
        <f aca="false">-Q72*Assumptions!$D$99</f>
        <v>-1021.6809796708</v>
      </c>
      <c r="R86" s="70" t="n">
        <f aca="false">-R72*Assumptions!$D$99</f>
        <v>-1051.12183335684</v>
      </c>
      <c r="S86" s="70" t="n">
        <f aca="false">-S72*Assumptions!$D$99</f>
        <v>-1080.4739773973</v>
      </c>
      <c r="T86" s="70" t="n">
        <f aca="false">-T72*Assumptions!$D$99</f>
        <v>-1109.94322693537</v>
      </c>
      <c r="U86" s="70" t="n">
        <f aca="false">-U72*Assumptions!$D$99</f>
        <v>-1139.71826772955</v>
      </c>
      <c r="V86" s="70" t="n">
        <f aca="false">-V72*Assumptions!$D$99</f>
        <v>-1169.97522004748</v>
      </c>
      <c r="W86" s="70" t="n">
        <f aca="false">-W72*Assumptions!$D$99</f>
        <v>-1200.88119871684</v>
      </c>
      <c r="X86" s="70" t="n">
        <f aca="false">-X72*Assumptions!$D$99</f>
        <v>-1232.59713488663</v>
      </c>
      <c r="Y86" s="70" t="n">
        <f aca="false">-Y72*Assumptions!$D$99</f>
        <v>-1265.28005376082</v>
      </c>
      <c r="Z86" s="70" t="n">
        <f aca="false">-Z72*Assumptions!$D$99</f>
        <v>-1299.08495099626</v>
      </c>
      <c r="AA86" s="70" t="n">
        <f aca="false">-AA72*Assumptions!$D$99</f>
        <v>-1334.16637301798</v>
      </c>
      <c r="AB86" s="70" t="n">
        <f aca="false">-AB72*Assumptions!$D$99</f>
        <v>-1370.67977925223</v>
      </c>
      <c r="AC86" s="70" t="n">
        <f aca="false">-AC72*Assumptions!$D$99</f>
        <v>-1408.78274439555</v>
      </c>
      <c r="AD86" s="70" t="n">
        <f aca="false">-AD72*Assumptions!$D$99</f>
        <v>-1448.6360443072</v>
      </c>
      <c r="AE86" s="70" t="n">
        <f aca="false">-AE72*Assumptions!$D$99</f>
        <v>-1490.40465847221</v>
      </c>
      <c r="AF86" s="70" t="n">
        <f aca="false">-AF72*Assumptions!$D$99</f>
        <v>-1534.25871417807</v>
      </c>
      <c r="AG86" s="70" t="n">
        <f aca="false">-AG72*Assumptions!$D$99</f>
        <v>-1580.37439181068</v>
      </c>
      <c r="AH86" s="70" t="n">
        <f aca="false">-AH72*Assumptions!$D$99</f>
        <v>-1628.93480644703</v>
      </c>
      <c r="AI86" s="70" t="n">
        <f aca="false">-AI72*Assumptions!$D$99</f>
        <v>-1680.13087779416</v>
      </c>
      <c r="AJ86" s="70" t="n">
        <f aca="false">-AJ72*Assumptions!$D$99</f>
        <v>-1734.98610502288</v>
      </c>
      <c r="AK86" s="70" t="n">
        <f aca="false">-AK72*Assumptions!$D$99</f>
        <v>-1795.68583793286</v>
      </c>
      <c r="AL86" s="70" t="n">
        <f aca="false">-AL72*Assumptions!$D$99</f>
        <v>-1861.05165629398</v>
      </c>
      <c r="AM86" s="70" t="n">
        <f aca="false">SUM(C86:AL86)</f>
        <v>-40084.9635557894</v>
      </c>
    </row>
    <row r="87" customFormat="false" ht="15" hidden="false" customHeight="false" outlineLevel="0" collapsed="false">
      <c r="A87" s="38" t="s">
        <v>802</v>
      </c>
      <c r="B87" s="9" t="s">
        <v>95</v>
      </c>
      <c r="C87" s="53" t="n">
        <f aca="false">C75+C76+C77+C78+C79+C80+C81+C82+C83+C84+C85+C86</f>
        <v>-32920</v>
      </c>
      <c r="D87" s="53" t="n">
        <f aca="false">D75+D76+D77+D78+D79+D80+D81+D82+D83+D84+D85+D86</f>
        <v>-32920</v>
      </c>
      <c r="E87" s="53" t="n">
        <f aca="false">E75+E76+E77+E78+E79+E80+E81+E82+E83+E84+E85+E86</f>
        <v>-89573.4188993861</v>
      </c>
      <c r="F87" s="53" t="n">
        <f aca="false">F75+F76+F77+F78+F79+F80+F81+F82+F83+F84+F85+F86</f>
        <v>-49540.6754817809</v>
      </c>
      <c r="G87" s="53" t="n">
        <f aca="false">G75+G76+G77+G78+G79+G80+G81+G82+G83+G84+G85+G86</f>
        <v>-39583.2752771544</v>
      </c>
      <c r="H87" s="53" t="n">
        <f aca="false">H75+H76+H77+H78+H79+H80+H81+H82+H83+H84+H85+H86</f>
        <v>-39627.6216702707</v>
      </c>
      <c r="I87" s="53" t="n">
        <f aca="false">I75+I76+I77+I78+I79+I80+I81+I82+I83+I84+I85+I86</f>
        <v>-44666.5323151605</v>
      </c>
      <c r="J87" s="53" t="n">
        <f aca="false">J75+J76+J77+J78+J79+J80+J81+J82+J83+J84+J85+J86</f>
        <v>-44701.4711117236</v>
      </c>
      <c r="K87" s="53" t="n">
        <f aca="false">K75+K76+K77+K78+K79+K80+K81+K82+K83+K84+K85+K86</f>
        <v>-44747.5029061799</v>
      </c>
      <c r="L87" s="53" t="n">
        <f aca="false">L75+L76+L77+L78+L79+L80+L81+L82+L83+L84+L85+L86</f>
        <v>-44783.810923874</v>
      </c>
      <c r="M87" s="53" t="n">
        <f aca="false">M75+M76+M77+M78+M79+M80+M81+M82+M83+M84+M85+M86</f>
        <v>-44817.9241402808</v>
      </c>
      <c r="N87" s="53" t="n">
        <f aca="false">N75+N76+N77+N78+N79+N80+N81+N82+N83+N84+N85+N86</f>
        <v>-44850.3726879834</v>
      </c>
      <c r="O87" s="53" t="n">
        <f aca="false">O75+O76+O77+O78+O79+O80+O81+O82+O83+O84+O85+O86</f>
        <v>-52881.5867701051</v>
      </c>
      <c r="P87" s="53" t="n">
        <f aca="false">P75+P76+P77+P78+P79+P80+P81+P82+P83+P84+P85+P86</f>
        <v>-52911.9225394673</v>
      </c>
      <c r="Q87" s="53" t="n">
        <f aca="false">Q75+Q76+Q77+Q78+Q79+Q80+Q81+Q82+Q83+Q84+Q85+Q86</f>
        <v>-52941.6809796708</v>
      </c>
      <c r="R87" s="53" t="n">
        <f aca="false">R75+R76+R77+R78+R79+R80+R81+R82+R83+R84+R85+R86</f>
        <v>-52971.1218333568</v>
      </c>
      <c r="S87" s="53" t="n">
        <f aca="false">S75+S76+S77+S78+S79+S80+S81+S82+S83+S84+S85+S86</f>
        <v>-53000.4739773973</v>
      </c>
      <c r="T87" s="53" t="n">
        <f aca="false">T75+T76+T77+T78+T79+T80+T81+T82+T83+T84+T85+T86</f>
        <v>-53029.9432269354</v>
      </c>
      <c r="U87" s="53" t="n">
        <f aca="false">U75+U76+U77+U78+U79+U80+U81+U82+U83+U84+U85+U86</f>
        <v>-53059.7182677296</v>
      </c>
      <c r="V87" s="53" t="n">
        <f aca="false">V75+V76+V77+V78+V79+V80+V81+V82+V83+V84+V85+V86</f>
        <v>-53089.9752200475</v>
      </c>
      <c r="W87" s="53" t="n">
        <f aca="false">W75+W76+W77+W78+W79+W80+W81+W82+W83+W84+W85+W86</f>
        <v>-53120.8811987168</v>
      </c>
      <c r="X87" s="53" t="n">
        <f aca="false">X75+X76+X77+X78+X79+X80+X81+X82+X83+X84+X85+X86</f>
        <v>-53152.5971348866</v>
      </c>
      <c r="Y87" s="53" t="n">
        <f aca="false">Y75+Y76+Y77+Y78+Y79+Y80+Y81+Y82+Y83+Y84+Y85+Y86</f>
        <v>-53185.2800537608</v>
      </c>
      <c r="Z87" s="53" t="n">
        <f aca="false">Z75+Z76+Z77+Z78+Z79+Z80+Z81+Z82+Z83+Z84+Z85+Z86</f>
        <v>-53219.0849509963</v>
      </c>
      <c r="AA87" s="53" t="n">
        <f aca="false">AA75+AA76+AA77+AA78+AA79+AA80+AA81+AA82+AA83+AA84+AA85+AA86</f>
        <v>-61254.166373018</v>
      </c>
      <c r="AB87" s="53" t="n">
        <f aca="false">AB75+AB76+AB77+AB78+AB79+AB80+AB81+AB82+AB83+AB84+AB85+AB86</f>
        <v>-61290.6797792522</v>
      </c>
      <c r="AC87" s="53" t="n">
        <f aca="false">AC75+AC76+AC77+AC78+AC79+AC80+AC81+AC82+AC83+AC84+AC85+AC86</f>
        <v>-61328.7827443956</v>
      </c>
      <c r="AD87" s="53" t="n">
        <f aca="false">AD75+AD76+AD77+AD78+AD79+AD80+AD81+AD82+AD83+AD84+AD85+AD86</f>
        <v>-61368.6360443072</v>
      </c>
      <c r="AE87" s="53" t="n">
        <f aca="false">AE75+AE76+AE77+AE78+AE79+AE80+AE81+AE82+AE83+AE84+AE85+AE86</f>
        <v>-61410.4046584722</v>
      </c>
      <c r="AF87" s="53" t="n">
        <f aca="false">AF75+AF76+AF77+AF78+AF79+AF80+AF81+AF82+AF83+AF84+AF85+AF86</f>
        <v>-61454.2587141781</v>
      </c>
      <c r="AG87" s="53" t="n">
        <f aca="false">AG75+AG76+AG77+AG78+AG79+AG80+AG81+AG82+AG83+AG84+AG85+AG86</f>
        <v>-61500.3743918107</v>
      </c>
      <c r="AH87" s="53" t="n">
        <f aca="false">AH75+AH76+AH77+AH78+AH79+AH80+AH81+AH82+AH83+AH84+AH85+AH86</f>
        <v>-61548.934806447</v>
      </c>
      <c r="AI87" s="53" t="n">
        <f aca="false">AI75+AI76+AI77+AI78+AI79+AI80+AI81+AI82+AI83+AI84+AI85+AI86</f>
        <v>-61600.1308777942</v>
      </c>
      <c r="AJ87" s="53" t="n">
        <f aca="false">AJ75+AJ76+AJ77+AJ78+AJ79+AJ80+AJ81+AJ82+AJ83+AJ84+AJ85+AJ86</f>
        <v>-61735.7713717878</v>
      </c>
      <c r="AK87" s="53" t="n">
        <f aca="false">AK75+AK76+AK77+AK78+AK79+AK80+AK81+AK82+AK83+AK84+AK85+AK86</f>
        <v>-62125.6024680701</v>
      </c>
      <c r="AL87" s="53" t="n">
        <f aca="false">AL75+AL76+AL77+AL78+AL79+AL80+AL81+AL82+AL83+AL84+AL85+AL86</f>
        <v>-62555.1666838911</v>
      </c>
      <c r="AM87" s="53" t="n">
        <f aca="false">SUM(C87:AL87)</f>
        <v>-1928469.78048029</v>
      </c>
    </row>
    <row r="88" customFormat="false" ht="15" hidden="false" customHeight="false" outlineLevel="0" collapsed="false">
      <c r="A88" s="38" t="s">
        <v>803</v>
      </c>
      <c r="B88" s="9" t="s">
        <v>95</v>
      </c>
      <c r="C88" s="53" t="n">
        <f aca="false">C73+C87</f>
        <v>-32920</v>
      </c>
      <c r="D88" s="53" t="n">
        <f aca="false">D73+D87</f>
        <v>-32920</v>
      </c>
      <c r="E88" s="53" t="n">
        <f aca="false">E73+E87</f>
        <v>-82708.7088455854</v>
      </c>
      <c r="F88" s="53" t="n">
        <f aca="false">F73+F87</f>
        <v>-43019.9623161042</v>
      </c>
      <c r="G88" s="53" t="n">
        <f aca="false">G73+G87</f>
        <v>-32615.0157612496</v>
      </c>
      <c r="H88" s="53" t="n">
        <f aca="false">H73+H87</f>
        <v>-32193.4663393516</v>
      </c>
      <c r="I88" s="53" t="n">
        <f aca="false">I73+I87</f>
        <v>-36823.5882341369</v>
      </c>
      <c r="J88" s="53" t="n">
        <f aca="false">J73+J87</f>
        <v>-36491.4658571405</v>
      </c>
      <c r="K88" s="53" t="n">
        <f aca="false">K73+K87</f>
        <v>-36137.3131502619</v>
      </c>
      <c r="L88" s="53" t="n">
        <f aca="false">L73+L87</f>
        <v>-35833.4153746559</v>
      </c>
      <c r="M88" s="53" t="n">
        <f aca="false">M73+M87</f>
        <v>-35548.0280230845</v>
      </c>
      <c r="N88" s="53" t="n">
        <f aca="false">N73+N87</f>
        <v>-35276.770267309</v>
      </c>
      <c r="O88" s="53" t="n">
        <f aca="false">O73+O87</f>
        <v>-43016.1015918437</v>
      </c>
      <c r="P88" s="53" t="n">
        <f aca="false">P73+P87</f>
        <v>-42763.0995821174</v>
      </c>
      <c r="Q88" s="53" t="n">
        <f aca="false">Q73+Q87</f>
        <v>-42515.2995282839</v>
      </c>
      <c r="R88" s="53" t="n">
        <f aca="false">R73+R87</f>
        <v>-42270.5773023306</v>
      </c>
      <c r="S88" s="53" t="n">
        <f aca="false">S73+S87</f>
        <v>-42027.0629615545</v>
      </c>
      <c r="T88" s="53" t="n">
        <f aca="false">T73+T87</f>
        <v>-41783.0763718683</v>
      </c>
      <c r="U88" s="53" t="n">
        <f aca="false">U73+U87</f>
        <v>-41537.0787132288</v>
      </c>
      <c r="V88" s="53" t="n">
        <f aca="false">V73+V87</f>
        <v>-41287.6354952682</v>
      </c>
      <c r="W88" s="53" t="n">
        <f aca="false">W73+W87</f>
        <v>-41033.3879463761</v>
      </c>
      <c r="X88" s="53" t="n">
        <f aca="false">X73+X87</f>
        <v>-40773.0305133836</v>
      </c>
      <c r="Y88" s="53" t="n">
        <f aca="false">Y73+Y87</f>
        <v>-40505.2928320772</v>
      </c>
      <c r="Z88" s="53" t="n">
        <f aca="false">Z73+Z87</f>
        <v>-40228.9249753742</v>
      </c>
      <c r="AA88" s="53" t="n">
        <f aca="false">AA73+AA87</f>
        <v>-47942.6851073427</v>
      </c>
      <c r="AB88" s="53" t="n">
        <f aca="false">AB73+AB87</f>
        <v>-47645.3289031518</v>
      </c>
      <c r="AC88" s="53" t="n">
        <f aca="false">AC73+AC87</f>
        <v>-47335.6002627802</v>
      </c>
      <c r="AD88" s="53" t="n">
        <f aca="false">AD73+AD87</f>
        <v>-47012.222967903</v>
      </c>
      <c r="AE88" s="53" t="n">
        <f aca="false">AE73+AE87</f>
        <v>-46673.8930196848</v>
      </c>
      <c r="AF88" s="53" t="n">
        <f aca="false">AF73+AF87</f>
        <v>-46319.2714594854</v>
      </c>
      <c r="AG88" s="53" t="n">
        <f aca="false">AG73+AG87</f>
        <v>-45946.9775213816</v>
      </c>
      <c r="AH88" s="53" t="n">
        <f aca="false">AH73+AH87</f>
        <v>-45555.5819997452</v>
      </c>
      <c r="AI88" s="53" t="n">
        <f aca="false">AI73+AI87</f>
        <v>-45143.6007403642</v>
      </c>
      <c r="AJ88" s="53" t="n">
        <f aca="false">AJ73+AJ87</f>
        <v>-44782.7951737462</v>
      </c>
      <c r="AK88" s="53" t="n">
        <f aca="false">AK73+AK87</f>
        <v>-44621.3032746638</v>
      </c>
      <c r="AL88" s="53" t="n">
        <f aca="false">AL73+AL87</f>
        <v>-44457.1522506777</v>
      </c>
      <c r="AM88" s="53" t="n">
        <f aca="false">SUM(C88:AL88)</f>
        <v>-1525664.71466351</v>
      </c>
    </row>
    <row r="89" customFormat="false" ht="15" hidden="false" customHeight="false" outlineLevel="0" collapsed="false">
      <c r="A89" s="38" t="s">
        <v>804</v>
      </c>
      <c r="B89" s="9" t="s">
        <v>59</v>
      </c>
      <c r="C89" s="52" t="n">
        <f aca="false">IFERROR(C88/C72,0)</f>
        <v>0</v>
      </c>
      <c r="D89" s="52" t="n">
        <f aca="false">IFERROR(D88/D72,0)</f>
        <v>0</v>
      </c>
      <c r="E89" s="52" t="n">
        <f aca="false">IFERROR(E88/E72,0)</f>
        <v>-6.32891923720672</v>
      </c>
      <c r="F89" s="52" t="n">
        <f aca="false">IFERROR(F88/F72,0)</f>
        <v>-3.46557610046608</v>
      </c>
      <c r="G89" s="52" t="n">
        <f aca="false">IFERROR(G88/G72,0)</f>
        <v>-2.45863345767798</v>
      </c>
      <c r="H89" s="52" t="n">
        <f aca="false">IFERROR(H88/H72,0)</f>
        <v>-2.27476543553528</v>
      </c>
      <c r="I89" s="52" t="n">
        <f aca="false">IFERROR(I88/I72,0)</f>
        <v>-2.466309058987</v>
      </c>
      <c r="J89" s="52" t="n">
        <f aca="false">IFERROR(J88/J72,0)</f>
        <v>-2.33479301471901</v>
      </c>
      <c r="K89" s="52" t="n">
        <f aca="false">IFERROR(K88/K72,0)</f>
        <v>-2.183515784681</v>
      </c>
      <c r="L89" s="52" t="n">
        <f aca="false">IFERROR(L88/L72,0)</f>
        <v>-2.07414692175639</v>
      </c>
      <c r="M89" s="52" t="n">
        <f aca="false">IFERROR(M88/M72,0)</f>
        <v>-1.97945608255777</v>
      </c>
      <c r="N89" s="52" t="n">
        <f aca="false">IFERROR(N88/N72,0)</f>
        <v>-1.89584081319994</v>
      </c>
      <c r="O89" s="52" t="n">
        <f aca="false">IFERROR(O88/O72,0)</f>
        <v>-2.23672490768272</v>
      </c>
      <c r="P89" s="52" t="n">
        <f aca="false">IFERROR(P88/P72,0)</f>
        <v>-2.15556648229221</v>
      </c>
      <c r="Q89" s="52" t="n">
        <f aca="false">IFERROR(Q88/Q72,0)</f>
        <v>-2.08065435171276</v>
      </c>
      <c r="R89" s="52" t="n">
        <f aca="false">IFERROR(R88/R72,0)</f>
        <v>-2.01073633716352</v>
      </c>
      <c r="S89" s="52" t="n">
        <f aca="false">IFERROR(S88/S72,0)</f>
        <v>-1.94484382968628</v>
      </c>
      <c r="T89" s="52" t="n">
        <f aca="false">IFERROR(T88/T72,0)</f>
        <v>-1.88221682685673</v>
      </c>
      <c r="U89" s="52" t="n">
        <f aca="false">IFERROR(U88/U72,0)</f>
        <v>-1.82225203760116</v>
      </c>
      <c r="V89" s="52" t="n">
        <f aca="false">IFERROR(V88/V72,0)</f>
        <v>-1.76446623773761</v>
      </c>
      <c r="W89" s="52" t="n">
        <f aca="false">IFERROR(W88/W72,0)</f>
        <v>-1.70846991318629</v>
      </c>
      <c r="X89" s="52" t="n">
        <f aca="false">IFERROR(X88/X72,0)</f>
        <v>-1.65394796723805</v>
      </c>
      <c r="Y89" s="52" t="n">
        <f aca="false">IFERROR(Y88/Y72,0)</f>
        <v>-1.60064535561445</v>
      </c>
      <c r="Z89" s="52" t="n">
        <f aca="false">IFERROR(Z88/Z72,0)</f>
        <v>-1.54835620813416</v>
      </c>
      <c r="AA89" s="52" t="n">
        <f aca="false">IFERROR(AA88/AA72,0)</f>
        <v>-1.7967281321479</v>
      </c>
      <c r="AB89" s="52" t="n">
        <f aca="false">IFERROR(AB88/AB72,0)</f>
        <v>-1.73801823096655</v>
      </c>
      <c r="AC89" s="52" t="n">
        <f aca="false">IFERROR(AC88/AC72,0)</f>
        <v>-1.68001774762971</v>
      </c>
      <c r="AD89" s="52" t="n">
        <f aca="false">IFERROR(AD88/AD72,0)</f>
        <v>-1.62263748553856</v>
      </c>
      <c r="AE89" s="52" t="n">
        <f aca="false">IFERROR(AE88/AE72,0)</f>
        <v>-1.56581277287236</v>
      </c>
      <c r="AF89" s="52" t="n">
        <f aca="false">IFERROR(AF88/AF72,0)</f>
        <v>-1.50950002862782</v>
      </c>
      <c r="AG89" s="52" t="n">
        <f aca="false">IFERROR(AG88/AG72,0)</f>
        <v>-1.45367381803558</v>
      </c>
      <c r="AH89" s="52" t="n">
        <f aca="false">IFERROR(AH88/AH72,0)</f>
        <v>-1.39832428589053</v>
      </c>
      <c r="AI89" s="52" t="n">
        <f aca="false">IFERROR(AI88/AI72,0)</f>
        <v>-1.3434548860751</v>
      </c>
      <c r="AJ89" s="52" t="n">
        <f aca="false">IFERROR(AJ88/AJ72,0)</f>
        <v>-1.29058080188935</v>
      </c>
      <c r="AK89" s="52" t="n">
        <f aca="false">IFERROR(AK88/AK72,0)</f>
        <v>-1.24245851729918</v>
      </c>
      <c r="AL89" s="52" t="n">
        <f aca="false">IFERROR(AL88/AL72,0)</f>
        <v>-1.19440941094585</v>
      </c>
      <c r="AM89" s="52" t="n">
        <f aca="false">AVERAGE(N89:AL89)</f>
        <v>-1.68561349544097</v>
      </c>
    </row>
    <row r="90" customFormat="false" ht="15" hidden="false" customHeight="false" outlineLevel="0" collapsed="false">
      <c r="A90" s="10" t="s">
        <v>805</v>
      </c>
      <c r="B90" s="9" t="s">
        <v>95</v>
      </c>
      <c r="C90" s="70" t="n">
        <f aca="false">-C43*Assumptions!$D$102</f>
        <v>0</v>
      </c>
      <c r="D90" s="70" t="n">
        <f aca="false">-D43*Assumptions!$D$102</f>
        <v>0</v>
      </c>
      <c r="E90" s="70" t="n">
        <f aca="false">-E43*Assumptions!$D$102</f>
        <v>10209.6703029082</v>
      </c>
      <c r="F90" s="70" t="n">
        <f aca="false">-F43*Assumptions!$D$102</f>
        <v>9698.05440282682</v>
      </c>
      <c r="G90" s="70" t="n">
        <f aca="false">-G43*Assumptions!$D$102</f>
        <v>10363.6762055378</v>
      </c>
      <c r="H90" s="70" t="n">
        <f aca="false">-H43*Assumptions!$D$102</f>
        <v>11056.58859798</v>
      </c>
      <c r="I90" s="70" t="n">
        <f aca="false">-I43*Assumptions!$D$102</f>
        <v>11664.5674243826</v>
      </c>
      <c r="J90" s="70" t="n">
        <f aca="false">-J43*Assumptions!$D$102</f>
        <v>12210.4861206817</v>
      </c>
      <c r="K90" s="70" t="n">
        <f aca="false">-K43*Assumptions!$D$102</f>
        <v>12708.8138751028</v>
      </c>
      <c r="L90" s="70" t="n">
        <f aca="false">-L43*Assumptions!$D$102</f>
        <v>13170.4092437738</v>
      </c>
      <c r="M90" s="70" t="n">
        <f aca="false">-M43*Assumptions!$D$102</f>
        <v>13603.6514908578</v>
      </c>
      <c r="N90" s="70" t="n">
        <f aca="false">-N43*Assumptions!$D$102</f>
        <v>14015.1491691723</v>
      </c>
      <c r="O90" s="70" t="n">
        <f aca="false">-O43*Assumptions!$D$102</f>
        <v>14410.2273509731</v>
      </c>
      <c r="P90" s="70" t="n">
        <f aca="false">-P43*Assumptions!$D$102</f>
        <v>14793.271509932</v>
      </c>
      <c r="Q90" s="70" t="n">
        <f aca="false">-Q43*Assumptions!$D$102</f>
        <v>15167.9740627096</v>
      </c>
      <c r="R90" s="70" t="n">
        <f aca="false">-R43*Assumptions!$D$102</f>
        <v>15537.5132136704</v>
      </c>
      <c r="S90" s="70" t="n">
        <f aca="false">-S43*Assumptions!$D$102</f>
        <v>15904.6840308885</v>
      </c>
      <c r="T90" s="70" t="n">
        <f aca="false">-T43*Assumptions!$D$102</f>
        <v>16271.9954943274</v>
      </c>
      <c r="U90" s="70" t="n">
        <f aca="false">-U43*Assumptions!$D$102</f>
        <v>16641.7431430904</v>
      </c>
      <c r="V90" s="70" t="n">
        <f aca="false">-V43*Assumptions!$D$102</f>
        <v>17016.0641375202</v>
      </c>
      <c r="W90" s="70" t="n">
        <f aca="false">-W43*Assumptions!$D$102</f>
        <v>17396.9795970376</v>
      </c>
      <c r="X90" s="70" t="n">
        <f aca="false">-X43*Assumptions!$D$102</f>
        <v>17786.4276994022</v>
      </c>
      <c r="Y90" s="70" t="n">
        <f aca="false">-Y43*Assumptions!$D$102</f>
        <v>18186.2900520945</v>
      </c>
      <c r="Z90" s="70" t="n">
        <f aca="false">-Z43*Assumptions!$D$102</f>
        <v>18598.4131515386</v>
      </c>
      <c r="AA90" s="70" t="n">
        <f aca="false">-AA43*Assumptions!$D$102</f>
        <v>19024.6262485494</v>
      </c>
      <c r="AB90" s="70" t="n">
        <f aca="false">-AB43*Assumptions!$D$102</f>
        <v>19466.7565814344</v>
      </c>
      <c r="AC90" s="70" t="n">
        <f aca="false">-AC43*Assumptions!$D$102</f>
        <v>19926.6426813652</v>
      </c>
      <c r="AD90" s="70" t="n">
        <f aca="false">-AD43*Assumptions!$D$102</f>
        <v>20406.1462694715</v>
      </c>
      <c r="AE90" s="70" t="n">
        <f aca="false">-AE43*Assumptions!$D$102</f>
        <v>20907.1631313396</v>
      </c>
      <c r="AF90" s="70" t="n">
        <f aca="false">-AF43*Assumptions!$D$102</f>
        <v>21431.6332577251</v>
      </c>
      <c r="AG90" s="70" t="n">
        <f aca="false">-AG43*Assumptions!$D$102</f>
        <v>21981.5504699605</v>
      </c>
      <c r="AH90" s="70" t="n">
        <f aca="false">-AH43*Assumptions!$D$102</f>
        <v>22558.9716972831</v>
      </c>
      <c r="AI90" s="70" t="n">
        <f aca="false">-AI43*Assumptions!$D$102</f>
        <v>23166.0260357675</v>
      </c>
      <c r="AJ90" s="70" t="n">
        <f aca="false">-AJ43*Assumptions!$D$102</f>
        <v>23816.8606602801</v>
      </c>
      <c r="AK90" s="70" t="n">
        <f aca="false">-AK43*Assumptions!$D$102</f>
        <v>24542.0838566165</v>
      </c>
      <c r="AL90" s="70" t="n">
        <f aca="false">-AL43*Assumptions!$D$102</f>
        <v>25323.0796238577</v>
      </c>
      <c r="AM90" s="70" t="n">
        <f aca="false">AL90</f>
        <v>25323.0796238577</v>
      </c>
    </row>
    <row r="91" customFormat="false" ht="15" hidden="false" customHeight="false" outlineLevel="0" collapsed="false">
      <c r="A91" s="10" t="s">
        <v>806</v>
      </c>
      <c r="B91" s="9" t="s">
        <v>95</v>
      </c>
      <c r="C91" s="70" t="n">
        <f aca="false">-C90</f>
        <v>-0</v>
      </c>
      <c r="D91" s="70" t="n">
        <f aca="false">-(D90-C90)</f>
        <v>-0</v>
      </c>
      <c r="E91" s="70" t="n">
        <f aca="false">-(E90-D90)</f>
        <v>-10209.6703029082</v>
      </c>
      <c r="F91" s="70" t="n">
        <f aca="false">-(F90-E90)</f>
        <v>511.615900081333</v>
      </c>
      <c r="G91" s="70" t="n">
        <f aca="false">-(G90-F90)</f>
        <v>-665.621802710926</v>
      </c>
      <c r="H91" s="70" t="n">
        <f aca="false">-(H90-G90)</f>
        <v>-692.912392442266</v>
      </c>
      <c r="I91" s="70" t="n">
        <f aca="false">-(I90-H90)</f>
        <v>-607.978826402596</v>
      </c>
      <c r="J91" s="70" t="n">
        <f aca="false">-(J90-I90)</f>
        <v>-545.918696299081</v>
      </c>
      <c r="K91" s="70" t="n">
        <f aca="false">-(K90-J90)</f>
        <v>-498.32775442114</v>
      </c>
      <c r="L91" s="70" t="n">
        <f aca="false">-(L90-K90)</f>
        <v>-461.595368670978</v>
      </c>
      <c r="M91" s="70" t="n">
        <f aca="false">-(M90-L90)</f>
        <v>-433.242247083994</v>
      </c>
      <c r="N91" s="70" t="n">
        <f aca="false">-(N90-M90)</f>
        <v>-411.497678314543</v>
      </c>
      <c r="O91" s="70" t="n">
        <f aca="false">-(O90-N90)</f>
        <v>-395.078181800716</v>
      </c>
      <c r="P91" s="70" t="n">
        <f aca="false">-(P90-O90)</f>
        <v>-383.044158958892</v>
      </c>
      <c r="Q91" s="70" t="n">
        <f aca="false">-(Q90-P90)</f>
        <v>-374.702552777682</v>
      </c>
      <c r="R91" s="70" t="n">
        <f aca="false">-(R90-Q90)</f>
        <v>-369.53915096072</v>
      </c>
      <c r="S91" s="70" t="n">
        <f aca="false">-(S90-R90)</f>
        <v>-367.170817218148</v>
      </c>
      <c r="T91" s="70" t="n">
        <f aca="false">-(T90-S90)</f>
        <v>-367.311463438879</v>
      </c>
      <c r="U91" s="70" t="n">
        <f aca="false">-(U90-T90)</f>
        <v>-369.747648763057</v>
      </c>
      <c r="V91" s="70" t="n">
        <f aca="false">-(V90-U90)</f>
        <v>-374.3209944298</v>
      </c>
      <c r="W91" s="70" t="n">
        <f aca="false">-(W90-V90)</f>
        <v>-380.915459517382</v>
      </c>
      <c r="X91" s="70" t="n">
        <f aca="false">-(X90-W90)</f>
        <v>-389.448102364575</v>
      </c>
      <c r="Y91" s="70" t="n">
        <f aca="false">-(Y90-X90)</f>
        <v>-399.862352692307</v>
      </c>
      <c r="Z91" s="70" t="n">
        <f aca="false">-(Z90-Y90)</f>
        <v>-412.123099444099</v>
      </c>
      <c r="AA91" s="70" t="n">
        <f aca="false">-(AA90-Z90)</f>
        <v>-426.213097010779</v>
      </c>
      <c r="AB91" s="70" t="n">
        <f aca="false">-(AB90-AA90)</f>
        <v>-442.130332885034</v>
      </c>
      <c r="AC91" s="70" t="n">
        <f aca="false">-(AC90-AB90)</f>
        <v>-459.886099930733</v>
      </c>
      <c r="AD91" s="70" t="n">
        <f aca="false">-(AD90-AC90)</f>
        <v>-479.503588106356</v>
      </c>
      <c r="AE91" s="70" t="n">
        <f aca="false">-(AE90-AD90)</f>
        <v>-501.016861868124</v>
      </c>
      <c r="AF91" s="70" t="n">
        <f aca="false">-(AF90-AE90)</f>
        <v>-524.470126385495</v>
      </c>
      <c r="AG91" s="70" t="n">
        <f aca="false">-(AG90-AF90)</f>
        <v>-549.917212235407</v>
      </c>
      <c r="AH91" s="70" t="n">
        <f aca="false">-(AH90-AG90)</f>
        <v>-577.4212273226</v>
      </c>
      <c r="AI91" s="70" t="n">
        <f aca="false">-(AI90-AH90)</f>
        <v>-607.05433848434</v>
      </c>
      <c r="AJ91" s="70" t="n">
        <f aca="false">-(AJ90-AI90)</f>
        <v>-650.834624512652</v>
      </c>
      <c r="AK91" s="70" t="n">
        <f aca="false">-(AK90-AJ90)</f>
        <v>-725.223196336337</v>
      </c>
      <c r="AL91" s="70" t="n">
        <f aca="false">-(AL90-AK90)</f>
        <v>-780.995767241264</v>
      </c>
      <c r="AM91" s="70" t="n">
        <f aca="false">SUM(C91:AL91)</f>
        <v>-25323.0796238577</v>
      </c>
    </row>
    <row r="92" customFormat="false" ht="15" hidden="false" customHeight="false" outlineLevel="0" collapsed="false">
      <c r="A92" s="10" t="s">
        <v>807</v>
      </c>
      <c r="B92" s="9" t="s">
        <v>95</v>
      </c>
      <c r="C92" s="70" t="n">
        <f aca="false">C88+C91</f>
        <v>-32920</v>
      </c>
      <c r="D92" s="70" t="n">
        <f aca="false">D88+D91</f>
        <v>-32920</v>
      </c>
      <c r="E92" s="70" t="n">
        <f aca="false">E88+E91</f>
        <v>-92918.3791484936</v>
      </c>
      <c r="F92" s="70" t="n">
        <f aca="false">F88+F91</f>
        <v>-42508.3464160229</v>
      </c>
      <c r="G92" s="70" t="n">
        <f aca="false">G88+G91</f>
        <v>-33280.6375639606</v>
      </c>
      <c r="H92" s="70" t="n">
        <f aca="false">H88+H91</f>
        <v>-32886.3787317938</v>
      </c>
      <c r="I92" s="70" t="n">
        <f aca="false">I88+I91</f>
        <v>-37431.5670605395</v>
      </c>
      <c r="J92" s="70" t="n">
        <f aca="false">J88+J91</f>
        <v>-37037.3845534396</v>
      </c>
      <c r="K92" s="70" t="n">
        <f aca="false">K88+K91</f>
        <v>-36635.6409046831</v>
      </c>
      <c r="L92" s="70" t="n">
        <f aca="false">L88+L91</f>
        <v>-36295.0107433269</v>
      </c>
      <c r="M92" s="70" t="n">
        <f aca="false">M88+M91</f>
        <v>-35981.2702701685</v>
      </c>
      <c r="N92" s="70" t="n">
        <f aca="false">N88+N91</f>
        <v>-35688.2679456235</v>
      </c>
      <c r="O92" s="70" t="n">
        <f aca="false">O88+O91</f>
        <v>-43411.1797736444</v>
      </c>
      <c r="P92" s="70" t="n">
        <f aca="false">P88+P91</f>
        <v>-43146.1437410763</v>
      </c>
      <c r="Q92" s="70" t="n">
        <f aca="false">Q88+Q91</f>
        <v>-42890.0020810616</v>
      </c>
      <c r="R92" s="70" t="n">
        <f aca="false">R88+R91</f>
        <v>-42640.1164532914</v>
      </c>
      <c r="S92" s="70" t="n">
        <f aca="false">S88+S91</f>
        <v>-42394.2337787726</v>
      </c>
      <c r="T92" s="70" t="n">
        <f aca="false">T88+T91</f>
        <v>-42150.3878353072</v>
      </c>
      <c r="U92" s="70" t="n">
        <f aca="false">U88+U91</f>
        <v>-41906.8263619918</v>
      </c>
      <c r="V92" s="70" t="n">
        <f aca="false">V88+V91</f>
        <v>-41661.956489698</v>
      </c>
      <c r="W92" s="70" t="n">
        <f aca="false">W88+W91</f>
        <v>-41414.3034058935</v>
      </c>
      <c r="X92" s="70" t="n">
        <f aca="false">X88+X91</f>
        <v>-41162.4786157482</v>
      </c>
      <c r="Y92" s="70" t="n">
        <f aca="false">Y88+Y91</f>
        <v>-40905.1551847696</v>
      </c>
      <c r="Z92" s="70" t="n">
        <f aca="false">Z88+Z91</f>
        <v>-40641.0480748183</v>
      </c>
      <c r="AA92" s="70" t="n">
        <f aca="false">AA88+AA91</f>
        <v>-48368.8982043534</v>
      </c>
      <c r="AB92" s="70" t="n">
        <f aca="false">AB88+AB91</f>
        <v>-48087.4592360368</v>
      </c>
      <c r="AC92" s="70" t="n">
        <f aca="false">AC88+AC91</f>
        <v>-47795.486362711</v>
      </c>
      <c r="AD92" s="70" t="n">
        <f aca="false">AD88+AD91</f>
        <v>-47491.7265560093</v>
      </c>
      <c r="AE92" s="70" t="n">
        <f aca="false">AE88+AE91</f>
        <v>-47174.909881553</v>
      </c>
      <c r="AF92" s="70" t="n">
        <f aca="false">AF88+AF91</f>
        <v>-46843.7415858709</v>
      </c>
      <c r="AG92" s="70" t="n">
        <f aca="false">AG88+AG91</f>
        <v>-46496.894733617</v>
      </c>
      <c r="AH92" s="70" t="n">
        <f aca="false">AH88+AH91</f>
        <v>-46133.0032270678</v>
      </c>
      <c r="AI92" s="70" t="n">
        <f aca="false">AI88+AI91</f>
        <v>-45750.6550788486</v>
      </c>
      <c r="AJ92" s="70" t="n">
        <f aca="false">AJ88+AJ91</f>
        <v>-45433.6297982589</v>
      </c>
      <c r="AK92" s="70" t="n">
        <f aca="false">AK88+AK91</f>
        <v>-45346.5264710002</v>
      </c>
      <c r="AL92" s="70" t="n">
        <f aca="false">AL88+AL91</f>
        <v>-45238.148017919</v>
      </c>
      <c r="AM92" s="70" t="n">
        <f aca="false">SUM(C92:AL92)</f>
        <v>-1550987.79428737</v>
      </c>
    </row>
    <row r="93" customFormat="false" ht="15" hidden="false" customHeight="false" outlineLevel="0" collapsed="false">
      <c r="A93" s="38" t="s">
        <v>808</v>
      </c>
      <c r="B93" s="9" t="s">
        <v>95</v>
      </c>
      <c r="C93" s="53" t="n">
        <f aca="false">C92</f>
        <v>-32920</v>
      </c>
      <c r="D93" s="53" t="n">
        <f aca="false">C93+D92</f>
        <v>-65840</v>
      </c>
      <c r="E93" s="53" t="n">
        <f aca="false">D93+E92</f>
        <v>-158758.379148494</v>
      </c>
      <c r="F93" s="53" t="n">
        <f aca="false">E93+F92</f>
        <v>-201266.725564517</v>
      </c>
      <c r="G93" s="53" t="n">
        <f aca="false">F93+G92</f>
        <v>-234547.363128477</v>
      </c>
      <c r="H93" s="53" t="n">
        <f aca="false">G93+H92</f>
        <v>-267433.741860271</v>
      </c>
      <c r="I93" s="53" t="n">
        <f aca="false">H93+I92</f>
        <v>-304865.30892081</v>
      </c>
      <c r="J93" s="53" t="n">
        <f aca="false">I93+J92</f>
        <v>-341902.69347425</v>
      </c>
      <c r="K93" s="53" t="n">
        <f aca="false">J93+K92</f>
        <v>-378538.334378933</v>
      </c>
      <c r="L93" s="53" t="n">
        <f aca="false">K93+L92</f>
        <v>-414833.34512226</v>
      </c>
      <c r="M93" s="53" t="n">
        <f aca="false">L93+M92</f>
        <v>-450814.615392429</v>
      </c>
      <c r="N93" s="53" t="n">
        <f aca="false">M93+N92</f>
        <v>-486502.883338052</v>
      </c>
      <c r="O93" s="53" t="n">
        <f aca="false">N93+O92</f>
        <v>-529914.063111696</v>
      </c>
      <c r="P93" s="53" t="n">
        <f aca="false">O93+P92</f>
        <v>-573060.206852773</v>
      </c>
      <c r="Q93" s="53" t="n">
        <f aca="false">P93+Q92</f>
        <v>-615950.208933834</v>
      </c>
      <c r="R93" s="53" t="n">
        <f aca="false">Q93+R92</f>
        <v>-658590.325387126</v>
      </c>
      <c r="S93" s="53" t="n">
        <f aca="false">R93+S92</f>
        <v>-700984.559165898</v>
      </c>
      <c r="T93" s="53" t="n">
        <f aca="false">S93+T92</f>
        <v>-743134.947001206</v>
      </c>
      <c r="U93" s="53" t="n">
        <f aca="false">T93+U92</f>
        <v>-785041.773363197</v>
      </c>
      <c r="V93" s="53" t="n">
        <f aca="false">U93+V92</f>
        <v>-826703.729852895</v>
      </c>
      <c r="W93" s="53" t="n">
        <f aca="false">V93+W92</f>
        <v>-868118.033258789</v>
      </c>
      <c r="X93" s="53" t="n">
        <f aca="false">W93+X92</f>
        <v>-909280.511874537</v>
      </c>
      <c r="Y93" s="53" t="n">
        <f aca="false">X93+Y92</f>
        <v>-950185.667059307</v>
      </c>
      <c r="Z93" s="53" t="n">
        <f aca="false">Y93+Z92</f>
        <v>-990826.715134125</v>
      </c>
      <c r="AA93" s="53" t="n">
        <f aca="false">Z93+AA92</f>
        <v>-1039195.61333848</v>
      </c>
      <c r="AB93" s="53" t="n">
        <f aca="false">AA93+AB92</f>
        <v>-1087283.07257452</v>
      </c>
      <c r="AC93" s="53" t="n">
        <f aca="false">AB93+AC92</f>
        <v>-1135078.55893723</v>
      </c>
      <c r="AD93" s="53" t="n">
        <f aca="false">AC93+AD92</f>
        <v>-1182570.28549324</v>
      </c>
      <c r="AE93" s="53" t="n">
        <f aca="false">AD93+AE92</f>
        <v>-1229745.19537479</v>
      </c>
      <c r="AF93" s="53" t="n">
        <f aca="false">AE93+AF92</f>
        <v>-1276588.93696066</v>
      </c>
      <c r="AG93" s="53" t="n">
        <f aca="false">AF93+AG92</f>
        <v>-1323085.83169428</v>
      </c>
      <c r="AH93" s="53" t="n">
        <f aca="false">AG93+AH92</f>
        <v>-1369218.83492134</v>
      </c>
      <c r="AI93" s="53" t="n">
        <f aca="false">AH93+AI92</f>
        <v>-1414969.49000019</v>
      </c>
      <c r="AJ93" s="53" t="n">
        <f aca="false">AI93+AJ92</f>
        <v>-1460403.11979845</v>
      </c>
      <c r="AK93" s="53" t="n">
        <f aca="false">AJ93+AK92</f>
        <v>-1505749.64626945</v>
      </c>
      <c r="AL93" s="53" t="n">
        <f aca="false">AK93+AL92</f>
        <v>-1550987.79428737</v>
      </c>
      <c r="AM93" s="53" t="n">
        <f aca="false">AL93</f>
        <v>-1550987.79428737</v>
      </c>
    </row>
    <row r="94" customFormat="false" ht="15" hidden="false" customHeight="false" outlineLevel="0" collapsed="false">
      <c r="A94" s="10" t="s">
        <v>809</v>
      </c>
      <c r="B94" s="9" t="s">
        <v>49</v>
      </c>
      <c r="C94" s="69" t="n">
        <f aca="false">IF(C88&gt;0,C$5,999)</f>
        <v>999</v>
      </c>
      <c r="D94" s="69" t="n">
        <f aca="false">IF(D88&gt;0,D$5,999)</f>
        <v>999</v>
      </c>
      <c r="E94" s="69" t="n">
        <f aca="false">IF(E88&gt;0,E$5,999)</f>
        <v>999</v>
      </c>
      <c r="F94" s="69" t="n">
        <f aca="false">IF(F88&gt;0,F$5,999)</f>
        <v>999</v>
      </c>
      <c r="G94" s="69" t="n">
        <f aca="false">IF(G88&gt;0,G$5,999)</f>
        <v>999</v>
      </c>
      <c r="H94" s="69" t="n">
        <f aca="false">IF(H88&gt;0,H$5,999)</f>
        <v>999</v>
      </c>
      <c r="I94" s="69" t="n">
        <f aca="false">IF(I88&gt;0,I$5,999)</f>
        <v>999</v>
      </c>
      <c r="J94" s="69" t="n">
        <f aca="false">IF(J88&gt;0,J$5,999)</f>
        <v>999</v>
      </c>
      <c r="K94" s="69" t="n">
        <f aca="false">IF(K88&gt;0,K$5,999)</f>
        <v>999</v>
      </c>
      <c r="L94" s="69" t="n">
        <f aca="false">IF(L88&gt;0,L$5,999)</f>
        <v>999</v>
      </c>
      <c r="M94" s="69" t="n">
        <f aca="false">IF(M88&gt;0,M$5,999)</f>
        <v>999</v>
      </c>
      <c r="N94" s="69" t="n">
        <f aca="false">IF(N88&gt;0,N$5,999)</f>
        <v>999</v>
      </c>
      <c r="O94" s="69" t="n">
        <f aca="false">IF(O88&gt;0,O$5,999)</f>
        <v>999</v>
      </c>
      <c r="P94" s="69" t="n">
        <f aca="false">IF(P88&gt;0,P$5,999)</f>
        <v>999</v>
      </c>
      <c r="Q94" s="69" t="n">
        <f aca="false">IF(Q88&gt;0,Q$5,999)</f>
        <v>999</v>
      </c>
      <c r="R94" s="69" t="n">
        <f aca="false">IF(R88&gt;0,R$5,999)</f>
        <v>999</v>
      </c>
      <c r="S94" s="69" t="n">
        <f aca="false">IF(S88&gt;0,S$5,999)</f>
        <v>999</v>
      </c>
      <c r="T94" s="69" t="n">
        <f aca="false">IF(T88&gt;0,T$5,999)</f>
        <v>999</v>
      </c>
      <c r="U94" s="69" t="n">
        <f aca="false">IF(U88&gt;0,U$5,999)</f>
        <v>999</v>
      </c>
      <c r="V94" s="69" t="n">
        <f aca="false">IF(V88&gt;0,V$5,999)</f>
        <v>999</v>
      </c>
      <c r="W94" s="69" t="n">
        <f aca="false">IF(W88&gt;0,W$5,999)</f>
        <v>999</v>
      </c>
      <c r="X94" s="69" t="n">
        <f aca="false">IF(X88&gt;0,X$5,999)</f>
        <v>999</v>
      </c>
      <c r="Y94" s="69" t="n">
        <f aca="false">IF(Y88&gt;0,Y$5,999)</f>
        <v>999</v>
      </c>
      <c r="Z94" s="69" t="n">
        <f aca="false">IF(Z88&gt;0,Z$5,999)</f>
        <v>999</v>
      </c>
      <c r="AA94" s="69" t="n">
        <f aca="false">IF(AA88&gt;0,AA$5,999)</f>
        <v>999</v>
      </c>
      <c r="AB94" s="69" t="n">
        <f aca="false">IF(AB88&gt;0,AB$5,999)</f>
        <v>999</v>
      </c>
      <c r="AC94" s="69" t="n">
        <f aca="false">IF(AC88&gt;0,AC$5,999)</f>
        <v>999</v>
      </c>
      <c r="AD94" s="69" t="n">
        <f aca="false">IF(AD88&gt;0,AD$5,999)</f>
        <v>999</v>
      </c>
      <c r="AE94" s="69" t="n">
        <f aca="false">IF(AE88&gt;0,AE$5,999)</f>
        <v>999</v>
      </c>
      <c r="AF94" s="69" t="n">
        <f aca="false">IF(AF88&gt;0,AF$5,999)</f>
        <v>999</v>
      </c>
      <c r="AG94" s="69" t="n">
        <f aca="false">IF(AG88&gt;0,AG$5,999)</f>
        <v>999</v>
      </c>
      <c r="AH94" s="69" t="n">
        <f aca="false">IF(AH88&gt;0,AH$5,999)</f>
        <v>999</v>
      </c>
      <c r="AI94" s="69" t="n">
        <f aca="false">IF(AI88&gt;0,AI$5,999)</f>
        <v>999</v>
      </c>
      <c r="AJ94" s="69" t="n">
        <f aca="false">IF(AJ88&gt;0,AJ$5,999)</f>
        <v>999</v>
      </c>
      <c r="AK94" s="69" t="n">
        <f aca="false">IF(AK88&gt;0,AK$5,999)</f>
        <v>999</v>
      </c>
      <c r="AL94" s="69" t="n">
        <f aca="false">IF(AL88&gt;0,AL$5,999)</f>
        <v>999</v>
      </c>
      <c r="AM94" s="69"/>
    </row>
    <row r="95" customFormat="false" ht="15" hidden="false" customHeight="false" outlineLevel="0" collapsed="false">
      <c r="A95" s="10" t="s">
        <v>810</v>
      </c>
      <c r="B95" s="9" t="s">
        <v>49</v>
      </c>
      <c r="C95" s="61" t="n">
        <f aca="false">C32+C56</f>
        <v>0</v>
      </c>
      <c r="D95" s="61" t="n">
        <f aca="false">D32+D56</f>
        <v>0</v>
      </c>
      <c r="E95" s="61" t="n">
        <f aca="false">E32+E56</f>
        <v>200.189613782513</v>
      </c>
      <c r="F95" s="61" t="n">
        <f aca="false">F32+F56</f>
        <v>124.295546532746</v>
      </c>
      <c r="G95" s="61" t="n">
        <f aca="false">G32+G56</f>
        <v>112.582996802222</v>
      </c>
      <c r="H95" s="61" t="n">
        <f aca="false">H32+H56</f>
        <v>103.620180054981</v>
      </c>
      <c r="I95" s="61" t="n">
        <f aca="false">I32+I56</f>
        <v>97.3733345254717</v>
      </c>
      <c r="J95" s="61" t="n">
        <f aca="false">J32+J56</f>
        <v>93.1432106465385</v>
      </c>
      <c r="K95" s="61" t="n">
        <f aca="false">K32+K56</f>
        <v>91.1317551597597</v>
      </c>
      <c r="L95" s="61" t="n">
        <f aca="false">L32+L56</f>
        <v>89.5144790873888</v>
      </c>
      <c r="M95" s="61" t="n">
        <f aca="false">M32+M56</f>
        <v>88.7145751031473</v>
      </c>
      <c r="N95" s="61" t="n">
        <f aca="false">N32+N56</f>
        <v>88.5269236017632</v>
      </c>
      <c r="O95" s="61" t="n">
        <f aca="false">O32+O56</f>
        <v>88.8043086455377</v>
      </c>
      <c r="P95" s="61" t="n">
        <f aca="false">P32+P56</f>
        <v>89.441707494917</v>
      </c>
      <c r="Q95" s="61" t="n">
        <f aca="false">Q32+Q56</f>
        <v>90.3647721244213</v>
      </c>
      <c r="R95" s="61" t="n">
        <f aca="false">R32+R56</f>
        <v>91.5214379120782</v>
      </c>
      <c r="S95" s="61" t="n">
        <f aca="false">S32+S56</f>
        <v>92.8758358290337</v>
      </c>
      <c r="T95" s="61" t="n">
        <f aca="false">T32+T56</f>
        <v>94.4038887316705</v>
      </c>
      <c r="U95" s="61" t="n">
        <f aca="false">U32+U56</f>
        <v>96.0901331854059</v>
      </c>
      <c r="V95" s="61" t="n">
        <f aca="false">V32+V56</f>
        <v>97.9254304671367</v>
      </c>
      <c r="W95" s="61" t="n">
        <f aca="false">W32+W56</f>
        <v>99.9053214838529</v>
      </c>
      <c r="X95" s="61" t="n">
        <f aca="false">X32+X56</f>
        <v>102.028847455819</v>
      </c>
      <c r="Y95" s="61" t="n">
        <f aca="false">Y32+Y56</f>
        <v>104.297707298903</v>
      </c>
      <c r="Z95" s="61" t="n">
        <f aca="false">Z32+Z56</f>
        <v>106.715658373442</v>
      </c>
      <c r="AA95" s="61" t="n">
        <f aca="false">AA32+AA56</f>
        <v>109.288093196555</v>
      </c>
      <c r="AB95" s="61" t="n">
        <f aca="false">AB32+AB56</f>
        <v>112.021743489608</v>
      </c>
      <c r="AC95" s="61" t="n">
        <f aca="false">AC32+AC56</f>
        <v>114.924476506288</v>
      </c>
      <c r="AD95" s="61" t="n">
        <f aca="false">AD32+AD56</f>
        <v>118.005158389743</v>
      </c>
      <c r="AE95" s="61" t="n">
        <f aca="false">AE32+AE56</f>
        <v>121.273566381451</v>
      </c>
      <c r="AF95" s="61" t="n">
        <f aca="false">AF32+AF56</f>
        <v>124.740336806553</v>
      </c>
      <c r="AG95" s="61" t="n">
        <f aca="false">AG32+AG56</f>
        <v>128.416939438079</v>
      </c>
      <c r="AH95" s="61" t="n">
        <f aca="false">AH32+AH56</f>
        <v>132.315671492084</v>
      </c>
      <c r="AI95" s="61" t="n">
        <f aca="false">AI32+AI56</f>
        <v>136.449666413083</v>
      </c>
      <c r="AJ95" s="61" t="n">
        <f aca="false">AJ32+AJ56</f>
        <v>141.070085466785</v>
      </c>
      <c r="AK95" s="61" t="n">
        <f aca="false">AK32+AK56</f>
        <v>146.677058546233</v>
      </c>
      <c r="AL95" s="61" t="n">
        <f aca="false">AL32+AL56</f>
        <v>152.651861908936</v>
      </c>
      <c r="AM95" s="61" t="n">
        <f aca="false">SUM(C95:AL95)</f>
        <v>3781.30232233415</v>
      </c>
    </row>
    <row r="96" customFormat="false" ht="15" hidden="false" customHeight="false" outlineLevel="0" collapsed="false">
      <c r="A96" s="38" t="s">
        <v>811</v>
      </c>
      <c r="B96" s="9" t="s">
        <v>95</v>
      </c>
      <c r="C96" s="51" t="n">
        <f aca="false">IFERROR((C26-C82)/C95,0)</f>
        <v>0</v>
      </c>
      <c r="D96" s="51" t="n">
        <f aca="false">IFERROR((D26-D82)/D95,0)</f>
        <v>0</v>
      </c>
      <c r="E96" s="51" t="n">
        <f aca="false">IFERROR((E26-E82)/E95,0)</f>
        <v>72.4313301076293</v>
      </c>
      <c r="F96" s="51" t="n">
        <f aca="false">IFERROR((F26-F82)/F95,0)</f>
        <v>116.657437892837</v>
      </c>
      <c r="G96" s="51" t="n">
        <f aca="false">IFERROR((G26-G82)/G95,0)</f>
        <v>128.793871293661</v>
      </c>
      <c r="H96" s="51" t="n">
        <f aca="false">IFERROR((H26-H82)/H95,0)</f>
        <v>139.934132447041</v>
      </c>
      <c r="I96" s="51" t="n">
        <f aca="false">IFERROR((I26-I82)/I95,0)</f>
        <v>148.911404448278</v>
      </c>
      <c r="J96" s="51" t="n">
        <f aca="false">IFERROR((J26-J82)/J95,0)</f>
        <v>155.674255797611</v>
      </c>
      <c r="K96" s="51" t="n">
        <f aca="false">IFERROR((K26-K82)/K95,0)</f>
        <v>159.110290091314</v>
      </c>
      <c r="L96" s="51" t="n">
        <f aca="false">IFERROR((L26-L82)/L95,0)</f>
        <v>161.984967659191</v>
      </c>
      <c r="M96" s="51" t="n">
        <f aca="false">IFERROR((M26-M82)/M95,0)</f>
        <v>163.445521585839</v>
      </c>
      <c r="N96" s="51" t="n">
        <f aca="false">IFERROR((N26-N82)/N95,0)</f>
        <v>163.791978869931</v>
      </c>
      <c r="O96" s="51" t="n">
        <f aca="false">IFERROR((O26-O82)/O95,0)</f>
        <v>163.280365797078</v>
      </c>
      <c r="P96" s="51" t="n">
        <f aca="false">IFERROR((P26-P82)/P95,0)</f>
        <v>162.11676192367</v>
      </c>
      <c r="Q96" s="51" t="n">
        <f aca="false">IFERROR((Q26-Q82)/Q95,0)</f>
        <v>160.460759863758</v>
      </c>
      <c r="R96" s="51" t="n">
        <f aca="false">IFERROR((R26-R82)/R95,0)</f>
        <v>158.432825475597</v>
      </c>
      <c r="S96" s="51" t="n">
        <f aca="false">IFERROR((S26-S82)/S95,0)</f>
        <v>156.122417317371</v>
      </c>
      <c r="T96" s="51" t="n">
        <f aca="false">IFERROR((T26-T82)/T95,0)</f>
        <v>153.595367678276</v>
      </c>
      <c r="U96" s="51" t="n">
        <f aca="false">IFERROR((U26-U82)/U95,0)</f>
        <v>150.899988576582</v>
      </c>
      <c r="V96" s="51" t="n">
        <f aca="false">IFERROR((V26-V82)/V95,0)</f>
        <v>148.071853560717</v>
      </c>
      <c r="W96" s="51" t="n">
        <f aca="false">IFERROR((W26-W82)/W95,0)</f>
        <v>145.137413949902</v>
      </c>
      <c r="X96" s="51" t="n">
        <f aca="false">IFERROR((X26-X82)/X95,0)</f>
        <v>142.116669565231</v>
      </c>
      <c r="Y96" s="51" t="n">
        <f aca="false">IFERROR((Y26-Y82)/Y95,0)</f>
        <v>139.025107794987</v>
      </c>
      <c r="Z96" s="51" t="n">
        <f aca="false">IFERROR((Z26-Z82)/Z95,0)</f>
        <v>135.875092943329</v>
      </c>
      <c r="AA96" s="51" t="n">
        <f aca="false">IFERROR((AA26-AA82)/AA95,0)</f>
        <v>132.676850477404</v>
      </c>
      <c r="AB96" s="51" t="n">
        <f aca="false">IFERROR((AB26-AB82)/AB95,0)</f>
        <v>129.439156616458</v>
      </c>
      <c r="AC96" s="51" t="n">
        <f aca="false">IFERROR((AC26-AC82)/AC95,0)</f>
        <v>126.169815524082</v>
      </c>
      <c r="AD96" s="51" t="n">
        <f aca="false">IFERROR((AD26-AD82)/AD95,0)</f>
        <v>122.875984387988</v>
      </c>
      <c r="AE96" s="51" t="n">
        <f aca="false">IFERROR((AE26-AE82)/AE95,0)</f>
        <v>119.564390102886</v>
      </c>
      <c r="AF96" s="51" t="n">
        <f aca="false">IFERROR((AF26-AF82)/AF95,0)</f>
        <v>116.241469048513</v>
      </c>
      <c r="AG96" s="51" t="n">
        <f aca="false">IFERROR((AG26-AG82)/AG95,0)</f>
        <v>112.913452566682</v>
      </c>
      <c r="AH96" s="51" t="n">
        <f aca="false">IFERROR((AH26-AH82)/AH95,0)</f>
        <v>109.58641434146</v>
      </c>
      <c r="AI96" s="51" t="n">
        <f aca="false">IFERROR((AI26-AI82)/AI95,0)</f>
        <v>106.266291308497</v>
      </c>
      <c r="AJ96" s="51" t="n">
        <f aca="false">IFERROR((AJ26-AJ82)/AJ95,0)</f>
        <v>103.358449231237</v>
      </c>
      <c r="AK96" s="51" t="n">
        <f aca="false">IFERROR((AK26-AK82)/AK95,0)</f>
        <v>101.651320103598</v>
      </c>
      <c r="AL96" s="51" t="n">
        <f aca="false">IFERROR((AL26-AL82)/AL95,0)</f>
        <v>100.058491502114</v>
      </c>
      <c r="AM96" s="51" t="n">
        <f aca="false">AVERAGE(N96:AL96)</f>
        <v>134.389147541094</v>
      </c>
    </row>
    <row r="97" customFormat="false" ht="15" hidden="false" customHeight="false" outlineLevel="0" collapsed="false">
      <c r="A97" s="10" t="s">
        <v>812</v>
      </c>
      <c r="B97" s="9" t="s">
        <v>95</v>
      </c>
      <c r="C97" s="63" t="n">
        <f aca="false">IFERROR(C18/(C19*Assumptions!$D$49*Assumptions!$D$31*Assumptions!$D$32),0)</f>
        <v>0</v>
      </c>
      <c r="D97" s="63" t="n">
        <f aca="false">IFERROR(D18/(D19*Assumptions!$D$49*Assumptions!$D$31*Assumptions!$D$32),0)</f>
        <v>0</v>
      </c>
      <c r="E97" s="63" t="n">
        <f aca="false">IFERROR(E18/(E19*Assumptions!$D$49*Assumptions!$D$31*Assumptions!$D$32),0)</f>
        <v>187.590187590188</v>
      </c>
      <c r="F97" s="63" t="n">
        <f aca="false">IFERROR(F18/(F19*Assumptions!$D$49*Assumptions!$D$31*Assumptions!$D$32),0)</f>
        <v>187.590187590188</v>
      </c>
      <c r="G97" s="63" t="n">
        <f aca="false">IFERROR(G18/(G19*Assumptions!$D$49*Assumptions!$D$31*Assumptions!$D$32),0)</f>
        <v>187.590187590188</v>
      </c>
      <c r="H97" s="63" t="n">
        <f aca="false">IFERROR(H18/(H19*Assumptions!$D$49*Assumptions!$D$31*Assumptions!$D$32),0)</f>
        <v>187.590187590188</v>
      </c>
      <c r="I97" s="63" t="n">
        <f aca="false">IFERROR(I18/(I19*Assumptions!$D$49*Assumptions!$D$31*Assumptions!$D$32),0)</f>
        <v>187.590187590188</v>
      </c>
      <c r="J97" s="63" t="n">
        <f aca="false">IFERROR(J18/(J19*Assumptions!$D$49*Assumptions!$D$31*Assumptions!$D$32),0)</f>
        <v>187.590187590188</v>
      </c>
      <c r="K97" s="63" t="n">
        <f aca="false">IFERROR(K18/(K19*Assumptions!$D$49*Assumptions!$D$31*Assumptions!$D$32),0)</f>
        <v>187.590187590188</v>
      </c>
      <c r="L97" s="63" t="n">
        <f aca="false">IFERROR(L18/(L19*Assumptions!$D$49*Assumptions!$D$31*Assumptions!$D$32),0)</f>
        <v>187.590187590188</v>
      </c>
      <c r="M97" s="63" t="n">
        <f aca="false">IFERROR(M18/(M19*Assumptions!$D$49*Assumptions!$D$31*Assumptions!$D$32),0)</f>
        <v>187.590187590188</v>
      </c>
      <c r="N97" s="63" t="n">
        <f aca="false">IFERROR(N18/(N19*Assumptions!$D$49*Assumptions!$D$31*Assumptions!$D$32),0)</f>
        <v>187.590187590188</v>
      </c>
      <c r="O97" s="63" t="n">
        <f aca="false">IFERROR(O18/(O19*Assumptions!$D$49*Assumptions!$D$31*Assumptions!$D$32),0)</f>
        <v>187.590187590188</v>
      </c>
      <c r="P97" s="63" t="n">
        <f aca="false">IFERROR(P18/(P19*Assumptions!$D$49*Assumptions!$D$31*Assumptions!$D$32),0)</f>
        <v>187.590187590188</v>
      </c>
      <c r="Q97" s="63" t="n">
        <f aca="false">IFERROR(Q18/(Q19*Assumptions!$D$49*Assumptions!$D$31*Assumptions!$D$32),0)</f>
        <v>187.590187590188</v>
      </c>
      <c r="R97" s="63" t="n">
        <f aca="false">IFERROR(R18/(R19*Assumptions!$D$49*Assumptions!$D$31*Assumptions!$D$32),0)</f>
        <v>187.590187590188</v>
      </c>
      <c r="S97" s="63" t="n">
        <f aca="false">IFERROR(S18/(S19*Assumptions!$D$49*Assumptions!$D$31*Assumptions!$D$32),0)</f>
        <v>187.590187590188</v>
      </c>
      <c r="T97" s="63" t="n">
        <f aca="false">IFERROR(T18/(T19*Assumptions!$D$49*Assumptions!$D$31*Assumptions!$D$32),0)</f>
        <v>187.590187590188</v>
      </c>
      <c r="U97" s="63" t="n">
        <f aca="false">IFERROR(U18/(U19*Assumptions!$D$49*Assumptions!$D$31*Assumptions!$D$32),0)</f>
        <v>187.590187590188</v>
      </c>
      <c r="V97" s="63" t="n">
        <f aca="false">IFERROR(V18/(V19*Assumptions!$D$49*Assumptions!$D$31*Assumptions!$D$32),0)</f>
        <v>187.590187590188</v>
      </c>
      <c r="W97" s="63" t="n">
        <f aca="false">IFERROR(W18/(W19*Assumptions!$D$49*Assumptions!$D$31*Assumptions!$D$32),0)</f>
        <v>187.590187590188</v>
      </c>
      <c r="X97" s="63" t="n">
        <f aca="false">IFERROR(X18/(X19*Assumptions!$D$49*Assumptions!$D$31*Assumptions!$D$32),0)</f>
        <v>187.590187590188</v>
      </c>
      <c r="Y97" s="63" t="n">
        <f aca="false">IFERROR(Y18/(Y19*Assumptions!$D$49*Assumptions!$D$31*Assumptions!$D$32),0)</f>
        <v>187.590187590188</v>
      </c>
      <c r="Z97" s="63" t="n">
        <f aca="false">IFERROR(Z18/(Z19*Assumptions!$D$49*Assumptions!$D$31*Assumptions!$D$32),0)</f>
        <v>187.590187590188</v>
      </c>
      <c r="AA97" s="63" t="n">
        <f aca="false">IFERROR(AA18/(AA19*Assumptions!$D$49*Assumptions!$D$31*Assumptions!$D$32),0)</f>
        <v>187.590187590188</v>
      </c>
      <c r="AB97" s="63" t="n">
        <f aca="false">IFERROR(AB18/(AB19*Assumptions!$D$49*Assumptions!$D$31*Assumptions!$D$32),0)</f>
        <v>187.590187590188</v>
      </c>
      <c r="AC97" s="63" t="n">
        <f aca="false">IFERROR(AC18/(AC19*Assumptions!$D$49*Assumptions!$D$31*Assumptions!$D$32),0)</f>
        <v>187.590187590188</v>
      </c>
      <c r="AD97" s="63" t="n">
        <f aca="false">IFERROR(AD18/(AD19*Assumptions!$D$49*Assumptions!$D$31*Assumptions!$D$32),0)</f>
        <v>187.590187590188</v>
      </c>
      <c r="AE97" s="63" t="n">
        <f aca="false">IFERROR(AE18/(AE19*Assumptions!$D$49*Assumptions!$D$31*Assumptions!$D$32),0)</f>
        <v>187.590187590188</v>
      </c>
      <c r="AF97" s="63" t="n">
        <f aca="false">IFERROR(AF18/(AF19*Assumptions!$D$49*Assumptions!$D$31*Assumptions!$D$32),0)</f>
        <v>187.590187590188</v>
      </c>
      <c r="AG97" s="63" t="n">
        <f aca="false">IFERROR(AG18/(AG19*Assumptions!$D$49*Assumptions!$D$31*Assumptions!$D$32),0)</f>
        <v>187.590187590188</v>
      </c>
      <c r="AH97" s="63" t="n">
        <f aca="false">IFERROR(AH18/(AH19*Assumptions!$D$49*Assumptions!$D$31*Assumptions!$D$32),0)</f>
        <v>187.590187590188</v>
      </c>
      <c r="AI97" s="63" t="n">
        <f aca="false">IFERROR(AI18/(AI19*Assumptions!$D$49*Assumptions!$D$31*Assumptions!$D$32),0)</f>
        <v>187.590187590188</v>
      </c>
      <c r="AJ97" s="63" t="n">
        <f aca="false">IFERROR(AJ18/(AJ19*Assumptions!$D$49*Assumptions!$D$31*Assumptions!$D$32),0)</f>
        <v>187.590187590188</v>
      </c>
      <c r="AK97" s="63" t="n">
        <f aca="false">IFERROR(AK18/(AK19*Assumptions!$D$49*Assumptions!$D$31*Assumptions!$D$32),0)</f>
        <v>187.590187590188</v>
      </c>
      <c r="AL97" s="63" t="n">
        <f aca="false">IFERROR(AL18/(AL19*Assumptions!$D$49*Assumptions!$D$31*Assumptions!$D$32),0)</f>
        <v>187.590187590188</v>
      </c>
      <c r="AM97" s="63" t="n">
        <f aca="false">AVERAGE(N97:AL97)</f>
        <v>187.590187590188</v>
      </c>
    </row>
    <row r="98" customFormat="false" ht="15" hidden="false" customHeight="false" outlineLevel="0" collapsed="false">
      <c r="A98" s="10" t="s">
        <v>813</v>
      </c>
      <c r="B98" s="9" t="s">
        <v>95</v>
      </c>
      <c r="C98" s="63" t="n">
        <f aca="false">IFERROR(C22/(C23*Assumptions!$D$49*Assumptions!$D$38*Assumptions!$D$39),0)</f>
        <v>0</v>
      </c>
      <c r="D98" s="63" t="n">
        <f aca="false">IFERROR(D22/(D23*Assumptions!$D$49*Assumptions!$D$38*Assumptions!$D$39),0)</f>
        <v>0</v>
      </c>
      <c r="E98" s="63" t="n">
        <f aca="false">IFERROR(E22/(E23*Assumptions!$D$49*Assumptions!$D$38*Assumptions!$D$39),0)</f>
        <v>472.222222222222</v>
      </c>
      <c r="F98" s="63" t="n">
        <f aca="false">IFERROR(F22/(F23*Assumptions!$D$49*Assumptions!$D$38*Assumptions!$D$39),0)</f>
        <v>472.222222222222</v>
      </c>
      <c r="G98" s="63" t="n">
        <f aca="false">IFERROR(G22/(G23*Assumptions!$D$49*Assumptions!$D$38*Assumptions!$D$39),0)</f>
        <v>472.222222222222</v>
      </c>
      <c r="H98" s="63" t="n">
        <f aca="false">IFERROR(H22/(H23*Assumptions!$D$49*Assumptions!$D$38*Assumptions!$D$39),0)</f>
        <v>472.222222222222</v>
      </c>
      <c r="I98" s="63" t="n">
        <f aca="false">IFERROR(I22/(I23*Assumptions!$D$49*Assumptions!$D$38*Assumptions!$D$39),0)</f>
        <v>472.222222222222</v>
      </c>
      <c r="J98" s="63" t="n">
        <f aca="false">IFERROR(J22/(J23*Assumptions!$D$49*Assumptions!$D$38*Assumptions!$D$39),0)</f>
        <v>472.222222222222</v>
      </c>
      <c r="K98" s="63" t="n">
        <f aca="false">IFERROR(K22/(K23*Assumptions!$D$49*Assumptions!$D$38*Assumptions!$D$39),0)</f>
        <v>472.222222222222</v>
      </c>
      <c r="L98" s="63" t="n">
        <f aca="false">IFERROR(L22/(L23*Assumptions!$D$49*Assumptions!$D$38*Assumptions!$D$39),0)</f>
        <v>472.222222222222</v>
      </c>
      <c r="M98" s="63" t="n">
        <f aca="false">IFERROR(M22/(M23*Assumptions!$D$49*Assumptions!$D$38*Assumptions!$D$39),0)</f>
        <v>472.222222222222</v>
      </c>
      <c r="N98" s="63" t="n">
        <f aca="false">IFERROR(N22/(N23*Assumptions!$D$49*Assumptions!$D$38*Assumptions!$D$39),0)</f>
        <v>472.222222222222</v>
      </c>
      <c r="O98" s="63" t="n">
        <f aca="false">IFERROR(O22/(O23*Assumptions!$D$49*Assumptions!$D$38*Assumptions!$D$39),0)</f>
        <v>472.222222222222</v>
      </c>
      <c r="P98" s="63" t="n">
        <f aca="false">IFERROR(P22/(P23*Assumptions!$D$49*Assumptions!$D$38*Assumptions!$D$39),0)</f>
        <v>472.222222222222</v>
      </c>
      <c r="Q98" s="63" t="n">
        <f aca="false">IFERROR(Q22/(Q23*Assumptions!$D$49*Assumptions!$D$38*Assumptions!$D$39),0)</f>
        <v>472.222222222222</v>
      </c>
      <c r="R98" s="63" t="n">
        <f aca="false">IFERROR(R22/(R23*Assumptions!$D$49*Assumptions!$D$38*Assumptions!$D$39),0)</f>
        <v>472.222222222222</v>
      </c>
      <c r="S98" s="63" t="n">
        <f aca="false">IFERROR(S22/(S23*Assumptions!$D$49*Assumptions!$D$38*Assumptions!$D$39),0)</f>
        <v>472.222222222222</v>
      </c>
      <c r="T98" s="63" t="n">
        <f aca="false">IFERROR(T22/(T23*Assumptions!$D$49*Assumptions!$D$38*Assumptions!$D$39),0)</f>
        <v>472.222222222222</v>
      </c>
      <c r="U98" s="63" t="n">
        <f aca="false">IFERROR(U22/(U23*Assumptions!$D$49*Assumptions!$D$38*Assumptions!$D$39),0)</f>
        <v>472.222222222222</v>
      </c>
      <c r="V98" s="63" t="n">
        <f aca="false">IFERROR(V22/(V23*Assumptions!$D$49*Assumptions!$D$38*Assumptions!$D$39),0)</f>
        <v>472.222222222222</v>
      </c>
      <c r="W98" s="63" t="n">
        <f aca="false">IFERROR(W22/(W23*Assumptions!$D$49*Assumptions!$D$38*Assumptions!$D$39),0)</f>
        <v>472.222222222222</v>
      </c>
      <c r="X98" s="63" t="n">
        <f aca="false">IFERROR(X22/(X23*Assumptions!$D$49*Assumptions!$D$38*Assumptions!$D$39),0)</f>
        <v>472.222222222222</v>
      </c>
      <c r="Y98" s="63" t="n">
        <f aca="false">IFERROR(Y22/(Y23*Assumptions!$D$49*Assumptions!$D$38*Assumptions!$D$39),0)</f>
        <v>472.222222222222</v>
      </c>
      <c r="Z98" s="63" t="n">
        <f aca="false">IFERROR(Z22/(Z23*Assumptions!$D$49*Assumptions!$D$38*Assumptions!$D$39),0)</f>
        <v>472.222222222222</v>
      </c>
      <c r="AA98" s="63" t="n">
        <f aca="false">IFERROR(AA22/(AA23*Assumptions!$D$49*Assumptions!$D$38*Assumptions!$D$39),0)</f>
        <v>472.222222222222</v>
      </c>
      <c r="AB98" s="63" t="n">
        <f aca="false">IFERROR(AB22/(AB23*Assumptions!$D$49*Assumptions!$D$38*Assumptions!$D$39),0)</f>
        <v>472.222222222222</v>
      </c>
      <c r="AC98" s="63" t="n">
        <f aca="false">IFERROR(AC22/(AC23*Assumptions!$D$49*Assumptions!$D$38*Assumptions!$D$39),0)</f>
        <v>472.222222222222</v>
      </c>
      <c r="AD98" s="63" t="n">
        <f aca="false">IFERROR(AD22/(AD23*Assumptions!$D$49*Assumptions!$D$38*Assumptions!$D$39),0)</f>
        <v>472.222222222222</v>
      </c>
      <c r="AE98" s="63" t="n">
        <f aca="false">IFERROR(AE22/(AE23*Assumptions!$D$49*Assumptions!$D$38*Assumptions!$D$39),0)</f>
        <v>472.222222222222</v>
      </c>
      <c r="AF98" s="63" t="n">
        <f aca="false">IFERROR(AF22/(AF23*Assumptions!$D$49*Assumptions!$D$38*Assumptions!$D$39),0)</f>
        <v>472.222222222222</v>
      </c>
      <c r="AG98" s="63" t="n">
        <f aca="false">IFERROR(AG22/(AG23*Assumptions!$D$49*Assumptions!$D$38*Assumptions!$D$39),0)</f>
        <v>472.222222222222</v>
      </c>
      <c r="AH98" s="63" t="n">
        <f aca="false">IFERROR(AH22/(AH23*Assumptions!$D$49*Assumptions!$D$38*Assumptions!$D$39),0)</f>
        <v>472.222222222222</v>
      </c>
      <c r="AI98" s="63" t="n">
        <f aca="false">IFERROR(AI22/(AI23*Assumptions!$D$49*Assumptions!$D$38*Assumptions!$D$39),0)</f>
        <v>472.222222222222</v>
      </c>
      <c r="AJ98" s="63" t="n">
        <f aca="false">IFERROR(AJ22/(AJ23*Assumptions!$D$49*Assumptions!$D$38*Assumptions!$D$39),0)</f>
        <v>472.222222222222</v>
      </c>
      <c r="AK98" s="63" t="n">
        <f aca="false">IFERROR(AK22/(AK23*Assumptions!$D$49*Assumptions!$D$38*Assumptions!$D$39),0)</f>
        <v>472.222222222222</v>
      </c>
      <c r="AL98" s="63" t="n">
        <f aca="false">IFERROR(AL22/(AL23*Assumptions!$D$49*Assumptions!$D$38*Assumptions!$D$39),0)</f>
        <v>472.222222222222</v>
      </c>
      <c r="AM98" s="63" t="n">
        <f aca="false">AVERAGE(N98:AL98)</f>
        <v>472.222222222222</v>
      </c>
    </row>
    <row r="99" customFormat="false" ht="15" hidden="false" customHeight="false" outlineLevel="0" collapsed="false">
      <c r="A99" s="10" t="s">
        <v>814</v>
      </c>
      <c r="B99" s="9" t="s">
        <v>95</v>
      </c>
      <c r="C99" s="63" t="n">
        <f aca="false">IFERROR(C24/(C25*Assumptions!$D$49*Assumptions!$D$43),0)</f>
        <v>204.200777469884</v>
      </c>
      <c r="D99" s="63" t="n">
        <f aca="false">IFERROR(D24/(D25*Assumptions!$D$49*Assumptions!$D$43),0)</f>
        <v>204.200777469884</v>
      </c>
      <c r="E99" s="63" t="n">
        <f aca="false">IFERROR(E24/(E25*Assumptions!$D$49*Assumptions!$D$43),0)</f>
        <v>132.349374238483</v>
      </c>
      <c r="F99" s="63" t="n">
        <f aca="false">IFERROR(F24/(F25*Assumptions!$D$49*Assumptions!$D$43),0)</f>
        <v>185.480081535996</v>
      </c>
      <c r="G99" s="63" t="n">
        <f aca="false">IFERROR(G24/(G25*Assumptions!$D$49*Assumptions!$D$43),0)</f>
        <v>213.791229271201</v>
      </c>
      <c r="H99" s="63" t="n">
        <f aca="false">IFERROR(H24/(H25*Assumptions!$D$49*Assumptions!$D$43),0)</f>
        <v>224.238965349054</v>
      </c>
      <c r="I99" s="63" t="n">
        <f aca="false">IFERROR(I24/(I25*Assumptions!$D$49*Assumptions!$D$43),0)</f>
        <v>230.979448242756</v>
      </c>
      <c r="J99" s="63" t="n">
        <f aca="false">IFERROR(J24/(J25*Assumptions!$D$49*Assumptions!$D$43),0)</f>
        <v>235.524885302422</v>
      </c>
      <c r="K99" s="63" t="n">
        <f aca="false">IFERROR(K24/(K25*Assumptions!$D$49*Assumptions!$D$43),0)</f>
        <v>238.620566947183</v>
      </c>
      <c r="L99" s="63" t="n">
        <f aca="false">IFERROR(L24/(L25*Assumptions!$D$49*Assumptions!$D$43),0)</f>
        <v>240.726980474459</v>
      </c>
      <c r="M99" s="63" t="n">
        <f aca="false">IFERROR(M24/(M25*Assumptions!$D$49*Assumptions!$D$43),0)</f>
        <v>242.14421980905</v>
      </c>
      <c r="N99" s="63" t="n">
        <f aca="false">IFERROR(N24/(N25*Assumptions!$D$49*Assumptions!$D$43),0)</f>
        <v>243.073799007414</v>
      </c>
      <c r="O99" s="63" t="n">
        <f aca="false">IFERROR(O24/(O25*Assumptions!$D$49*Assumptions!$D$43),0)</f>
        <v>243.653729361512</v>
      </c>
      <c r="P99" s="63" t="n">
        <f aca="false">IFERROR(P24/(P25*Assumptions!$D$49*Assumptions!$D$43),0)</f>
        <v>243.979769599893</v>
      </c>
      <c r="Q99" s="63" t="n">
        <f aca="false">IFERROR(Q24/(Q25*Assumptions!$D$49*Assumptions!$D$43),0)</f>
        <v>244.118908175256</v>
      </c>
      <c r="R99" s="63" t="n">
        <f aca="false">IFERROR(R24/(R25*Assumptions!$D$49*Assumptions!$D$43),0)</f>
        <v>244.118212895531</v>
      </c>
      <c r="S99" s="63" t="n">
        <f aca="false">IFERROR(S24/(S25*Assumptions!$D$49*Assumptions!$D$43),0)</f>
        <v>244.010786834151</v>
      </c>
      <c r="T99" s="63" t="n">
        <f aca="false">IFERROR(T24/(T25*Assumptions!$D$49*Assumptions!$D$43),0)</f>
        <v>243.819850718425</v>
      </c>
      <c r="U99" s="63" t="n">
        <f aca="false">IFERROR(U24/(U25*Assumptions!$D$49*Assumptions!$D$43),0)</f>
        <v>243.561578436065</v>
      </c>
      <c r="V99" s="63" t="n">
        <f aca="false">IFERROR(V24/(V25*Assumptions!$D$49*Assumptions!$D$43),0)</f>
        <v>243.247085121943</v>
      </c>
      <c r="W99" s="63" t="n">
        <f aca="false">IFERROR(W24/(W25*Assumptions!$D$49*Assumptions!$D$43),0)</f>
        <v>242.883830105988</v>
      </c>
      <c r="X99" s="63" t="n">
        <f aca="false">IFERROR(X24/(X25*Assumptions!$D$49*Assumptions!$D$43),0)</f>
        <v>242.476610954816</v>
      </c>
      <c r="Y99" s="63" t="n">
        <f aca="false">IFERROR(Y24/(Y25*Assumptions!$D$49*Assumptions!$D$43),0)</f>
        <v>242.028269136706</v>
      </c>
      <c r="Z99" s="63" t="n">
        <f aca="false">IFERROR(Z24/(Z25*Assumptions!$D$49*Assumptions!$D$43),0)</f>
        <v>241.540190846543</v>
      </c>
      <c r="AA99" s="63" t="n">
        <f aca="false">IFERROR(AA24/(AA25*Assumptions!$D$49*Assumptions!$D$43),0)</f>
        <v>241.012661454629</v>
      </c>
      <c r="AB99" s="63" t="n">
        <f aca="false">IFERROR(AB24/(AB25*Assumptions!$D$49*Assumptions!$D$43),0)</f>
        <v>240.44511477599</v>
      </c>
      <c r="AC99" s="63" t="n">
        <f aca="false">IFERROR(AC24/(AC25*Assumptions!$D$49*Assumptions!$D$43),0)</f>
        <v>239.836306315471</v>
      </c>
      <c r="AD99" s="63" t="n">
        <f aca="false">IFERROR(AD24/(AD25*Assumptions!$D$49*Assumptions!$D$43),0)</f>
        <v>239.184431162997</v>
      </c>
      <c r="AE99" s="63" t="n">
        <f aca="false">IFERROR(AE24/(AE25*Assumptions!$D$49*Assumptions!$D$43),0)</f>
        <v>238.487201190448</v>
      </c>
      <c r="AF99" s="63" t="n">
        <f aca="false">IFERROR(AF24/(AF25*Assumptions!$D$49*Assumptions!$D$43),0)</f>
        <v>237.741891891361</v>
      </c>
      <c r="AG99" s="63" t="n">
        <f aca="false">IFERROR(AG24/(AG25*Assumptions!$D$49*Assumptions!$D$43),0)</f>
        <v>236.945366094483</v>
      </c>
      <c r="AH99" s="63" t="n">
        <f aca="false">IFERROR(AH24/(AH25*Assumptions!$D$49*Assumptions!$D$43),0)</f>
        <v>236.094079514307</v>
      </c>
      <c r="AI99" s="63" t="n">
        <f aca="false">IFERROR(AI24/(AI25*Assumptions!$D$49*Assumptions!$D$43),0)</f>
        <v>235.184071422401</v>
      </c>
      <c r="AJ99" s="63" t="n">
        <f aca="false">IFERROR(AJ24/(AJ25*Assumptions!$D$49*Assumptions!$D$43),0)</f>
        <v>235.192697783075</v>
      </c>
      <c r="AK99" s="63" t="n">
        <f aca="false">IFERROR(AK24/(AK25*Assumptions!$D$49*Assumptions!$D$43),0)</f>
        <v>238.066943085881</v>
      </c>
      <c r="AL99" s="63" t="n">
        <f aca="false">IFERROR(AL24/(AL25*Assumptions!$D$49*Assumptions!$D$43),0)</f>
        <v>241.086471550218</v>
      </c>
      <c r="AM99" s="63" t="n">
        <f aca="false">AVERAGE(N99:AL99)</f>
        <v>240.87159429742</v>
      </c>
    </row>
    <row r="100" customFormat="false" ht="15" hidden="false" customHeight="false" outlineLevel="0" collapsed="false">
      <c r="A100" s="38" t="s">
        <v>815</v>
      </c>
      <c r="B100" s="9" t="s">
        <v>95</v>
      </c>
      <c r="C100" s="51" t="n">
        <f aca="false">IFERROR(C26/((C19*Assumptions!$D$31*Assumptions!$D$32+C23*Assumptions!$D$38*Assumptions!$D$39+C25*Assumptions!$D$43)*Assumptions!$D$49),0)</f>
        <v>204.200777469884</v>
      </c>
      <c r="D100" s="51" t="n">
        <f aca="false">IFERROR(D26/((D19*Assumptions!$D$31*Assumptions!$D$32+D23*Assumptions!$D$38*Assumptions!$D$39+D25*Assumptions!$D$43)*Assumptions!$D$49),0)</f>
        <v>204.200777469884</v>
      </c>
      <c r="E100" s="51" t="n">
        <f aca="false">IFERROR(E26/((E19*Assumptions!$D$31*Assumptions!$D$32+E23*Assumptions!$D$38*Assumptions!$D$39+E25*Assumptions!$D$43)*Assumptions!$D$49),0)</f>
        <v>299.515858530179</v>
      </c>
      <c r="F100" s="51" t="n">
        <f aca="false">IFERROR(F26/((F19*Assumptions!$D$31*Assumptions!$D$32+F23*Assumptions!$D$38*Assumptions!$D$39+F25*Assumptions!$D$43)*Assumptions!$D$49),0)</f>
        <v>291.941129318012</v>
      </c>
      <c r="G100" s="51" t="n">
        <f aca="false">IFERROR(G26/((G19*Assumptions!$D$31*Assumptions!$D$32+G23*Assumptions!$D$38*Assumptions!$D$39+G25*Assumptions!$D$43)*Assumptions!$D$49),0)</f>
        <v>279.325001101088</v>
      </c>
      <c r="H100" s="51" t="n">
        <f aca="false">IFERROR(H26/((H19*Assumptions!$D$31*Assumptions!$D$32+H23*Assumptions!$D$38*Assumptions!$D$39+H25*Assumptions!$D$43)*Assumptions!$D$49),0)</f>
        <v>276.837118395567</v>
      </c>
      <c r="I100" s="51" t="n">
        <f aca="false">IFERROR(I26/((I19*Assumptions!$D$31*Assumptions!$D$32+I23*Assumptions!$D$38*Assumptions!$D$39+I25*Assumptions!$D$43)*Assumptions!$D$49),0)</f>
        <v>275.617205762445</v>
      </c>
      <c r="J100" s="51" t="n">
        <f aca="false">IFERROR(J26/((J19*Assumptions!$D$31*Assumptions!$D$32+J23*Assumptions!$D$38*Assumptions!$D$39+J25*Assumptions!$D$43)*Assumptions!$D$49),0)</f>
        <v>274.951227000809</v>
      </c>
      <c r="K100" s="51" t="n">
        <f aca="false">IFERROR(K26/((K19*Assumptions!$D$31*Assumptions!$D$32+K23*Assumptions!$D$38*Assumptions!$D$39+K25*Assumptions!$D$43)*Assumptions!$D$49),0)</f>
        <v>274.569044205715</v>
      </c>
      <c r="L100" s="51" t="n">
        <f aca="false">IFERROR(L26/((L19*Assumptions!$D$31*Assumptions!$D$32+L23*Assumptions!$D$38*Assumptions!$D$39+L25*Assumptions!$D$43)*Assumptions!$D$49),0)</f>
        <v>274.33983131449</v>
      </c>
      <c r="M100" s="51" t="n">
        <f aca="false">IFERROR(M26/((M19*Assumptions!$D$31*Assumptions!$D$32+M23*Assumptions!$D$38*Assumptions!$D$39+M25*Assumptions!$D$43)*Assumptions!$D$49),0)</f>
        <v>274.196512899131</v>
      </c>
      <c r="N100" s="51" t="n">
        <f aca="false">IFERROR(N26/((N19*Assumptions!$D$31*Assumptions!$D$32+N23*Assumptions!$D$38*Assumptions!$D$39+N25*Assumptions!$D$43)*Assumptions!$D$49),0)</f>
        <v>274.103377887472</v>
      </c>
      <c r="O100" s="51" t="n">
        <f aca="false">IFERROR(O26/((O19*Assumptions!$D$31*Assumptions!$D$32+O23*Assumptions!$D$38*Assumptions!$D$39+O25*Assumptions!$D$43)*Assumptions!$D$49),0)</f>
        <v>274.040761694436</v>
      </c>
      <c r="P100" s="51" t="n">
        <f aca="false">IFERROR(P26/((P19*Assumptions!$D$31*Assumptions!$D$32+P23*Assumptions!$D$38*Assumptions!$D$39+P25*Assumptions!$D$43)*Assumptions!$D$49),0)</f>
        <v>273.997478090301</v>
      </c>
      <c r="Q100" s="51" t="n">
        <f aca="false">IFERROR(Q26/((Q19*Assumptions!$D$31*Assumptions!$D$32+Q23*Assumptions!$D$38*Assumptions!$D$39+Q25*Assumptions!$D$43)*Assumptions!$D$49),0)</f>
        <v>273.966959989509</v>
      </c>
      <c r="R100" s="51" t="n">
        <f aca="false">IFERROR(R26/((R19*Assumptions!$D$31*Assumptions!$D$32+R23*Assumptions!$D$38*Assumptions!$D$39+R25*Assumptions!$D$43)*Assumptions!$D$49),0)</f>
        <v>273.945238159339</v>
      </c>
      <c r="S100" s="51" t="n">
        <f aca="false">IFERROR(S26/((S19*Assumptions!$D$31*Assumptions!$D$32+S23*Assumptions!$D$38*Assumptions!$D$39+S25*Assumptions!$D$43)*Assumptions!$D$49),0)</f>
        <v>273.929855626629</v>
      </c>
      <c r="T100" s="51" t="n">
        <f aca="false">IFERROR(T26/((T19*Assumptions!$D$31*Assumptions!$D$32+T23*Assumptions!$D$38*Assumptions!$D$39+T25*Assumptions!$D$43)*Assumptions!$D$49),0)</f>
        <v>273.919269698594</v>
      </c>
      <c r="U100" s="51" t="n">
        <f aca="false">IFERROR(U26/((U19*Assumptions!$D$31*Assumptions!$D$32+U23*Assumptions!$D$38*Assumptions!$D$39+U25*Assumptions!$D$43)*Assumptions!$D$49),0)</f>
        <v>273.912513849175</v>
      </c>
      <c r="V100" s="51" t="n">
        <f aca="false">IFERROR(V26/((V19*Assumptions!$D$31*Assumptions!$D$32+V23*Assumptions!$D$38*Assumptions!$D$39+V25*Assumptions!$D$43)*Assumptions!$D$49),0)</f>
        <v>273.909001399755</v>
      </c>
      <c r="W100" s="51" t="n">
        <f aca="false">IFERROR(W26/((W19*Assumptions!$D$31*Assumptions!$D$32+W23*Assumptions!$D$38*Assumptions!$D$39+W25*Assumptions!$D$43)*Assumptions!$D$49),0)</f>
        <v>273.908408636264</v>
      </c>
      <c r="X100" s="51" t="n">
        <f aca="false">IFERROR(X26/((X19*Assumptions!$D$31*Assumptions!$D$32+X23*Assumptions!$D$38*Assumptions!$D$39+X25*Assumptions!$D$43)*Assumptions!$D$49),0)</f>
        <v>273.910603802191</v>
      </c>
      <c r="Y100" s="51" t="n">
        <f aca="false">IFERROR(Y26/((Y19*Assumptions!$D$31*Assumptions!$D$32+Y23*Assumptions!$D$38*Assumptions!$D$39+Y25*Assumptions!$D$43)*Assumptions!$D$49),0)</f>
        <v>273.915603539323</v>
      </c>
      <c r="Z100" s="51" t="n">
        <f aca="false">IFERROR(Z26/((Z19*Assumptions!$D$31*Assumptions!$D$32+Z23*Assumptions!$D$38*Assumptions!$D$39+Z25*Assumptions!$D$43)*Assumptions!$D$49),0)</f>
        <v>273.923546437948</v>
      </c>
      <c r="AA100" s="51" t="n">
        <f aca="false">IFERROR(AA26/((AA19*Assumptions!$D$31*Assumptions!$D$32+AA23*Assumptions!$D$38*Assumptions!$D$39+AA25*Assumptions!$D$43)*Assumptions!$D$49),0)</f>
        <v>273.934677768744</v>
      </c>
      <c r="AB100" s="51" t="n">
        <f aca="false">IFERROR(AB26/((AB19*Assumptions!$D$31*Assumptions!$D$32+AB23*Assumptions!$D$38*Assumptions!$D$39+AB25*Assumptions!$D$43)*Assumptions!$D$49),0)</f>
        <v>273.949341930372</v>
      </c>
      <c r="AC100" s="51" t="n">
        <f aca="false">IFERROR(AC26/((AC19*Assumptions!$D$31*Assumptions!$D$32+AC23*Assumptions!$D$38*Assumptions!$D$39+AC25*Assumptions!$D$43)*Assumptions!$D$49),0)</f>
        <v>273.967980561856</v>
      </c>
      <c r="AD100" s="51" t="n">
        <f aca="false">IFERROR(AD26/((AD19*Assumptions!$D$31*Assumptions!$D$32+AD23*Assumptions!$D$38*Assumptions!$D$39+AD25*Assumptions!$D$43)*Assumptions!$D$49),0)</f>
        <v>273.991135113228</v>
      </c>
      <c r="AE100" s="51" t="n">
        <f aca="false">IFERROR(AE26/((AE19*Assumptions!$D$31*Assumptions!$D$32+AE23*Assumptions!$D$38*Assumptions!$D$39+AE25*Assumptions!$D$43)*Assumptions!$D$49),0)</f>
        <v>274.01945319685</v>
      </c>
      <c r="AF100" s="51" t="n">
        <f aca="false">IFERROR(AF26/((AF19*Assumptions!$D$31*Assumptions!$D$32+AF23*Assumptions!$D$38*Assumptions!$D$39+AF25*Assumptions!$D$43)*Assumptions!$D$49),0)</f>
        <v>274.053698394759</v>
      </c>
      <c r="AG100" s="51" t="n">
        <f aca="false">IFERROR(AG26/((AG19*Assumptions!$D$31*Assumptions!$D$32+AG23*Assumptions!$D$38*Assumptions!$D$39+AG25*Assumptions!$D$43)*Assumptions!$D$49),0)</f>
        <v>274.094763452753</v>
      </c>
      <c r="AH100" s="51" t="n">
        <f aca="false">IFERROR(AH26/((AH19*Assumptions!$D$31*Assumptions!$D$32+AH23*Assumptions!$D$38*Assumptions!$D$39+AH25*Assumptions!$D$43)*Assumptions!$D$49),0)</f>
        <v>274.143686995787</v>
      </c>
      <c r="AI100" s="51" t="n">
        <f aca="false">IFERROR(AI26/((AI19*Assumptions!$D$31*Assumptions!$D$32+AI23*Assumptions!$D$38*Assumptions!$D$39+AI25*Assumptions!$D$43)*Assumptions!$D$49),0)</f>
        <v>274.201674080557</v>
      </c>
      <c r="AJ100" s="51" t="n">
        <f aca="false">IFERROR(AJ26/((AJ19*Assumptions!$D$31*Assumptions!$D$32+AJ23*Assumptions!$D$38*Assumptions!$D$39+AJ25*Assumptions!$D$43)*Assumptions!$D$49),0)</f>
        <v>274.72223530245</v>
      </c>
      <c r="AK100" s="51" t="n">
        <f aca="false">IFERROR(AK26/((AK19*Assumptions!$D$31*Assumptions!$D$32+AK23*Assumptions!$D$38*Assumptions!$D$39+AK25*Assumptions!$D$43)*Assumptions!$D$49),0)</f>
        <v>276.639245928568</v>
      </c>
      <c r="AL100" s="51" t="n">
        <f aca="false">IFERROR(AL26/((AL19*Assumptions!$D$31*Assumptions!$D$32+AL23*Assumptions!$D$38*Assumptions!$D$39+AL25*Assumptions!$D$43)*Assumptions!$D$49),0)</f>
        <v>278.774177146064</v>
      </c>
      <c r="AM100" s="51" t="n">
        <f aca="false">AVERAGE(N100:AL100)</f>
        <v>274.314987547317</v>
      </c>
    </row>
    <row r="101" customFormat="false" ht="15" hidden="false" customHeight="false" outlineLevel="0" collapsed="false">
      <c r="A101" s="38" t="s">
        <v>816</v>
      </c>
      <c r="B101" s="9" t="s">
        <v>368</v>
      </c>
      <c r="C101" s="72" t="n">
        <f aca="false">IFERROR(C100/C104,0)</f>
        <v>5.9549310102547</v>
      </c>
      <c r="D101" s="72" t="n">
        <f aca="false">IFERROR(D100/D104,0)</f>
        <v>5.9549310102547</v>
      </c>
      <c r="E101" s="72" t="n">
        <f aca="false">IFERROR(E100/E104,0)</f>
        <v>8.73452244464382</v>
      </c>
      <c r="F101" s="72" t="n">
        <f aca="false">IFERROR(F100/F104,0)</f>
        <v>8.51362715502394</v>
      </c>
      <c r="G101" s="72" t="n">
        <f aca="false">IFERROR(G100/G104,0)</f>
        <v>8.14571389788959</v>
      </c>
      <c r="H101" s="72" t="n">
        <f aca="false">IFERROR(H100/H104,0)</f>
        <v>8.07316192205214</v>
      </c>
      <c r="I101" s="72" t="n">
        <f aca="false">IFERROR(I100/I104,0)</f>
        <v>8.03758666294299</v>
      </c>
      <c r="J101" s="72" t="n">
        <f aca="false">IFERROR(J100/J104,0)</f>
        <v>8.01816529918044</v>
      </c>
      <c r="K101" s="72" t="n">
        <f aca="false">IFERROR(K100/K104,0)</f>
        <v>8.00702003222167</v>
      </c>
      <c r="L101" s="72" t="n">
        <f aca="false">IFERROR(L100/L104,0)</f>
        <v>8.00033569452806</v>
      </c>
      <c r="M101" s="72" t="n">
        <f aca="false">IFERROR(M100/M104,0)</f>
        <v>7.99615622329132</v>
      </c>
      <c r="N101" s="72" t="n">
        <f aca="false">IFERROR(N100/N104,0)</f>
        <v>7.99344020733905</v>
      </c>
      <c r="O101" s="72" t="n">
        <f aca="false">IFERROR(O100/O104,0)</f>
        <v>7.99161418535093</v>
      </c>
      <c r="P101" s="72" t="n">
        <f aca="false">IFERROR(P100/P104,0)</f>
        <v>7.9903519429653</v>
      </c>
      <c r="Q101" s="72" t="n">
        <f aca="false">IFERROR(Q100/Q104,0)</f>
        <v>7.98946196993467</v>
      </c>
      <c r="R101" s="72" t="n">
        <f aca="false">IFERROR(R100/R104,0)</f>
        <v>7.9888285149514</v>
      </c>
      <c r="S101" s="72" t="n">
        <f aca="false">IFERROR(S100/S104,0)</f>
        <v>7.98837992742795</v>
      </c>
      <c r="T101" s="72" t="n">
        <f aca="false">IFERROR(T100/T104,0)</f>
        <v>7.98807121914628</v>
      </c>
      <c r="U101" s="72" t="n">
        <f aca="false">IFERROR(U100/U104,0)</f>
        <v>7.98787420414123</v>
      </c>
      <c r="V101" s="72" t="n">
        <f aca="false">IFERROR(V100/V104,0)</f>
        <v>7.98777177361068</v>
      </c>
      <c r="W101" s="72" t="n">
        <f aca="false">IFERROR(W100/W104,0)</f>
        <v>7.98775448736066</v>
      </c>
      <c r="X101" s="72" t="n">
        <f aca="false">IFERROR(X100/X104,0)</f>
        <v>7.98781850308976</v>
      </c>
      <c r="Y101" s="72" t="n">
        <f aca="false">IFERROR(Y100/Y104,0)</f>
        <v>7.98796430610803</v>
      </c>
      <c r="Z101" s="72" t="n">
        <f aca="false">IFERROR(Z100/Z104,0)</f>
        <v>7.98819593800444</v>
      </c>
      <c r="AA101" s="72" t="n">
        <f aca="false">IFERROR(AA100/AA104,0)</f>
        <v>7.98852055139605</v>
      </c>
      <c r="AB101" s="72" t="n">
        <f aca="false">IFERROR(AB100/AB104,0)</f>
        <v>7.98894818968373</v>
      </c>
      <c r="AC101" s="72" t="n">
        <f aca="false">IFERROR(AC100/AC104,0)</f>
        <v>7.9894917320051</v>
      </c>
      <c r="AD101" s="72" t="n">
        <f aca="false">IFERROR(AD100/AD104,0)</f>
        <v>7.99016696820009</v>
      </c>
      <c r="AE101" s="72" t="n">
        <f aca="false">IFERROR(AE100/AE104,0)</f>
        <v>7.99099278402901</v>
      </c>
      <c r="AF101" s="72" t="n">
        <f aca="false">IFERROR(AF100/AF104,0)</f>
        <v>7.99199144717569</v>
      </c>
      <c r="AG101" s="72" t="n">
        <f aca="false">IFERROR(AG100/AG104,0)</f>
        <v>7.99318899201519</v>
      </c>
      <c r="AH101" s="72" t="n">
        <f aca="false">IFERROR(AH100/AH104,0)</f>
        <v>7.99461570707063</v>
      </c>
      <c r="AI101" s="72" t="n">
        <f aca="false">IFERROR(AI100/AI104,0)</f>
        <v>7.99630673437016</v>
      </c>
      <c r="AJ101" s="72" t="n">
        <f aca="false">IFERROR(AJ100/AJ104,0)</f>
        <v>8.01148741194348</v>
      </c>
      <c r="AK101" s="72" t="n">
        <f aca="false">IFERROR(AK100/AK104,0)</f>
        <v>8.06739153809765</v>
      </c>
      <c r="AL101" s="72" t="n">
        <f aca="false">IFERROR(AL100/AL104,0)</f>
        <v>8.12965069435234</v>
      </c>
      <c r="AM101" s="72" t="n">
        <f aca="false">AVERAGE(N101:AL101)</f>
        <v>7.99961119719078</v>
      </c>
    </row>
    <row r="102" customFormat="false" ht="15" hidden="false" customHeight="false" outlineLevel="0" collapsed="false">
      <c r="A102" s="10" t="s">
        <v>817</v>
      </c>
      <c r="B102" s="9" t="s">
        <v>95</v>
      </c>
      <c r="C102" s="63" t="n">
        <f aca="false">Assumptions!$D$70*(1-Assumptions!$D$80)*(1-Assumptions!$D$79)-Assumptions!$D$73-Assumptions!$D$75-Assumptions!$D$76-Assumptions!$D$77</f>
        <v>41.92672</v>
      </c>
      <c r="D102" s="63" t="n">
        <f aca="false">Assumptions!$D$70*(1-Assumptions!$D$80)*(1-Assumptions!$D$79)-Assumptions!$D$73-Assumptions!$D$75-Assumptions!$D$76-Assumptions!$D$77</f>
        <v>41.92672</v>
      </c>
      <c r="E102" s="63" t="n">
        <f aca="false">Assumptions!$D$70*(1-Assumptions!$D$80)*(1-Assumptions!$D$79)-Assumptions!$D$73-Assumptions!$D$75-Assumptions!$D$76-Assumptions!$D$77</f>
        <v>41.92672</v>
      </c>
      <c r="F102" s="63" t="n">
        <f aca="false">Assumptions!$D$70*(1-Assumptions!$D$80)*(1-Assumptions!$D$79)-Assumptions!$D$73-Assumptions!$D$75-Assumptions!$D$76-Assumptions!$D$77</f>
        <v>41.92672</v>
      </c>
      <c r="G102" s="63" t="n">
        <f aca="false">Assumptions!$D$70*(1-Assumptions!$D$80)*(1-Assumptions!$D$79)-Assumptions!$D$73-Assumptions!$D$75-Assumptions!$D$76-Assumptions!$D$77</f>
        <v>41.92672</v>
      </c>
      <c r="H102" s="63" t="n">
        <f aca="false">Assumptions!$D$70*(1-Assumptions!$D$80)*(1-Assumptions!$D$79)-Assumptions!$D$73-Assumptions!$D$75-Assumptions!$D$76-Assumptions!$D$77</f>
        <v>41.92672</v>
      </c>
      <c r="I102" s="63" t="n">
        <f aca="false">Assumptions!$D$70*(1-Assumptions!$D$80)*(1-Assumptions!$D$79)-Assumptions!$D$73-Assumptions!$D$75-Assumptions!$D$76-Assumptions!$D$77</f>
        <v>41.92672</v>
      </c>
      <c r="J102" s="63" t="n">
        <f aca="false">Assumptions!$D$70*(1-Assumptions!$D$80)*(1-Assumptions!$D$79)-Assumptions!$D$73-Assumptions!$D$75-Assumptions!$D$76-Assumptions!$D$77</f>
        <v>41.92672</v>
      </c>
      <c r="K102" s="63" t="n">
        <f aca="false">Assumptions!$D$70*(1-Assumptions!$D$80)*(1-Assumptions!$D$79)-Assumptions!$D$73-Assumptions!$D$75-Assumptions!$D$76-Assumptions!$D$77</f>
        <v>41.92672</v>
      </c>
      <c r="L102" s="63" t="n">
        <f aca="false">Assumptions!$D$70*(1-Assumptions!$D$80)*(1-Assumptions!$D$79)-Assumptions!$D$73-Assumptions!$D$75-Assumptions!$D$76-Assumptions!$D$77</f>
        <v>41.92672</v>
      </c>
      <c r="M102" s="63" t="n">
        <f aca="false">Assumptions!$D$70*(1-Assumptions!$D$80)*(1-Assumptions!$D$79)-Assumptions!$D$73-Assumptions!$D$75-Assumptions!$D$76-Assumptions!$D$77</f>
        <v>41.92672</v>
      </c>
      <c r="N102" s="63" t="n">
        <f aca="false">Assumptions!$D$70*(1-Assumptions!$D$80)*(1-Assumptions!$D$79)-Assumptions!$D$73-Assumptions!$D$75-Assumptions!$D$76-Assumptions!$D$77</f>
        <v>41.92672</v>
      </c>
      <c r="O102" s="63" t="n">
        <f aca="false">Assumptions!$D$70*(1-Assumptions!$D$80)*(1-Assumptions!$D$79)-Assumptions!$D$73-Assumptions!$D$75-Assumptions!$D$76-Assumptions!$D$77</f>
        <v>41.92672</v>
      </c>
      <c r="P102" s="63" t="n">
        <f aca="false">Assumptions!$D$70*(1-Assumptions!$D$80)*(1-Assumptions!$D$79)-Assumptions!$D$73-Assumptions!$D$75-Assumptions!$D$76-Assumptions!$D$77</f>
        <v>41.92672</v>
      </c>
      <c r="Q102" s="63" t="n">
        <f aca="false">Assumptions!$D$70*(1-Assumptions!$D$80)*(1-Assumptions!$D$79)-Assumptions!$D$73-Assumptions!$D$75-Assumptions!$D$76-Assumptions!$D$77</f>
        <v>41.92672</v>
      </c>
      <c r="R102" s="63" t="n">
        <f aca="false">Assumptions!$D$70*(1-Assumptions!$D$80)*(1-Assumptions!$D$79)-Assumptions!$D$73-Assumptions!$D$75-Assumptions!$D$76-Assumptions!$D$77</f>
        <v>41.92672</v>
      </c>
      <c r="S102" s="63" t="n">
        <f aca="false">Assumptions!$D$70*(1-Assumptions!$D$80)*(1-Assumptions!$D$79)-Assumptions!$D$73-Assumptions!$D$75-Assumptions!$D$76-Assumptions!$D$77</f>
        <v>41.92672</v>
      </c>
      <c r="T102" s="63" t="n">
        <f aca="false">Assumptions!$D$70*(1-Assumptions!$D$80)*(1-Assumptions!$D$79)-Assumptions!$D$73-Assumptions!$D$75-Assumptions!$D$76-Assumptions!$D$77</f>
        <v>41.92672</v>
      </c>
      <c r="U102" s="63" t="n">
        <f aca="false">Assumptions!$D$70*(1-Assumptions!$D$80)*(1-Assumptions!$D$79)-Assumptions!$D$73-Assumptions!$D$75-Assumptions!$D$76-Assumptions!$D$77</f>
        <v>41.92672</v>
      </c>
      <c r="V102" s="63" t="n">
        <f aca="false">Assumptions!$D$70*(1-Assumptions!$D$80)*(1-Assumptions!$D$79)-Assumptions!$D$73-Assumptions!$D$75-Assumptions!$D$76-Assumptions!$D$77</f>
        <v>41.92672</v>
      </c>
      <c r="W102" s="63" t="n">
        <f aca="false">Assumptions!$D$70*(1-Assumptions!$D$80)*(1-Assumptions!$D$79)-Assumptions!$D$73-Assumptions!$D$75-Assumptions!$D$76-Assumptions!$D$77</f>
        <v>41.92672</v>
      </c>
      <c r="X102" s="63" t="n">
        <f aca="false">Assumptions!$D$70*(1-Assumptions!$D$80)*(1-Assumptions!$D$79)-Assumptions!$D$73-Assumptions!$D$75-Assumptions!$D$76-Assumptions!$D$77</f>
        <v>41.92672</v>
      </c>
      <c r="Y102" s="63" t="n">
        <f aca="false">Assumptions!$D$70*(1-Assumptions!$D$80)*(1-Assumptions!$D$79)-Assumptions!$D$73-Assumptions!$D$75-Assumptions!$D$76-Assumptions!$D$77</f>
        <v>41.92672</v>
      </c>
      <c r="Z102" s="63" t="n">
        <f aca="false">Assumptions!$D$70*(1-Assumptions!$D$80)*(1-Assumptions!$D$79)-Assumptions!$D$73-Assumptions!$D$75-Assumptions!$D$76-Assumptions!$D$77</f>
        <v>41.92672</v>
      </c>
      <c r="AA102" s="63" t="n">
        <f aca="false">Assumptions!$D$70*(1-Assumptions!$D$80)*(1-Assumptions!$D$79)-Assumptions!$D$73-Assumptions!$D$75-Assumptions!$D$76-Assumptions!$D$77</f>
        <v>41.92672</v>
      </c>
      <c r="AB102" s="63" t="n">
        <f aca="false">Assumptions!$D$70*(1-Assumptions!$D$80)*(1-Assumptions!$D$79)-Assumptions!$D$73-Assumptions!$D$75-Assumptions!$D$76-Assumptions!$D$77</f>
        <v>41.92672</v>
      </c>
      <c r="AC102" s="63" t="n">
        <f aca="false">Assumptions!$D$70*(1-Assumptions!$D$80)*(1-Assumptions!$D$79)-Assumptions!$D$73-Assumptions!$D$75-Assumptions!$D$76-Assumptions!$D$77</f>
        <v>41.92672</v>
      </c>
      <c r="AD102" s="63" t="n">
        <f aca="false">Assumptions!$D$70*(1-Assumptions!$D$80)*(1-Assumptions!$D$79)-Assumptions!$D$73-Assumptions!$D$75-Assumptions!$D$76-Assumptions!$D$77</f>
        <v>41.92672</v>
      </c>
      <c r="AE102" s="63" t="n">
        <f aca="false">Assumptions!$D$70*(1-Assumptions!$D$80)*(1-Assumptions!$D$79)-Assumptions!$D$73-Assumptions!$D$75-Assumptions!$D$76-Assumptions!$D$77</f>
        <v>41.92672</v>
      </c>
      <c r="AF102" s="63" t="n">
        <f aca="false">Assumptions!$D$70*(1-Assumptions!$D$80)*(1-Assumptions!$D$79)-Assumptions!$D$73-Assumptions!$D$75-Assumptions!$D$76-Assumptions!$D$77</f>
        <v>41.92672</v>
      </c>
      <c r="AG102" s="63" t="n">
        <f aca="false">Assumptions!$D$70*(1-Assumptions!$D$80)*(1-Assumptions!$D$79)-Assumptions!$D$73-Assumptions!$D$75-Assumptions!$D$76-Assumptions!$D$77</f>
        <v>41.92672</v>
      </c>
      <c r="AH102" s="63" t="n">
        <f aca="false">Assumptions!$D$70*(1-Assumptions!$D$80)*(1-Assumptions!$D$79)-Assumptions!$D$73-Assumptions!$D$75-Assumptions!$D$76-Assumptions!$D$77</f>
        <v>41.92672</v>
      </c>
      <c r="AI102" s="63" t="n">
        <f aca="false">Assumptions!$D$70*(1-Assumptions!$D$80)*(1-Assumptions!$D$79)-Assumptions!$D$73-Assumptions!$D$75-Assumptions!$D$76-Assumptions!$D$77</f>
        <v>41.92672</v>
      </c>
      <c r="AJ102" s="63" t="n">
        <f aca="false">Assumptions!$D$70*(1-Assumptions!$D$80)*(1-Assumptions!$D$79)-Assumptions!$D$73-Assumptions!$D$75-Assumptions!$D$76-Assumptions!$D$77</f>
        <v>41.92672</v>
      </c>
      <c r="AK102" s="63" t="n">
        <f aca="false">Assumptions!$D$70*(1-Assumptions!$D$80)*(1-Assumptions!$D$79)-Assumptions!$D$73-Assumptions!$D$75-Assumptions!$D$76-Assumptions!$D$77</f>
        <v>41.92672</v>
      </c>
      <c r="AL102" s="63" t="n">
        <f aca="false">Assumptions!$D$70*(1-Assumptions!$D$80)*(1-Assumptions!$D$79)-Assumptions!$D$73-Assumptions!$D$75-Assumptions!$D$76-Assumptions!$D$77</f>
        <v>41.92672</v>
      </c>
      <c r="AM102" s="63" t="n">
        <f aca="false">AVERAGE(N102:AL102)</f>
        <v>41.92672</v>
      </c>
    </row>
    <row r="103" customFormat="false" ht="15" hidden="false" customHeight="false" outlineLevel="0" collapsed="false">
      <c r="A103" s="10" t="s">
        <v>818</v>
      </c>
      <c r="B103" s="9" t="s">
        <v>95</v>
      </c>
      <c r="C103" s="70" t="n">
        <f aca="false">C102/Assumptions!$D$68</f>
        <v>322.513230769231</v>
      </c>
      <c r="D103" s="70" t="n">
        <f aca="false">D102/Assumptions!$D$68</f>
        <v>322.513230769231</v>
      </c>
      <c r="E103" s="70" t="n">
        <f aca="false">E102/Assumptions!$D$68</f>
        <v>322.513230769231</v>
      </c>
      <c r="F103" s="70" t="n">
        <f aca="false">F102/Assumptions!$D$68</f>
        <v>322.513230769231</v>
      </c>
      <c r="G103" s="70" t="n">
        <f aca="false">G102/Assumptions!$D$68</f>
        <v>322.513230769231</v>
      </c>
      <c r="H103" s="70" t="n">
        <f aca="false">H102/Assumptions!$D$68</f>
        <v>322.513230769231</v>
      </c>
      <c r="I103" s="70" t="n">
        <f aca="false">I102/Assumptions!$D$68</f>
        <v>322.513230769231</v>
      </c>
      <c r="J103" s="70" t="n">
        <f aca="false">J102/Assumptions!$D$68</f>
        <v>322.513230769231</v>
      </c>
      <c r="K103" s="70" t="n">
        <f aca="false">K102/Assumptions!$D$68</f>
        <v>322.513230769231</v>
      </c>
      <c r="L103" s="70" t="n">
        <f aca="false">L102/Assumptions!$D$68</f>
        <v>322.513230769231</v>
      </c>
      <c r="M103" s="70" t="n">
        <f aca="false">M102/Assumptions!$D$68</f>
        <v>322.513230769231</v>
      </c>
      <c r="N103" s="70" t="n">
        <f aca="false">N102/Assumptions!$D$68</f>
        <v>322.513230769231</v>
      </c>
      <c r="O103" s="70" t="n">
        <f aca="false">O102/Assumptions!$D$68</f>
        <v>322.513230769231</v>
      </c>
      <c r="P103" s="70" t="n">
        <f aca="false">P102/Assumptions!$D$68</f>
        <v>322.513230769231</v>
      </c>
      <c r="Q103" s="70" t="n">
        <f aca="false">Q102/Assumptions!$D$68</f>
        <v>322.513230769231</v>
      </c>
      <c r="R103" s="70" t="n">
        <f aca="false">R102/Assumptions!$D$68</f>
        <v>322.513230769231</v>
      </c>
      <c r="S103" s="70" t="n">
        <f aca="false">S102/Assumptions!$D$68</f>
        <v>322.513230769231</v>
      </c>
      <c r="T103" s="70" t="n">
        <f aca="false">T102/Assumptions!$D$68</f>
        <v>322.513230769231</v>
      </c>
      <c r="U103" s="70" t="n">
        <f aca="false">U102/Assumptions!$D$68</f>
        <v>322.513230769231</v>
      </c>
      <c r="V103" s="70" t="n">
        <f aca="false">V102/Assumptions!$D$68</f>
        <v>322.513230769231</v>
      </c>
      <c r="W103" s="70" t="n">
        <f aca="false">W102/Assumptions!$D$68</f>
        <v>322.513230769231</v>
      </c>
      <c r="X103" s="70" t="n">
        <f aca="false">X102/Assumptions!$D$68</f>
        <v>322.513230769231</v>
      </c>
      <c r="Y103" s="70" t="n">
        <f aca="false">Y102/Assumptions!$D$68</f>
        <v>322.513230769231</v>
      </c>
      <c r="Z103" s="70" t="n">
        <f aca="false">Z102/Assumptions!$D$68</f>
        <v>322.513230769231</v>
      </c>
      <c r="AA103" s="70" t="n">
        <f aca="false">AA102/Assumptions!$D$68</f>
        <v>322.513230769231</v>
      </c>
      <c r="AB103" s="70" t="n">
        <f aca="false">AB102/Assumptions!$D$68</f>
        <v>322.513230769231</v>
      </c>
      <c r="AC103" s="70" t="n">
        <f aca="false">AC102/Assumptions!$D$68</f>
        <v>322.513230769231</v>
      </c>
      <c r="AD103" s="70" t="n">
        <f aca="false">AD102/Assumptions!$D$68</f>
        <v>322.513230769231</v>
      </c>
      <c r="AE103" s="70" t="n">
        <f aca="false">AE102/Assumptions!$D$68</f>
        <v>322.513230769231</v>
      </c>
      <c r="AF103" s="70" t="n">
        <f aca="false">AF102/Assumptions!$D$68</f>
        <v>322.513230769231</v>
      </c>
      <c r="AG103" s="70" t="n">
        <f aca="false">AG102/Assumptions!$D$68</f>
        <v>322.513230769231</v>
      </c>
      <c r="AH103" s="70" t="n">
        <f aca="false">AH102/Assumptions!$D$68</f>
        <v>322.513230769231</v>
      </c>
      <c r="AI103" s="70" t="n">
        <f aca="false">AI102/Assumptions!$D$68</f>
        <v>322.513230769231</v>
      </c>
      <c r="AJ103" s="70" t="n">
        <f aca="false">AJ102/Assumptions!$D$68</f>
        <v>322.513230769231</v>
      </c>
      <c r="AK103" s="70" t="n">
        <f aca="false">AK102/Assumptions!$D$68</f>
        <v>322.513230769231</v>
      </c>
      <c r="AL103" s="70" t="n">
        <f aca="false">AL102/Assumptions!$D$68</f>
        <v>322.513230769231</v>
      </c>
      <c r="AM103" s="70" t="n">
        <f aca="false">AVERAGE(N103:AL103)</f>
        <v>322.513230769231</v>
      </c>
    </row>
    <row r="104" customFormat="false" ht="15" hidden="false" customHeight="false" outlineLevel="0" collapsed="false">
      <c r="A104" s="10" t="s">
        <v>397</v>
      </c>
      <c r="B104" s="9" t="s">
        <v>95</v>
      </c>
      <c r="C104" s="63" t="n">
        <f aca="false">Assumptions!$D$50*(1-Assumptions!$D$80)*(1-Assumptions!$D$79)-Assumptions!$D$50*Assumptions!$D$55-Assumptions!$D$56</f>
        <v>34.29104</v>
      </c>
      <c r="D104" s="63" t="n">
        <f aca="false">Assumptions!$D$50*(1-Assumptions!$D$80)*(1-Assumptions!$D$79)-Assumptions!$D$50*Assumptions!$D$55-Assumptions!$D$56</f>
        <v>34.29104</v>
      </c>
      <c r="E104" s="63" t="n">
        <f aca="false">Assumptions!$D$50*(1-Assumptions!$D$80)*(1-Assumptions!$D$79)-Assumptions!$D$50*Assumptions!$D$55-Assumptions!$D$56</f>
        <v>34.29104</v>
      </c>
      <c r="F104" s="63" t="n">
        <f aca="false">Assumptions!$D$50*(1-Assumptions!$D$80)*(1-Assumptions!$D$79)-Assumptions!$D$50*Assumptions!$D$55-Assumptions!$D$56</f>
        <v>34.29104</v>
      </c>
      <c r="G104" s="63" t="n">
        <f aca="false">Assumptions!$D$50*(1-Assumptions!$D$80)*(1-Assumptions!$D$79)-Assumptions!$D$50*Assumptions!$D$55-Assumptions!$D$56</f>
        <v>34.29104</v>
      </c>
      <c r="H104" s="63" t="n">
        <f aca="false">Assumptions!$D$50*(1-Assumptions!$D$80)*(1-Assumptions!$D$79)-Assumptions!$D$50*Assumptions!$D$55-Assumptions!$D$56</f>
        <v>34.29104</v>
      </c>
      <c r="I104" s="63" t="n">
        <f aca="false">Assumptions!$D$50*(1-Assumptions!$D$80)*(1-Assumptions!$D$79)-Assumptions!$D$50*Assumptions!$D$55-Assumptions!$D$56</f>
        <v>34.29104</v>
      </c>
      <c r="J104" s="63" t="n">
        <f aca="false">Assumptions!$D$50*(1-Assumptions!$D$80)*(1-Assumptions!$D$79)-Assumptions!$D$50*Assumptions!$D$55-Assumptions!$D$56</f>
        <v>34.29104</v>
      </c>
      <c r="K104" s="63" t="n">
        <f aca="false">Assumptions!$D$50*(1-Assumptions!$D$80)*(1-Assumptions!$D$79)-Assumptions!$D$50*Assumptions!$D$55-Assumptions!$D$56</f>
        <v>34.29104</v>
      </c>
      <c r="L104" s="63" t="n">
        <f aca="false">Assumptions!$D$50*(1-Assumptions!$D$80)*(1-Assumptions!$D$79)-Assumptions!$D$50*Assumptions!$D$55-Assumptions!$D$56</f>
        <v>34.29104</v>
      </c>
      <c r="M104" s="63" t="n">
        <f aca="false">Assumptions!$D$50*(1-Assumptions!$D$80)*(1-Assumptions!$D$79)-Assumptions!$D$50*Assumptions!$D$55-Assumptions!$D$56</f>
        <v>34.29104</v>
      </c>
      <c r="N104" s="63" t="n">
        <f aca="false">Assumptions!$D$50*(1-Assumptions!$D$80)*(1-Assumptions!$D$79)-Assumptions!$D$50*Assumptions!$D$55-Assumptions!$D$56</f>
        <v>34.29104</v>
      </c>
      <c r="O104" s="63" t="n">
        <f aca="false">Assumptions!$D$50*(1-Assumptions!$D$80)*(1-Assumptions!$D$79)-Assumptions!$D$50*Assumptions!$D$55-Assumptions!$D$56</f>
        <v>34.29104</v>
      </c>
      <c r="P104" s="63" t="n">
        <f aca="false">Assumptions!$D$50*(1-Assumptions!$D$80)*(1-Assumptions!$D$79)-Assumptions!$D$50*Assumptions!$D$55-Assumptions!$D$56</f>
        <v>34.29104</v>
      </c>
      <c r="Q104" s="63" t="n">
        <f aca="false">Assumptions!$D$50*(1-Assumptions!$D$80)*(1-Assumptions!$D$79)-Assumptions!$D$50*Assumptions!$D$55-Assumptions!$D$56</f>
        <v>34.29104</v>
      </c>
      <c r="R104" s="63" t="n">
        <f aca="false">Assumptions!$D$50*(1-Assumptions!$D$80)*(1-Assumptions!$D$79)-Assumptions!$D$50*Assumptions!$D$55-Assumptions!$D$56</f>
        <v>34.29104</v>
      </c>
      <c r="S104" s="63" t="n">
        <f aca="false">Assumptions!$D$50*(1-Assumptions!$D$80)*(1-Assumptions!$D$79)-Assumptions!$D$50*Assumptions!$D$55-Assumptions!$D$56</f>
        <v>34.29104</v>
      </c>
      <c r="T104" s="63" t="n">
        <f aca="false">Assumptions!$D$50*(1-Assumptions!$D$80)*(1-Assumptions!$D$79)-Assumptions!$D$50*Assumptions!$D$55-Assumptions!$D$56</f>
        <v>34.29104</v>
      </c>
      <c r="U104" s="63" t="n">
        <f aca="false">Assumptions!$D$50*(1-Assumptions!$D$80)*(1-Assumptions!$D$79)-Assumptions!$D$50*Assumptions!$D$55-Assumptions!$D$56</f>
        <v>34.29104</v>
      </c>
      <c r="V104" s="63" t="n">
        <f aca="false">Assumptions!$D$50*(1-Assumptions!$D$80)*(1-Assumptions!$D$79)-Assumptions!$D$50*Assumptions!$D$55-Assumptions!$D$56</f>
        <v>34.29104</v>
      </c>
      <c r="W104" s="63" t="n">
        <f aca="false">Assumptions!$D$50*(1-Assumptions!$D$80)*(1-Assumptions!$D$79)-Assumptions!$D$50*Assumptions!$D$55-Assumptions!$D$56</f>
        <v>34.29104</v>
      </c>
      <c r="X104" s="63" t="n">
        <f aca="false">Assumptions!$D$50*(1-Assumptions!$D$80)*(1-Assumptions!$D$79)-Assumptions!$D$50*Assumptions!$D$55-Assumptions!$D$56</f>
        <v>34.29104</v>
      </c>
      <c r="Y104" s="63" t="n">
        <f aca="false">Assumptions!$D$50*(1-Assumptions!$D$80)*(1-Assumptions!$D$79)-Assumptions!$D$50*Assumptions!$D$55-Assumptions!$D$56</f>
        <v>34.29104</v>
      </c>
      <c r="Z104" s="63" t="n">
        <f aca="false">Assumptions!$D$50*(1-Assumptions!$D$80)*(1-Assumptions!$D$79)-Assumptions!$D$50*Assumptions!$D$55-Assumptions!$D$56</f>
        <v>34.29104</v>
      </c>
      <c r="AA104" s="63" t="n">
        <f aca="false">Assumptions!$D$50*(1-Assumptions!$D$80)*(1-Assumptions!$D$79)-Assumptions!$D$50*Assumptions!$D$55-Assumptions!$D$56</f>
        <v>34.29104</v>
      </c>
      <c r="AB104" s="63" t="n">
        <f aca="false">Assumptions!$D$50*(1-Assumptions!$D$80)*(1-Assumptions!$D$79)-Assumptions!$D$50*Assumptions!$D$55-Assumptions!$D$56</f>
        <v>34.29104</v>
      </c>
      <c r="AC104" s="63" t="n">
        <f aca="false">Assumptions!$D$50*(1-Assumptions!$D$80)*(1-Assumptions!$D$79)-Assumptions!$D$50*Assumptions!$D$55-Assumptions!$D$56</f>
        <v>34.29104</v>
      </c>
      <c r="AD104" s="63" t="n">
        <f aca="false">Assumptions!$D$50*(1-Assumptions!$D$80)*(1-Assumptions!$D$79)-Assumptions!$D$50*Assumptions!$D$55-Assumptions!$D$56</f>
        <v>34.29104</v>
      </c>
      <c r="AE104" s="63" t="n">
        <f aca="false">Assumptions!$D$50*(1-Assumptions!$D$80)*(1-Assumptions!$D$79)-Assumptions!$D$50*Assumptions!$D$55-Assumptions!$D$56</f>
        <v>34.29104</v>
      </c>
      <c r="AF104" s="63" t="n">
        <f aca="false">Assumptions!$D$50*(1-Assumptions!$D$80)*(1-Assumptions!$D$79)-Assumptions!$D$50*Assumptions!$D$55-Assumptions!$D$56</f>
        <v>34.29104</v>
      </c>
      <c r="AG104" s="63" t="n">
        <f aca="false">Assumptions!$D$50*(1-Assumptions!$D$80)*(1-Assumptions!$D$79)-Assumptions!$D$50*Assumptions!$D$55-Assumptions!$D$56</f>
        <v>34.29104</v>
      </c>
      <c r="AH104" s="63" t="n">
        <f aca="false">Assumptions!$D$50*(1-Assumptions!$D$80)*(1-Assumptions!$D$79)-Assumptions!$D$50*Assumptions!$D$55-Assumptions!$D$56</f>
        <v>34.29104</v>
      </c>
      <c r="AI104" s="63" t="n">
        <f aca="false">Assumptions!$D$50*(1-Assumptions!$D$80)*(1-Assumptions!$D$79)-Assumptions!$D$50*Assumptions!$D$55-Assumptions!$D$56</f>
        <v>34.29104</v>
      </c>
      <c r="AJ104" s="63" t="n">
        <f aca="false">Assumptions!$D$50*(1-Assumptions!$D$80)*(1-Assumptions!$D$79)-Assumptions!$D$50*Assumptions!$D$55-Assumptions!$D$56</f>
        <v>34.29104</v>
      </c>
      <c r="AK104" s="63" t="n">
        <f aca="false">Assumptions!$D$50*(1-Assumptions!$D$80)*(1-Assumptions!$D$79)-Assumptions!$D$50*Assumptions!$D$55-Assumptions!$D$56</f>
        <v>34.29104</v>
      </c>
      <c r="AL104" s="63" t="n">
        <f aca="false">Assumptions!$D$50*(1-Assumptions!$D$80)*(1-Assumptions!$D$79)-Assumptions!$D$50*Assumptions!$D$55-Assumptions!$D$56</f>
        <v>34.29104</v>
      </c>
      <c r="AM104" s="63" t="n">
        <f aca="false">AVERAGE(N104:AL104)</f>
        <v>34.29104</v>
      </c>
    </row>
    <row r="105" customFormat="false" ht="15" hidden="false" customHeight="false" outlineLevel="0" collapsed="false">
      <c r="A105" s="10" t="s">
        <v>398</v>
      </c>
      <c r="B105" s="9" t="s">
        <v>95</v>
      </c>
      <c r="C105" s="70" t="n">
        <f aca="false">C104/Assumptions!$D$52</f>
        <v>381.011555555556</v>
      </c>
      <c r="D105" s="70" t="n">
        <f aca="false">D104/Assumptions!$D$52</f>
        <v>381.011555555556</v>
      </c>
      <c r="E105" s="70" t="n">
        <f aca="false">E104/Assumptions!$D$52</f>
        <v>381.011555555556</v>
      </c>
      <c r="F105" s="70" t="n">
        <f aca="false">F104/Assumptions!$D$52</f>
        <v>381.011555555556</v>
      </c>
      <c r="G105" s="70" t="n">
        <f aca="false">G104/Assumptions!$D$52</f>
        <v>381.011555555556</v>
      </c>
      <c r="H105" s="70" t="n">
        <f aca="false">H104/Assumptions!$D$52</f>
        <v>381.011555555556</v>
      </c>
      <c r="I105" s="70" t="n">
        <f aca="false">I104/Assumptions!$D$52</f>
        <v>381.011555555556</v>
      </c>
      <c r="J105" s="70" t="n">
        <f aca="false">J104/Assumptions!$D$52</f>
        <v>381.011555555556</v>
      </c>
      <c r="K105" s="70" t="n">
        <f aca="false">K104/Assumptions!$D$52</f>
        <v>381.011555555556</v>
      </c>
      <c r="L105" s="70" t="n">
        <f aca="false">L104/Assumptions!$D$52</f>
        <v>381.011555555556</v>
      </c>
      <c r="M105" s="70" t="n">
        <f aca="false">M104/Assumptions!$D$52</f>
        <v>381.011555555556</v>
      </c>
      <c r="N105" s="70" t="n">
        <f aca="false">N104/Assumptions!$D$52</f>
        <v>381.011555555556</v>
      </c>
      <c r="O105" s="70" t="n">
        <f aca="false">O104/Assumptions!$D$52</f>
        <v>381.011555555556</v>
      </c>
      <c r="P105" s="70" t="n">
        <f aca="false">P104/Assumptions!$D$52</f>
        <v>381.011555555556</v>
      </c>
      <c r="Q105" s="70" t="n">
        <f aca="false">Q104/Assumptions!$D$52</f>
        <v>381.011555555556</v>
      </c>
      <c r="R105" s="70" t="n">
        <f aca="false">R104/Assumptions!$D$52</f>
        <v>381.011555555556</v>
      </c>
      <c r="S105" s="70" t="n">
        <f aca="false">S104/Assumptions!$D$52</f>
        <v>381.011555555556</v>
      </c>
      <c r="T105" s="70" t="n">
        <f aca="false">T104/Assumptions!$D$52</f>
        <v>381.011555555556</v>
      </c>
      <c r="U105" s="70" t="n">
        <f aca="false">U104/Assumptions!$D$52</f>
        <v>381.011555555556</v>
      </c>
      <c r="V105" s="70" t="n">
        <f aca="false">V104/Assumptions!$D$52</f>
        <v>381.011555555556</v>
      </c>
      <c r="W105" s="70" t="n">
        <f aca="false">W104/Assumptions!$D$52</f>
        <v>381.011555555556</v>
      </c>
      <c r="X105" s="70" t="n">
        <f aca="false">X104/Assumptions!$D$52</f>
        <v>381.011555555556</v>
      </c>
      <c r="Y105" s="70" t="n">
        <f aca="false">Y104/Assumptions!$D$52</f>
        <v>381.011555555556</v>
      </c>
      <c r="Z105" s="70" t="n">
        <f aca="false">Z104/Assumptions!$D$52</f>
        <v>381.011555555556</v>
      </c>
      <c r="AA105" s="70" t="n">
        <f aca="false">AA104/Assumptions!$D$52</f>
        <v>381.011555555556</v>
      </c>
      <c r="AB105" s="70" t="n">
        <f aca="false">AB104/Assumptions!$D$52</f>
        <v>381.011555555556</v>
      </c>
      <c r="AC105" s="70" t="n">
        <f aca="false">AC104/Assumptions!$D$52</f>
        <v>381.011555555556</v>
      </c>
      <c r="AD105" s="70" t="n">
        <f aca="false">AD104/Assumptions!$D$52</f>
        <v>381.011555555556</v>
      </c>
      <c r="AE105" s="70" t="n">
        <f aca="false">AE104/Assumptions!$D$52</f>
        <v>381.011555555556</v>
      </c>
      <c r="AF105" s="70" t="n">
        <f aca="false">AF104/Assumptions!$D$52</f>
        <v>381.011555555556</v>
      </c>
      <c r="AG105" s="70" t="n">
        <f aca="false">AG104/Assumptions!$D$52</f>
        <v>381.011555555556</v>
      </c>
      <c r="AH105" s="70" t="n">
        <f aca="false">AH104/Assumptions!$D$52</f>
        <v>381.011555555556</v>
      </c>
      <c r="AI105" s="70" t="n">
        <f aca="false">AI104/Assumptions!$D$52</f>
        <v>381.011555555556</v>
      </c>
      <c r="AJ105" s="70" t="n">
        <f aca="false">AJ104/Assumptions!$D$52</f>
        <v>381.011555555556</v>
      </c>
      <c r="AK105" s="70" t="n">
        <f aca="false">AK104/Assumptions!$D$52</f>
        <v>381.011555555556</v>
      </c>
      <c r="AL105" s="70" t="n">
        <f aca="false">AL104/Assumptions!$D$52</f>
        <v>381.011555555556</v>
      </c>
      <c r="AM105" s="70" t="n">
        <f aca="false">AVERAGE(N105:AL105)</f>
        <v>381.011555555556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819</v>
      </c>
    </row>
    <row r="2" customFormat="false" ht="15" hidden="false" customHeight="false" outlineLevel="0" collapsed="false">
      <c r="A2" s="67" t="s">
        <v>681</v>
      </c>
    </row>
    <row r="4" customFormat="false" ht="15" hidden="false" customHeight="false" outlineLevel="0" collapsed="false">
      <c r="A4" s="37" t="s">
        <v>682</v>
      </c>
      <c r="B4" s="37" t="s">
        <v>25</v>
      </c>
      <c r="C4" s="68" t="s">
        <v>683</v>
      </c>
      <c r="D4" s="68" t="s">
        <v>684</v>
      </c>
      <c r="E4" s="68" t="s">
        <v>685</v>
      </c>
      <c r="F4" s="68" t="s">
        <v>686</v>
      </c>
      <c r="G4" s="68" t="s">
        <v>687</v>
      </c>
      <c r="H4" s="68" t="s">
        <v>688</v>
      </c>
      <c r="I4" s="68" t="s">
        <v>689</v>
      </c>
      <c r="J4" s="68" t="s">
        <v>690</v>
      </c>
      <c r="K4" s="68" t="s">
        <v>691</v>
      </c>
      <c r="L4" s="68" t="s">
        <v>692</v>
      </c>
      <c r="M4" s="68" t="s">
        <v>693</v>
      </c>
      <c r="N4" s="68" t="s">
        <v>694</v>
      </c>
      <c r="O4" s="68" t="s">
        <v>695</v>
      </c>
      <c r="P4" s="68" t="s">
        <v>696</v>
      </c>
      <c r="Q4" s="68" t="s">
        <v>697</v>
      </c>
      <c r="R4" s="68" t="s">
        <v>698</v>
      </c>
      <c r="S4" s="68" t="s">
        <v>699</v>
      </c>
      <c r="T4" s="68" t="s">
        <v>700</v>
      </c>
      <c r="U4" s="68" t="s">
        <v>701</v>
      </c>
      <c r="V4" s="68" t="s">
        <v>702</v>
      </c>
      <c r="W4" s="68" t="s">
        <v>703</v>
      </c>
      <c r="X4" s="68" t="s">
        <v>704</v>
      </c>
      <c r="Y4" s="68" t="s">
        <v>705</v>
      </c>
      <c r="Z4" s="68" t="s">
        <v>706</v>
      </c>
      <c r="AA4" s="68" t="s">
        <v>707</v>
      </c>
      <c r="AB4" s="68" t="s">
        <v>708</v>
      </c>
      <c r="AC4" s="68" t="s">
        <v>709</v>
      </c>
      <c r="AD4" s="68" t="s">
        <v>710</v>
      </c>
      <c r="AE4" s="68" t="s">
        <v>711</v>
      </c>
      <c r="AF4" s="68" t="s">
        <v>712</v>
      </c>
      <c r="AG4" s="68" t="s">
        <v>713</v>
      </c>
      <c r="AH4" s="68" t="s">
        <v>714</v>
      </c>
      <c r="AI4" s="68" t="s">
        <v>715</v>
      </c>
      <c r="AJ4" s="68" t="s">
        <v>716</v>
      </c>
      <c r="AK4" s="68" t="s">
        <v>717</v>
      </c>
      <c r="AL4" s="68" t="s">
        <v>718</v>
      </c>
      <c r="AM4" s="37" t="s">
        <v>719</v>
      </c>
    </row>
    <row r="5" customFormat="false" ht="15" hidden="false" customHeight="false" outlineLevel="0" collapsed="false">
      <c r="A5" s="0" t="s">
        <v>720</v>
      </c>
      <c r="B5" s="0" t="s">
        <v>49</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721</v>
      </c>
      <c r="B6" s="0" t="s">
        <v>49</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722</v>
      </c>
      <c r="B8" s="9" t="s">
        <v>723</v>
      </c>
      <c r="C8" s="69" t="n">
        <f aca="false">IF(C$5&gt;=Assumptions!$E$6,1,0)</f>
        <v>0</v>
      </c>
      <c r="D8" s="69" t="n">
        <f aca="false">IF(D$5&gt;=Assumptions!$E$6,1,0)</f>
        <v>1</v>
      </c>
      <c r="E8" s="69" t="n">
        <f aca="false">IF(E$5&gt;=Assumptions!$E$6,1,0)</f>
        <v>1</v>
      </c>
      <c r="F8" s="69" t="n">
        <f aca="false">IF(F$5&gt;=Assumptions!$E$6,1,0)</f>
        <v>1</v>
      </c>
      <c r="G8" s="69" t="n">
        <f aca="false">IF(G$5&gt;=Assumptions!$E$6,1,0)</f>
        <v>1</v>
      </c>
      <c r="H8" s="69" t="n">
        <f aca="false">IF(H$5&gt;=Assumptions!$E$6,1,0)</f>
        <v>1</v>
      </c>
      <c r="I8" s="69" t="n">
        <f aca="false">IF(I$5&gt;=Assumptions!$E$6,1,0)</f>
        <v>1</v>
      </c>
      <c r="J8" s="69" t="n">
        <f aca="false">IF(J$5&gt;=Assumptions!$E$6,1,0)</f>
        <v>1</v>
      </c>
      <c r="K8" s="69" t="n">
        <f aca="false">IF(K$5&gt;=Assumptions!$E$6,1,0)</f>
        <v>1</v>
      </c>
      <c r="L8" s="69" t="n">
        <f aca="false">IF(L$5&gt;=Assumptions!$E$6,1,0)</f>
        <v>1</v>
      </c>
      <c r="M8" s="69" t="n">
        <f aca="false">IF(M$5&gt;=Assumptions!$E$6,1,0)</f>
        <v>1</v>
      </c>
      <c r="N8" s="69" t="n">
        <f aca="false">IF(N$5&gt;=Assumptions!$E$6,1,0)</f>
        <v>1</v>
      </c>
      <c r="O8" s="69" t="n">
        <f aca="false">IF(O$5&gt;=Assumptions!$E$6,1,0)</f>
        <v>1</v>
      </c>
      <c r="P8" s="69" t="n">
        <f aca="false">IF(P$5&gt;=Assumptions!$E$6,1,0)</f>
        <v>1</v>
      </c>
      <c r="Q8" s="69" t="n">
        <f aca="false">IF(Q$5&gt;=Assumptions!$E$6,1,0)</f>
        <v>1</v>
      </c>
      <c r="R8" s="69" t="n">
        <f aca="false">IF(R$5&gt;=Assumptions!$E$6,1,0)</f>
        <v>1</v>
      </c>
      <c r="S8" s="69" t="n">
        <f aca="false">IF(S$5&gt;=Assumptions!$E$6,1,0)</f>
        <v>1</v>
      </c>
      <c r="T8" s="69" t="n">
        <f aca="false">IF(T$5&gt;=Assumptions!$E$6,1,0)</f>
        <v>1</v>
      </c>
      <c r="U8" s="69" t="n">
        <f aca="false">IF(U$5&gt;=Assumptions!$E$6,1,0)</f>
        <v>1</v>
      </c>
      <c r="V8" s="69" t="n">
        <f aca="false">IF(V$5&gt;=Assumptions!$E$6,1,0)</f>
        <v>1</v>
      </c>
      <c r="W8" s="69" t="n">
        <f aca="false">IF(W$5&gt;=Assumptions!$E$6,1,0)</f>
        <v>1</v>
      </c>
      <c r="X8" s="69" t="n">
        <f aca="false">IF(X$5&gt;=Assumptions!$E$6,1,0)</f>
        <v>1</v>
      </c>
      <c r="Y8" s="69" t="n">
        <f aca="false">IF(Y$5&gt;=Assumptions!$E$6,1,0)</f>
        <v>1</v>
      </c>
      <c r="Z8" s="69" t="n">
        <f aca="false">IF(Z$5&gt;=Assumptions!$E$6,1,0)</f>
        <v>1</v>
      </c>
      <c r="AA8" s="69" t="n">
        <f aca="false">IF(AA$5&gt;=Assumptions!$E$6,1,0)</f>
        <v>1</v>
      </c>
      <c r="AB8" s="69" t="n">
        <f aca="false">IF(AB$5&gt;=Assumptions!$E$6,1,0)</f>
        <v>1</v>
      </c>
      <c r="AC8" s="69" t="n">
        <f aca="false">IF(AC$5&gt;=Assumptions!$E$6,1,0)</f>
        <v>1</v>
      </c>
      <c r="AD8" s="69" t="n">
        <f aca="false">IF(AD$5&gt;=Assumptions!$E$6,1,0)</f>
        <v>1</v>
      </c>
      <c r="AE8" s="69" t="n">
        <f aca="false">IF(AE$5&gt;=Assumptions!$E$6,1,0)</f>
        <v>1</v>
      </c>
      <c r="AF8" s="69" t="n">
        <f aca="false">IF(AF$5&gt;=Assumptions!$E$6,1,0)</f>
        <v>1</v>
      </c>
      <c r="AG8" s="69" t="n">
        <f aca="false">IF(AG$5&gt;=Assumptions!$E$6,1,0)</f>
        <v>1</v>
      </c>
      <c r="AH8" s="69" t="n">
        <f aca="false">IF(AH$5&gt;=Assumptions!$E$6,1,0)</f>
        <v>1</v>
      </c>
      <c r="AI8" s="69" t="n">
        <f aca="false">IF(AI$5&gt;=Assumptions!$E$6,1,0)</f>
        <v>1</v>
      </c>
      <c r="AJ8" s="69" t="n">
        <f aca="false">IF(AJ$5&gt;=Assumptions!$E$6,1,0)</f>
        <v>1</v>
      </c>
      <c r="AK8" s="69" t="n">
        <f aca="false">IF(AK$5&gt;=Assumptions!$E$6,1,0)</f>
        <v>1</v>
      </c>
      <c r="AL8" s="69" t="n">
        <f aca="false">IF(AL$5&gt;=Assumptions!$E$6,1,0)</f>
        <v>1</v>
      </c>
      <c r="AM8" s="69"/>
    </row>
    <row r="9" customFormat="false" ht="15" hidden="false" customHeight="false" outlineLevel="0" collapsed="false">
      <c r="A9" s="10" t="s">
        <v>724</v>
      </c>
      <c r="B9" s="9" t="s">
        <v>723</v>
      </c>
      <c r="C9" s="69" t="n">
        <f aca="false">IF(C$5&gt;=Assumptions!$E$7,1,0)</f>
        <v>0</v>
      </c>
      <c r="D9" s="69" t="n">
        <f aca="false">IF(D$5&gt;=Assumptions!$E$7,1,0)</f>
        <v>0</v>
      </c>
      <c r="E9" s="69" t="n">
        <f aca="false">IF(E$5&gt;=Assumptions!$E$7,1,0)</f>
        <v>0</v>
      </c>
      <c r="F9" s="69" t="n">
        <f aca="false">IF(F$5&gt;=Assumptions!$E$7,1,0)</f>
        <v>0</v>
      </c>
      <c r="G9" s="69" t="n">
        <f aca="false">IF(G$5&gt;=Assumptions!$E$7,1,0)</f>
        <v>0</v>
      </c>
      <c r="H9" s="69" t="n">
        <f aca="false">IF(H$5&gt;=Assumptions!$E$7,1,0)</f>
        <v>0</v>
      </c>
      <c r="I9" s="69" t="n">
        <f aca="false">IF(I$5&gt;=Assumptions!$E$7,1,0)</f>
        <v>1</v>
      </c>
      <c r="J9" s="69" t="n">
        <f aca="false">IF(J$5&gt;=Assumptions!$E$7,1,0)</f>
        <v>1</v>
      </c>
      <c r="K9" s="69" t="n">
        <f aca="false">IF(K$5&gt;=Assumptions!$E$7,1,0)</f>
        <v>1</v>
      </c>
      <c r="L9" s="69" t="n">
        <f aca="false">IF(L$5&gt;=Assumptions!$E$7,1,0)</f>
        <v>1</v>
      </c>
      <c r="M9" s="69" t="n">
        <f aca="false">IF(M$5&gt;=Assumptions!$E$7,1,0)</f>
        <v>1</v>
      </c>
      <c r="N9" s="69" t="n">
        <f aca="false">IF(N$5&gt;=Assumptions!$E$7,1,0)</f>
        <v>1</v>
      </c>
      <c r="O9" s="69" t="n">
        <f aca="false">IF(O$5&gt;=Assumptions!$E$7,1,0)</f>
        <v>1</v>
      </c>
      <c r="P9" s="69" t="n">
        <f aca="false">IF(P$5&gt;=Assumptions!$E$7,1,0)</f>
        <v>1</v>
      </c>
      <c r="Q9" s="69" t="n">
        <f aca="false">IF(Q$5&gt;=Assumptions!$E$7,1,0)</f>
        <v>1</v>
      </c>
      <c r="R9" s="69" t="n">
        <f aca="false">IF(R$5&gt;=Assumptions!$E$7,1,0)</f>
        <v>1</v>
      </c>
      <c r="S9" s="69" t="n">
        <f aca="false">IF(S$5&gt;=Assumptions!$E$7,1,0)</f>
        <v>1</v>
      </c>
      <c r="T9" s="69" t="n">
        <f aca="false">IF(T$5&gt;=Assumptions!$E$7,1,0)</f>
        <v>1</v>
      </c>
      <c r="U9" s="69" t="n">
        <f aca="false">IF(U$5&gt;=Assumptions!$E$7,1,0)</f>
        <v>1</v>
      </c>
      <c r="V9" s="69" t="n">
        <f aca="false">IF(V$5&gt;=Assumptions!$E$7,1,0)</f>
        <v>1</v>
      </c>
      <c r="W9" s="69" t="n">
        <f aca="false">IF(W$5&gt;=Assumptions!$E$7,1,0)</f>
        <v>1</v>
      </c>
      <c r="X9" s="69" t="n">
        <f aca="false">IF(X$5&gt;=Assumptions!$E$7,1,0)</f>
        <v>1</v>
      </c>
      <c r="Y9" s="69" t="n">
        <f aca="false">IF(Y$5&gt;=Assumptions!$E$7,1,0)</f>
        <v>1</v>
      </c>
      <c r="Z9" s="69" t="n">
        <f aca="false">IF(Z$5&gt;=Assumptions!$E$7,1,0)</f>
        <v>1</v>
      </c>
      <c r="AA9" s="69" t="n">
        <f aca="false">IF(AA$5&gt;=Assumptions!$E$7,1,0)</f>
        <v>1</v>
      </c>
      <c r="AB9" s="69" t="n">
        <f aca="false">IF(AB$5&gt;=Assumptions!$E$7,1,0)</f>
        <v>1</v>
      </c>
      <c r="AC9" s="69" t="n">
        <f aca="false">IF(AC$5&gt;=Assumptions!$E$7,1,0)</f>
        <v>1</v>
      </c>
      <c r="AD9" s="69" t="n">
        <f aca="false">IF(AD$5&gt;=Assumptions!$E$7,1,0)</f>
        <v>1</v>
      </c>
      <c r="AE9" s="69" t="n">
        <f aca="false">IF(AE$5&gt;=Assumptions!$E$7,1,0)</f>
        <v>1</v>
      </c>
      <c r="AF9" s="69" t="n">
        <f aca="false">IF(AF$5&gt;=Assumptions!$E$7,1,0)</f>
        <v>1</v>
      </c>
      <c r="AG9" s="69" t="n">
        <f aca="false">IF(AG$5&gt;=Assumptions!$E$7,1,0)</f>
        <v>1</v>
      </c>
      <c r="AH9" s="69" t="n">
        <f aca="false">IF(AH$5&gt;=Assumptions!$E$7,1,0)</f>
        <v>1</v>
      </c>
      <c r="AI9" s="69" t="n">
        <f aca="false">IF(AI$5&gt;=Assumptions!$E$7,1,0)</f>
        <v>1</v>
      </c>
      <c r="AJ9" s="69" t="n">
        <f aca="false">IF(AJ$5&gt;=Assumptions!$E$7,1,0)</f>
        <v>1</v>
      </c>
      <c r="AK9" s="69" t="n">
        <f aca="false">IF(AK$5&gt;=Assumptions!$E$7,1,0)</f>
        <v>1</v>
      </c>
      <c r="AL9" s="69" t="n">
        <f aca="false">IF(AL$5&gt;=Assumptions!$E$7,1,0)</f>
        <v>1</v>
      </c>
      <c r="AM9" s="69"/>
    </row>
    <row r="10" customFormat="false" ht="15" hidden="false" customHeight="false" outlineLevel="0" collapsed="false">
      <c r="A10" s="10" t="s">
        <v>725</v>
      </c>
      <c r="B10" s="9" t="s">
        <v>49</v>
      </c>
      <c r="C10" s="69" t="n">
        <f aca="false">MAX(0,C$5-Assumptions!$E$6)</f>
        <v>0</v>
      </c>
      <c r="D10" s="69" t="n">
        <f aca="false">MAX(0,D$5-Assumptions!$E$6)</f>
        <v>0</v>
      </c>
      <c r="E10" s="69" t="n">
        <f aca="false">MAX(0,E$5-Assumptions!$E$6)</f>
        <v>1</v>
      </c>
      <c r="F10" s="69" t="n">
        <f aca="false">MAX(0,F$5-Assumptions!$E$6)</f>
        <v>2</v>
      </c>
      <c r="G10" s="69" t="n">
        <f aca="false">MAX(0,G$5-Assumptions!$E$6)</f>
        <v>3</v>
      </c>
      <c r="H10" s="69" t="n">
        <f aca="false">MAX(0,H$5-Assumptions!$E$6)</f>
        <v>4</v>
      </c>
      <c r="I10" s="69" t="n">
        <f aca="false">MAX(0,I$5-Assumptions!$E$6)</f>
        <v>5</v>
      </c>
      <c r="J10" s="69" t="n">
        <f aca="false">MAX(0,J$5-Assumptions!$E$6)</f>
        <v>6</v>
      </c>
      <c r="K10" s="69" t="n">
        <f aca="false">MAX(0,K$5-Assumptions!$E$6)</f>
        <v>7</v>
      </c>
      <c r="L10" s="69" t="n">
        <f aca="false">MAX(0,L$5-Assumptions!$E$6)</f>
        <v>8</v>
      </c>
      <c r="M10" s="69" t="n">
        <f aca="false">MAX(0,M$5-Assumptions!$E$6)</f>
        <v>9</v>
      </c>
      <c r="N10" s="69" t="n">
        <f aca="false">MAX(0,N$5-Assumptions!$E$6)</f>
        <v>10</v>
      </c>
      <c r="O10" s="69" t="n">
        <f aca="false">MAX(0,O$5-Assumptions!$E$6)</f>
        <v>11</v>
      </c>
      <c r="P10" s="69" t="n">
        <f aca="false">MAX(0,P$5-Assumptions!$E$6)</f>
        <v>12</v>
      </c>
      <c r="Q10" s="69" t="n">
        <f aca="false">MAX(0,Q$5-Assumptions!$E$6)</f>
        <v>13</v>
      </c>
      <c r="R10" s="69" t="n">
        <f aca="false">MAX(0,R$5-Assumptions!$E$6)</f>
        <v>14</v>
      </c>
      <c r="S10" s="69" t="n">
        <f aca="false">MAX(0,S$5-Assumptions!$E$6)</f>
        <v>15</v>
      </c>
      <c r="T10" s="69" t="n">
        <f aca="false">MAX(0,T$5-Assumptions!$E$6)</f>
        <v>16</v>
      </c>
      <c r="U10" s="69" t="n">
        <f aca="false">MAX(0,U$5-Assumptions!$E$6)</f>
        <v>17</v>
      </c>
      <c r="V10" s="69" t="n">
        <f aca="false">MAX(0,V$5-Assumptions!$E$6)</f>
        <v>18</v>
      </c>
      <c r="W10" s="69" t="n">
        <f aca="false">MAX(0,W$5-Assumptions!$E$6)</f>
        <v>19</v>
      </c>
      <c r="X10" s="69" t="n">
        <f aca="false">MAX(0,X$5-Assumptions!$E$6)</f>
        <v>20</v>
      </c>
      <c r="Y10" s="69" t="n">
        <f aca="false">MAX(0,Y$5-Assumptions!$E$6)</f>
        <v>21</v>
      </c>
      <c r="Z10" s="69" t="n">
        <f aca="false">MAX(0,Z$5-Assumptions!$E$6)</f>
        <v>22</v>
      </c>
      <c r="AA10" s="69" t="n">
        <f aca="false">MAX(0,AA$5-Assumptions!$E$6)</f>
        <v>23</v>
      </c>
      <c r="AB10" s="69" t="n">
        <f aca="false">MAX(0,AB$5-Assumptions!$E$6)</f>
        <v>24</v>
      </c>
      <c r="AC10" s="69" t="n">
        <f aca="false">MAX(0,AC$5-Assumptions!$E$6)</f>
        <v>25</v>
      </c>
      <c r="AD10" s="69" t="n">
        <f aca="false">MAX(0,AD$5-Assumptions!$E$6)</f>
        <v>26</v>
      </c>
      <c r="AE10" s="69" t="n">
        <f aca="false">MAX(0,AE$5-Assumptions!$E$6)</f>
        <v>27</v>
      </c>
      <c r="AF10" s="69" t="n">
        <f aca="false">MAX(0,AF$5-Assumptions!$E$6)</f>
        <v>28</v>
      </c>
      <c r="AG10" s="69" t="n">
        <f aca="false">MAX(0,AG$5-Assumptions!$E$6)</f>
        <v>29</v>
      </c>
      <c r="AH10" s="69" t="n">
        <f aca="false">MAX(0,AH$5-Assumptions!$E$6)</f>
        <v>30</v>
      </c>
      <c r="AI10" s="69" t="n">
        <f aca="false">MAX(0,AI$5-Assumptions!$E$6)</f>
        <v>31</v>
      </c>
      <c r="AJ10" s="69" t="n">
        <f aca="false">MAX(0,AJ$5-Assumptions!$E$6)</f>
        <v>32</v>
      </c>
      <c r="AK10" s="69" t="n">
        <f aca="false">MAX(0,AK$5-Assumptions!$E$6)</f>
        <v>33</v>
      </c>
      <c r="AL10" s="69" t="n">
        <f aca="false">MAX(0,AL$5-Assumptions!$E$6)</f>
        <v>34</v>
      </c>
      <c r="AM10" s="69"/>
    </row>
    <row r="11" customFormat="false" ht="15" hidden="false" customHeight="false" outlineLevel="0" collapsed="false">
      <c r="A11" s="10" t="s">
        <v>726</v>
      </c>
      <c r="B11" s="9" t="s">
        <v>82</v>
      </c>
      <c r="C11" s="61" t="n">
        <f aca="false">Assumptions!$E$9*Assumptions!$E$10*Assumptions!$E$11*Assumptions!$E$12</f>
        <v>46032</v>
      </c>
      <c r="D11" s="61" t="n">
        <f aca="false">Assumptions!$E$9*Assumptions!$E$10*Assumptions!$E$11*Assumptions!$E$12</f>
        <v>46032</v>
      </c>
      <c r="E11" s="61" t="n">
        <f aca="false">Assumptions!$E$9*Assumptions!$E$10*Assumptions!$E$11*Assumptions!$E$12</f>
        <v>46032</v>
      </c>
      <c r="F11" s="61" t="n">
        <f aca="false">Assumptions!$E$9*Assumptions!$E$10*Assumptions!$E$11*Assumptions!$E$12</f>
        <v>46032</v>
      </c>
      <c r="G11" s="61" t="n">
        <f aca="false">Assumptions!$E$9*Assumptions!$E$10*Assumptions!$E$11*Assumptions!$E$12</f>
        <v>46032</v>
      </c>
      <c r="H11" s="61" t="n">
        <f aca="false">Assumptions!$E$9*Assumptions!$E$10*Assumptions!$E$11*Assumptions!$E$12</f>
        <v>46032</v>
      </c>
      <c r="I11" s="61" t="n">
        <f aca="false">Assumptions!$E$9*Assumptions!$E$10*Assumptions!$E$11*Assumptions!$E$12</f>
        <v>46032</v>
      </c>
      <c r="J11" s="61" t="n">
        <f aca="false">Assumptions!$E$9*Assumptions!$E$10*Assumptions!$E$11*Assumptions!$E$12</f>
        <v>46032</v>
      </c>
      <c r="K11" s="61" t="n">
        <f aca="false">Assumptions!$E$9*Assumptions!$E$10*Assumptions!$E$11*Assumptions!$E$12</f>
        <v>46032</v>
      </c>
      <c r="L11" s="61" t="n">
        <f aca="false">Assumptions!$E$9*Assumptions!$E$10*Assumptions!$E$11*Assumptions!$E$12</f>
        <v>46032</v>
      </c>
      <c r="M11" s="61" t="n">
        <f aca="false">Assumptions!$E$9*Assumptions!$E$10*Assumptions!$E$11*Assumptions!$E$12</f>
        <v>46032</v>
      </c>
      <c r="N11" s="61" t="n">
        <f aca="false">Assumptions!$E$9*Assumptions!$E$10*Assumptions!$E$11*Assumptions!$E$12</f>
        <v>46032</v>
      </c>
      <c r="O11" s="61" t="n">
        <f aca="false">Assumptions!$E$9*Assumptions!$E$10*Assumptions!$E$11*Assumptions!$E$12</f>
        <v>46032</v>
      </c>
      <c r="P11" s="61" t="n">
        <f aca="false">Assumptions!$E$9*Assumptions!$E$10*Assumptions!$E$11*Assumptions!$E$12</f>
        <v>46032</v>
      </c>
      <c r="Q11" s="61" t="n">
        <f aca="false">Assumptions!$E$9*Assumptions!$E$10*Assumptions!$E$11*Assumptions!$E$12</f>
        <v>46032</v>
      </c>
      <c r="R11" s="61" t="n">
        <f aca="false">Assumptions!$E$9*Assumptions!$E$10*Assumptions!$E$11*Assumptions!$E$12</f>
        <v>46032</v>
      </c>
      <c r="S11" s="61" t="n">
        <f aca="false">Assumptions!$E$9*Assumptions!$E$10*Assumptions!$E$11*Assumptions!$E$12</f>
        <v>46032</v>
      </c>
      <c r="T11" s="61" t="n">
        <f aca="false">Assumptions!$E$9*Assumptions!$E$10*Assumptions!$E$11*Assumptions!$E$12</f>
        <v>46032</v>
      </c>
      <c r="U11" s="61" t="n">
        <f aca="false">Assumptions!$E$9*Assumptions!$E$10*Assumptions!$E$11*Assumptions!$E$12</f>
        <v>46032</v>
      </c>
      <c r="V11" s="61" t="n">
        <f aca="false">Assumptions!$E$9*Assumptions!$E$10*Assumptions!$E$11*Assumptions!$E$12</f>
        <v>46032</v>
      </c>
      <c r="W11" s="61" t="n">
        <f aca="false">Assumptions!$E$9*Assumptions!$E$10*Assumptions!$E$11*Assumptions!$E$12</f>
        <v>46032</v>
      </c>
      <c r="X11" s="61" t="n">
        <f aca="false">Assumptions!$E$9*Assumptions!$E$10*Assumptions!$E$11*Assumptions!$E$12</f>
        <v>46032</v>
      </c>
      <c r="Y11" s="61" t="n">
        <f aca="false">Assumptions!$E$9*Assumptions!$E$10*Assumptions!$E$11*Assumptions!$E$12</f>
        <v>46032</v>
      </c>
      <c r="Z11" s="61" t="n">
        <f aca="false">Assumptions!$E$9*Assumptions!$E$10*Assumptions!$E$11*Assumptions!$E$12</f>
        <v>46032</v>
      </c>
      <c r="AA11" s="61" t="n">
        <f aca="false">Assumptions!$E$9*Assumptions!$E$10*Assumptions!$E$11*Assumptions!$E$12</f>
        <v>46032</v>
      </c>
      <c r="AB11" s="61" t="n">
        <f aca="false">Assumptions!$E$9*Assumptions!$E$10*Assumptions!$E$11*Assumptions!$E$12</f>
        <v>46032</v>
      </c>
      <c r="AC11" s="61" t="n">
        <f aca="false">Assumptions!$E$9*Assumptions!$E$10*Assumptions!$E$11*Assumptions!$E$12</f>
        <v>46032</v>
      </c>
      <c r="AD11" s="61" t="n">
        <f aca="false">Assumptions!$E$9*Assumptions!$E$10*Assumptions!$E$11*Assumptions!$E$12</f>
        <v>46032</v>
      </c>
      <c r="AE11" s="61" t="n">
        <f aca="false">Assumptions!$E$9*Assumptions!$E$10*Assumptions!$E$11*Assumptions!$E$12</f>
        <v>46032</v>
      </c>
      <c r="AF11" s="61" t="n">
        <f aca="false">Assumptions!$E$9*Assumptions!$E$10*Assumptions!$E$11*Assumptions!$E$12</f>
        <v>46032</v>
      </c>
      <c r="AG11" s="61" t="n">
        <f aca="false">Assumptions!$E$9*Assumptions!$E$10*Assumptions!$E$11*Assumptions!$E$12</f>
        <v>46032</v>
      </c>
      <c r="AH11" s="61" t="n">
        <f aca="false">Assumptions!$E$9*Assumptions!$E$10*Assumptions!$E$11*Assumptions!$E$12</f>
        <v>46032</v>
      </c>
      <c r="AI11" s="61" t="n">
        <f aca="false">Assumptions!$E$9*Assumptions!$E$10*Assumptions!$E$11*Assumptions!$E$12</f>
        <v>46032</v>
      </c>
      <c r="AJ11" s="61" t="n">
        <f aca="false">Assumptions!$E$9*Assumptions!$E$10*Assumptions!$E$11*Assumptions!$E$12</f>
        <v>46032</v>
      </c>
      <c r="AK11" s="61" t="n">
        <f aca="false">Assumptions!$E$9*Assumptions!$E$10*Assumptions!$E$11*Assumptions!$E$12</f>
        <v>46032</v>
      </c>
      <c r="AL11" s="61" t="n">
        <f aca="false">Assumptions!$E$9*Assumptions!$E$10*Assumptions!$E$11*Assumptions!$E$12</f>
        <v>46032</v>
      </c>
      <c r="AM11" s="61"/>
    </row>
    <row r="12" customFormat="false" ht="15" hidden="false" customHeight="false" outlineLevel="0" collapsed="false">
      <c r="A12" s="10" t="s">
        <v>727</v>
      </c>
      <c r="B12" s="9" t="s">
        <v>76</v>
      </c>
      <c r="C12" s="57" t="n">
        <f aca="false">IF(C8=0,0,IF(C10=0,Assumptions!$E$15,Assumptions!$E$14+(1-Assumptions!$E$14)*Assumptions!$E$13^C10))</f>
        <v>0</v>
      </c>
      <c r="D12" s="57" t="n">
        <f aca="false">IF(D8=0,0,IF(D10=0,Assumptions!$E$15,Assumptions!$E$14+(1-Assumptions!$E$14)*Assumptions!$E$13^D10))</f>
        <v>2.2</v>
      </c>
      <c r="E12" s="57" t="n">
        <f aca="false">IF(E8=0,0,IF(E10=0,Assumptions!$E$15,Assumptions!$E$14+(1-Assumptions!$E$14)*Assumptions!$E$13^E10))</f>
        <v>0.872</v>
      </c>
      <c r="F12" s="57" t="n">
        <f aca="false">IF(F8=0,0,IF(F10=0,Assumptions!$E$15,Assumptions!$E$14+(1-Assumptions!$E$14)*Assumptions!$E$13^F10))</f>
        <v>0.7696</v>
      </c>
      <c r="G12" s="57" t="n">
        <f aca="false">IF(G8=0,0,IF(G10=0,Assumptions!$E$15,Assumptions!$E$14+(1-Assumptions!$E$14)*Assumptions!$E$13^G10))</f>
        <v>0.68768</v>
      </c>
      <c r="H12" s="57" t="n">
        <f aca="false">IF(H8=0,0,IF(H10=0,Assumptions!$E$15,Assumptions!$E$14+(1-Assumptions!$E$14)*Assumptions!$E$13^H10))</f>
        <v>0.622144</v>
      </c>
      <c r="I12" s="57" t="n">
        <f aca="false">IF(I8=0,0,IF(I10=0,Assumptions!$E$15,Assumptions!$E$14+(1-Assumptions!$E$14)*Assumptions!$E$13^I10))</f>
        <v>0.5697152</v>
      </c>
      <c r="J12" s="57" t="n">
        <f aca="false">IF(J8=0,0,IF(J10=0,Assumptions!$E$15,Assumptions!$E$14+(1-Assumptions!$E$14)*Assumptions!$E$13^J10))</f>
        <v>0.52777216</v>
      </c>
      <c r="K12" s="57" t="n">
        <f aca="false">IF(K8=0,0,IF(K10=0,Assumptions!$E$15,Assumptions!$E$14+(1-Assumptions!$E$14)*Assumptions!$E$13^K10))</f>
        <v>0.494217728</v>
      </c>
      <c r="L12" s="57" t="n">
        <f aca="false">IF(L8=0,0,IF(L10=0,Assumptions!$E$15,Assumptions!$E$14+(1-Assumptions!$E$14)*Assumptions!$E$13^L10))</f>
        <v>0.4673741824</v>
      </c>
      <c r="M12" s="57" t="n">
        <f aca="false">IF(M8=0,0,IF(M10=0,Assumptions!$E$15,Assumptions!$E$14+(1-Assumptions!$E$14)*Assumptions!$E$13^M10))</f>
        <v>0.44589934592</v>
      </c>
      <c r="N12" s="57" t="n">
        <f aca="false">IF(N8=0,0,IF(N10=0,Assumptions!$E$15,Assumptions!$E$14+(1-Assumptions!$E$14)*Assumptions!$E$13^N10))</f>
        <v>0.428719476736</v>
      </c>
      <c r="O12" s="57" t="n">
        <f aca="false">IF(O8=0,0,IF(O10=0,Assumptions!$E$15,Assumptions!$E$14+(1-Assumptions!$E$14)*Assumptions!$E$13^O10))</f>
        <v>0.4149755813888</v>
      </c>
      <c r="P12" s="57" t="n">
        <f aca="false">IF(P8=0,0,IF(P10=0,Assumptions!$E$15,Assumptions!$E$14+(1-Assumptions!$E$14)*Assumptions!$E$13^P10))</f>
        <v>0.40398046511104</v>
      </c>
      <c r="Q12" s="57" t="n">
        <f aca="false">IF(Q8=0,0,IF(Q10=0,Assumptions!$E$15,Assumptions!$E$14+(1-Assumptions!$E$14)*Assumptions!$E$13^Q10))</f>
        <v>0.395184372088832</v>
      </c>
      <c r="R12" s="57" t="n">
        <f aca="false">IF(R8=0,0,IF(R10=0,Assumptions!$E$15,Assumptions!$E$14+(1-Assumptions!$E$14)*Assumptions!$E$13^R10))</f>
        <v>0.388147497671066</v>
      </c>
      <c r="S12" s="57" t="n">
        <f aca="false">IF(S8=0,0,IF(S10=0,Assumptions!$E$15,Assumptions!$E$14+(1-Assumptions!$E$14)*Assumptions!$E$13^S10))</f>
        <v>0.382517998136853</v>
      </c>
      <c r="T12" s="57" t="n">
        <f aca="false">IF(T8=0,0,IF(T10=0,Assumptions!$E$15,Assumptions!$E$14+(1-Assumptions!$E$14)*Assumptions!$E$13^T10))</f>
        <v>0.378014398509482</v>
      </c>
      <c r="U12" s="57" t="n">
        <f aca="false">IF(U8=0,0,IF(U10=0,Assumptions!$E$15,Assumptions!$E$14+(1-Assumptions!$E$14)*Assumptions!$E$13^U10))</f>
        <v>0.374411518807586</v>
      </c>
      <c r="V12" s="57" t="n">
        <f aca="false">IF(V8=0,0,IF(V10=0,Assumptions!$E$15,Assumptions!$E$14+(1-Assumptions!$E$14)*Assumptions!$E$13^V10))</f>
        <v>0.371529215046068</v>
      </c>
      <c r="W12" s="57" t="n">
        <f aca="false">IF(W8=0,0,IF(W10=0,Assumptions!$E$15,Assumptions!$E$14+(1-Assumptions!$E$14)*Assumptions!$E$13^W10))</f>
        <v>0.369223372036855</v>
      </c>
      <c r="X12" s="57" t="n">
        <f aca="false">IF(X8=0,0,IF(X10=0,Assumptions!$E$15,Assumptions!$E$14+(1-Assumptions!$E$14)*Assumptions!$E$13^X10))</f>
        <v>0.367378697629484</v>
      </c>
      <c r="Y12" s="57" t="n">
        <f aca="false">IF(Y8=0,0,IF(Y10=0,Assumptions!$E$15,Assumptions!$E$14+(1-Assumptions!$E$14)*Assumptions!$E$13^Y10))</f>
        <v>0.365902958103587</v>
      </c>
      <c r="Z12" s="57" t="n">
        <f aca="false">IF(Z8=0,0,IF(Z10=0,Assumptions!$E$15,Assumptions!$E$14+(1-Assumptions!$E$14)*Assumptions!$E$13^Z10))</f>
        <v>0.36472236648287</v>
      </c>
      <c r="AA12" s="57" t="n">
        <f aca="false">IF(AA8=0,0,IF(AA10=0,Assumptions!$E$15,Assumptions!$E$14+(1-Assumptions!$E$14)*Assumptions!$E$13^AA10))</f>
        <v>0.363777893186296</v>
      </c>
      <c r="AB12" s="57" t="n">
        <f aca="false">IF(AB8=0,0,IF(AB10=0,Assumptions!$E$15,Assumptions!$E$14+(1-Assumptions!$E$14)*Assumptions!$E$13^AB10))</f>
        <v>0.363022314549037</v>
      </c>
      <c r="AC12" s="57" t="n">
        <f aca="false">IF(AC8=0,0,IF(AC10=0,Assumptions!$E$15,Assumptions!$E$14+(1-Assumptions!$E$14)*Assumptions!$E$13^AC10))</f>
        <v>0.362417851639229</v>
      </c>
      <c r="AD12" s="57" t="n">
        <f aca="false">IF(AD8=0,0,IF(AD10=0,Assumptions!$E$15,Assumptions!$E$14+(1-Assumptions!$E$14)*Assumptions!$E$13^AD10))</f>
        <v>0.361934281311383</v>
      </c>
      <c r="AE12" s="57" t="n">
        <f aca="false">IF(AE8=0,0,IF(AE10=0,Assumptions!$E$15,Assumptions!$E$14+(1-Assumptions!$E$14)*Assumptions!$E$13^AE10))</f>
        <v>0.361547425049107</v>
      </c>
      <c r="AF12" s="57" t="n">
        <f aca="false">IF(AF8=0,0,IF(AF10=0,Assumptions!$E$15,Assumptions!$E$14+(1-Assumptions!$E$14)*Assumptions!$E$13^AF10))</f>
        <v>0.361237940039285</v>
      </c>
      <c r="AG12" s="57" t="n">
        <f aca="false">IF(AG8=0,0,IF(AG10=0,Assumptions!$E$15,Assumptions!$E$14+(1-Assumptions!$E$14)*Assumptions!$E$13^AG10))</f>
        <v>0.360990352031428</v>
      </c>
      <c r="AH12" s="57" t="n">
        <f aca="false">IF(AH8=0,0,IF(AH10=0,Assumptions!$E$15,Assumptions!$E$14+(1-Assumptions!$E$14)*Assumptions!$E$13^AH10))</f>
        <v>0.360792281625143</v>
      </c>
      <c r="AI12" s="57" t="n">
        <f aca="false">IF(AI8=0,0,IF(AI10=0,Assumptions!$E$15,Assumptions!$E$14+(1-Assumptions!$E$14)*Assumptions!$E$13^AI10))</f>
        <v>0.360633825300114</v>
      </c>
      <c r="AJ12" s="57" t="n">
        <f aca="false">IF(AJ8=0,0,IF(AJ10=0,Assumptions!$E$15,Assumptions!$E$14+(1-Assumptions!$E$14)*Assumptions!$E$13^AJ10))</f>
        <v>0.360507060240091</v>
      </c>
      <c r="AK12" s="57" t="n">
        <f aca="false">IF(AK8=0,0,IF(AK10=0,Assumptions!$E$15,Assumptions!$E$14+(1-Assumptions!$E$14)*Assumptions!$E$13^AK10))</f>
        <v>0.360405648192073</v>
      </c>
      <c r="AL12" s="57" t="n">
        <f aca="false">IF(AL8=0,0,IF(AL10=0,Assumptions!$E$15,Assumptions!$E$14+(1-Assumptions!$E$14)*Assumptions!$E$13^AL10))</f>
        <v>0.360324518553658</v>
      </c>
      <c r="AM12" s="57"/>
    </row>
    <row r="13" customFormat="false" ht="15" hidden="false" customHeight="false" outlineLevel="0" collapsed="false">
      <c r="A13" s="10" t="s">
        <v>728</v>
      </c>
      <c r="B13" s="9" t="s">
        <v>82</v>
      </c>
      <c r="C13" s="61" t="n">
        <f aca="false">C11*C12</f>
        <v>0</v>
      </c>
      <c r="D13" s="61" t="n">
        <f aca="false">D11*D12</f>
        <v>101270.4</v>
      </c>
      <c r="E13" s="61" t="n">
        <f aca="false">E11*E12</f>
        <v>40139.904</v>
      </c>
      <c r="F13" s="61" t="n">
        <f aca="false">F11*F12</f>
        <v>35426.2272</v>
      </c>
      <c r="G13" s="61" t="n">
        <f aca="false">G11*G12</f>
        <v>31655.28576</v>
      </c>
      <c r="H13" s="61" t="n">
        <f aca="false">H11*H12</f>
        <v>28638.532608</v>
      </c>
      <c r="I13" s="61" t="n">
        <f aca="false">I11*I12</f>
        <v>26225.1300864</v>
      </c>
      <c r="J13" s="61" t="n">
        <f aca="false">J11*J12</f>
        <v>24294.40806912</v>
      </c>
      <c r="K13" s="61" t="n">
        <f aca="false">K11*K12</f>
        <v>22749.830455296</v>
      </c>
      <c r="L13" s="61" t="n">
        <f aca="false">L11*L12</f>
        <v>21514.1683642368</v>
      </c>
      <c r="M13" s="61" t="n">
        <f aca="false">M11*M12</f>
        <v>20525.6386913894</v>
      </c>
      <c r="N13" s="61" t="n">
        <f aca="false">N11*N12</f>
        <v>19734.8149531116</v>
      </c>
      <c r="O13" s="61" t="n">
        <f aca="false">O11*O12</f>
        <v>19102.1559624892</v>
      </c>
      <c r="P13" s="61" t="n">
        <f aca="false">P11*P12</f>
        <v>18596.0287699914</v>
      </c>
      <c r="Q13" s="61" t="n">
        <f aca="false">Q11*Q12</f>
        <v>18191.1270159931</v>
      </c>
      <c r="R13" s="61" t="n">
        <f aca="false">R11*R12</f>
        <v>17867.2056127945</v>
      </c>
      <c r="S13" s="61" t="n">
        <f aca="false">S11*S12</f>
        <v>17608.0684902356</v>
      </c>
      <c r="T13" s="61" t="n">
        <f aca="false">T11*T12</f>
        <v>17400.7587921885</v>
      </c>
      <c r="U13" s="61" t="n">
        <f aca="false">U11*U12</f>
        <v>17234.9110337508</v>
      </c>
      <c r="V13" s="61" t="n">
        <f aca="false">V11*V12</f>
        <v>17102.2328270006</v>
      </c>
      <c r="W13" s="61" t="n">
        <f aca="false">W11*W12</f>
        <v>16996.0902616005</v>
      </c>
      <c r="X13" s="61" t="n">
        <f aca="false">X11*X12</f>
        <v>16911.1762092804</v>
      </c>
      <c r="Y13" s="61" t="n">
        <f aca="false">Y11*Y12</f>
        <v>16843.2449674243</v>
      </c>
      <c r="Z13" s="61" t="n">
        <f aca="false">Z11*Z12</f>
        <v>16788.8999739395</v>
      </c>
      <c r="AA13" s="61" t="n">
        <f aca="false">AA11*AA12</f>
        <v>16745.4239791516</v>
      </c>
      <c r="AB13" s="61" t="n">
        <f aca="false">AB11*AB12</f>
        <v>16710.6431833213</v>
      </c>
      <c r="AC13" s="61" t="n">
        <f aca="false">AC11*AC12</f>
        <v>16682.818546657</v>
      </c>
      <c r="AD13" s="61" t="n">
        <f aca="false">AD11*AD12</f>
        <v>16660.5588373256</v>
      </c>
      <c r="AE13" s="61" t="n">
        <f aca="false">AE11*AE12</f>
        <v>16642.7510698605</v>
      </c>
      <c r="AF13" s="61" t="n">
        <f aca="false">AF11*AF12</f>
        <v>16628.5048558884</v>
      </c>
      <c r="AG13" s="61" t="n">
        <f aca="false">AG11*AG12</f>
        <v>16617.1078847107</v>
      </c>
      <c r="AH13" s="61" t="n">
        <f aca="false">AH11*AH12</f>
        <v>16607.9903077686</v>
      </c>
      <c r="AI13" s="61" t="n">
        <f aca="false">AI11*AI12</f>
        <v>16600.6962462149</v>
      </c>
      <c r="AJ13" s="61" t="n">
        <f aca="false">AJ11*AJ12</f>
        <v>16594.8609969719</v>
      </c>
      <c r="AK13" s="61" t="n">
        <f aca="false">AK11*AK12</f>
        <v>16590.1927975775</v>
      </c>
      <c r="AL13" s="61" t="n">
        <f aca="false">AL11*AL12</f>
        <v>16586.458238062</v>
      </c>
      <c r="AM13" s="61" t="n">
        <f aca="false">SUM(C13:AL13)</f>
        <v>782484.247047752</v>
      </c>
    </row>
    <row r="14" customFormat="false" ht="15" hidden="false" customHeight="false" outlineLevel="0" collapsed="false">
      <c r="A14" s="10" t="s">
        <v>729</v>
      </c>
      <c r="B14" s="9" t="s">
        <v>730</v>
      </c>
      <c r="C14" s="61" t="n">
        <f aca="false">Assumptions!$E$9*Assumptions!$E$10*Assumptions!$E$11*C12</f>
        <v>0</v>
      </c>
      <c r="D14" s="61" t="n">
        <f aca="false">Assumptions!$E$9*Assumptions!$E$10*Assumptions!$E$11*D12</f>
        <v>16878400</v>
      </c>
      <c r="E14" s="61" t="n">
        <f aca="false">Assumptions!$E$9*Assumptions!$E$10*Assumptions!$E$11*E12</f>
        <v>6689984</v>
      </c>
      <c r="F14" s="61" t="n">
        <f aca="false">Assumptions!$E$9*Assumptions!$E$10*Assumptions!$E$11*F12</f>
        <v>5904371.2</v>
      </c>
      <c r="G14" s="61" t="n">
        <f aca="false">Assumptions!$E$9*Assumptions!$E$10*Assumptions!$E$11*G12</f>
        <v>5275880.96</v>
      </c>
      <c r="H14" s="61" t="n">
        <f aca="false">Assumptions!$E$9*Assumptions!$E$10*Assumptions!$E$11*H12</f>
        <v>4773088.768</v>
      </c>
      <c r="I14" s="61" t="n">
        <f aca="false">Assumptions!$E$9*Assumptions!$E$10*Assumptions!$E$11*I12</f>
        <v>4370855.0144</v>
      </c>
      <c r="J14" s="61" t="n">
        <f aca="false">Assumptions!$E$9*Assumptions!$E$10*Assumptions!$E$11*J12</f>
        <v>4049068.01152</v>
      </c>
      <c r="K14" s="61" t="n">
        <f aca="false">Assumptions!$E$9*Assumptions!$E$10*Assumptions!$E$11*K12</f>
        <v>3791638.409216</v>
      </c>
      <c r="L14" s="61" t="n">
        <f aca="false">Assumptions!$E$9*Assumptions!$E$10*Assumptions!$E$11*L12</f>
        <v>3585694.7273728</v>
      </c>
      <c r="M14" s="61" t="n">
        <f aca="false">Assumptions!$E$9*Assumptions!$E$10*Assumptions!$E$11*M12</f>
        <v>3420939.78189824</v>
      </c>
      <c r="N14" s="61" t="n">
        <f aca="false">Assumptions!$E$9*Assumptions!$E$10*Assumptions!$E$11*N12</f>
        <v>3289135.82551859</v>
      </c>
      <c r="O14" s="61" t="n">
        <f aca="false">Assumptions!$E$9*Assumptions!$E$10*Assumptions!$E$11*O12</f>
        <v>3183692.66041487</v>
      </c>
      <c r="P14" s="61" t="n">
        <f aca="false">Assumptions!$E$9*Assumptions!$E$10*Assumptions!$E$11*P12</f>
        <v>3099338.1283319</v>
      </c>
      <c r="Q14" s="61" t="n">
        <f aca="false">Assumptions!$E$9*Assumptions!$E$10*Assumptions!$E$11*Q12</f>
        <v>3031854.50266552</v>
      </c>
      <c r="R14" s="61" t="n">
        <f aca="false">Assumptions!$E$9*Assumptions!$E$10*Assumptions!$E$11*R12</f>
        <v>2977867.60213242</v>
      </c>
      <c r="S14" s="61" t="n">
        <f aca="false">Assumptions!$E$9*Assumptions!$E$10*Assumptions!$E$11*S12</f>
        <v>2934678.08170593</v>
      </c>
      <c r="T14" s="61" t="n">
        <f aca="false">Assumptions!$E$9*Assumptions!$E$10*Assumptions!$E$11*T12</f>
        <v>2900126.46536475</v>
      </c>
      <c r="U14" s="61" t="n">
        <f aca="false">Assumptions!$E$9*Assumptions!$E$10*Assumptions!$E$11*U12</f>
        <v>2872485.1722918</v>
      </c>
      <c r="V14" s="61" t="n">
        <f aca="false">Assumptions!$E$9*Assumptions!$E$10*Assumptions!$E$11*V12</f>
        <v>2850372.13783344</v>
      </c>
      <c r="W14" s="61" t="n">
        <f aca="false">Assumptions!$E$9*Assumptions!$E$10*Assumptions!$E$11*W12</f>
        <v>2832681.71026675</v>
      </c>
      <c r="X14" s="61" t="n">
        <f aca="false">Assumptions!$E$9*Assumptions!$E$10*Assumptions!$E$11*X12</f>
        <v>2818529.3682134</v>
      </c>
      <c r="Y14" s="61" t="n">
        <f aca="false">Assumptions!$E$9*Assumptions!$E$10*Assumptions!$E$11*Y12</f>
        <v>2807207.49457072</v>
      </c>
      <c r="Z14" s="61" t="n">
        <f aca="false">Assumptions!$E$9*Assumptions!$E$10*Assumptions!$E$11*Z12</f>
        <v>2798149.99565658</v>
      </c>
      <c r="AA14" s="61" t="n">
        <f aca="false">Assumptions!$E$9*Assumptions!$E$10*Assumptions!$E$11*AA12</f>
        <v>2790903.99652526</v>
      </c>
      <c r="AB14" s="61" t="n">
        <f aca="false">Assumptions!$E$9*Assumptions!$E$10*Assumptions!$E$11*AB12</f>
        <v>2785107.19722021</v>
      </c>
      <c r="AC14" s="61" t="n">
        <f aca="false">Assumptions!$E$9*Assumptions!$E$10*Assumptions!$E$11*AC12</f>
        <v>2780469.75777617</v>
      </c>
      <c r="AD14" s="61" t="n">
        <f aca="false">Assumptions!$E$9*Assumptions!$E$10*Assumptions!$E$11*AD12</f>
        <v>2776759.80622093</v>
      </c>
      <c r="AE14" s="61" t="n">
        <f aca="false">Assumptions!$E$9*Assumptions!$E$10*Assumptions!$E$11*AE12</f>
        <v>2773791.84497675</v>
      </c>
      <c r="AF14" s="61" t="n">
        <f aca="false">Assumptions!$E$9*Assumptions!$E$10*Assumptions!$E$11*AF12</f>
        <v>2771417.4759814</v>
      </c>
      <c r="AG14" s="61" t="n">
        <f aca="false">Assumptions!$E$9*Assumptions!$E$10*Assumptions!$E$11*AG12</f>
        <v>2769517.98078512</v>
      </c>
      <c r="AH14" s="61" t="n">
        <f aca="false">Assumptions!$E$9*Assumptions!$E$10*Assumptions!$E$11*AH12</f>
        <v>2767998.38462809</v>
      </c>
      <c r="AI14" s="61" t="n">
        <f aca="false">Assumptions!$E$9*Assumptions!$E$10*Assumptions!$E$11*AI12</f>
        <v>2766782.70770248</v>
      </c>
      <c r="AJ14" s="61" t="n">
        <f aca="false">Assumptions!$E$9*Assumptions!$E$10*Assumptions!$E$11*AJ12</f>
        <v>2765810.16616198</v>
      </c>
      <c r="AK14" s="61" t="n">
        <f aca="false">Assumptions!$E$9*Assumptions!$E$10*Assumptions!$E$11*AK12</f>
        <v>2765032.13292959</v>
      </c>
      <c r="AL14" s="61" t="n">
        <f aca="false">Assumptions!$E$9*Assumptions!$E$10*Assumptions!$E$11*AL12</f>
        <v>2764409.70634367</v>
      </c>
      <c r="AM14" s="61" t="n">
        <f aca="false">SUM(C14:AL14)</f>
        <v>130414041.174625</v>
      </c>
    </row>
    <row r="15" customFormat="false" ht="15" hidden="false" customHeight="false" outlineLevel="0" collapsed="false">
      <c r="A15" s="10" t="s">
        <v>731</v>
      </c>
      <c r="B15" s="9" t="s">
        <v>82</v>
      </c>
      <c r="C15" s="61" t="n">
        <f aca="false">MIN(Assumptions!$E$19,Assumptions!$E$17*(1+Assumptions!$E$18)^(C$5-1))</f>
        <v>2200</v>
      </c>
      <c r="D15" s="61" t="n">
        <f aca="false">MIN(Assumptions!$E$19,Assumptions!$E$17*(1+Assumptions!$E$18)^(D$5-1))</f>
        <v>2398</v>
      </c>
      <c r="E15" s="61" t="n">
        <f aca="false">MIN(Assumptions!$E$19,Assumptions!$E$17*(1+Assumptions!$E$18)^(E$5-1))</f>
        <v>2613.82</v>
      </c>
      <c r="F15" s="61" t="n">
        <f aca="false">MIN(Assumptions!$E$19,Assumptions!$E$17*(1+Assumptions!$E$18)^(F$5-1))</f>
        <v>2849.0638</v>
      </c>
      <c r="G15" s="61" t="n">
        <f aca="false">MIN(Assumptions!$E$19,Assumptions!$E$17*(1+Assumptions!$E$18)^(G$5-1))</f>
        <v>3105.479542</v>
      </c>
      <c r="H15" s="61" t="n">
        <f aca="false">MIN(Assumptions!$E$19,Assumptions!$E$17*(1+Assumptions!$E$18)^(H$5-1))</f>
        <v>3384.97270078</v>
      </c>
      <c r="I15" s="61" t="n">
        <f aca="false">MIN(Assumptions!$E$19,Assumptions!$E$17*(1+Assumptions!$E$18)^(I$5-1))</f>
        <v>3689.6202438502</v>
      </c>
      <c r="J15" s="61" t="n">
        <f aca="false">MIN(Assumptions!$E$19,Assumptions!$E$17*(1+Assumptions!$E$18)^(J$5-1))</f>
        <v>4021.68606579672</v>
      </c>
      <c r="K15" s="61" t="n">
        <f aca="false">MIN(Assumptions!$E$19,Assumptions!$E$17*(1+Assumptions!$E$18)^(K$5-1))</f>
        <v>4383.63781171843</v>
      </c>
      <c r="L15" s="61" t="n">
        <f aca="false">MIN(Assumptions!$E$19,Assumptions!$E$17*(1+Assumptions!$E$18)^(L$5-1))</f>
        <v>4778.16521477308</v>
      </c>
      <c r="M15" s="61" t="n">
        <f aca="false">MIN(Assumptions!$E$19,Assumptions!$E$17*(1+Assumptions!$E$18)^(M$5-1))</f>
        <v>5208.20008410266</v>
      </c>
      <c r="N15" s="61" t="n">
        <f aca="false">MIN(Assumptions!$E$19,Assumptions!$E$17*(1+Assumptions!$E$18)^(N$5-1))</f>
        <v>5676.9380916719</v>
      </c>
      <c r="O15" s="61" t="n">
        <f aca="false">MIN(Assumptions!$E$19,Assumptions!$E$17*(1+Assumptions!$E$18)^(O$5-1))</f>
        <v>6187.86251992237</v>
      </c>
      <c r="P15" s="61" t="n">
        <f aca="false">MIN(Assumptions!$E$19,Assumptions!$E$17*(1+Assumptions!$E$18)^(P$5-1))</f>
        <v>6744.77014671539</v>
      </c>
      <c r="Q15" s="61" t="n">
        <f aca="false">MIN(Assumptions!$E$19,Assumptions!$E$17*(1+Assumptions!$E$18)^(Q$5-1))</f>
        <v>7351.79945991977</v>
      </c>
      <c r="R15" s="61" t="n">
        <f aca="false">MIN(Assumptions!$E$19,Assumptions!$E$17*(1+Assumptions!$E$18)^(R$5-1))</f>
        <v>8013.46141131255</v>
      </c>
      <c r="S15" s="61" t="n">
        <f aca="false">MIN(Assumptions!$E$19,Assumptions!$E$17*(1+Assumptions!$E$18)^(S$5-1))</f>
        <v>8734.67293833068</v>
      </c>
      <c r="T15" s="61" t="n">
        <f aca="false">MIN(Assumptions!$E$19,Assumptions!$E$17*(1+Assumptions!$E$18)^(T$5-1))</f>
        <v>9520.79350278045</v>
      </c>
      <c r="U15" s="61" t="n">
        <f aca="false">MIN(Assumptions!$E$19,Assumptions!$E$17*(1+Assumptions!$E$18)^(U$5-1))</f>
        <v>10377.6649180307</v>
      </c>
      <c r="V15" s="61" t="n">
        <f aca="false">MIN(Assumptions!$E$19,Assumptions!$E$17*(1+Assumptions!$E$18)^(V$5-1))</f>
        <v>11311.6547606535</v>
      </c>
      <c r="W15" s="61" t="n">
        <f aca="false">MIN(Assumptions!$E$19,Assumptions!$E$17*(1+Assumptions!$E$18)^(W$5-1))</f>
        <v>12329.7036891123</v>
      </c>
      <c r="X15" s="61" t="n">
        <f aca="false">MIN(Assumptions!$E$19,Assumptions!$E$17*(1+Assumptions!$E$18)^(X$5-1))</f>
        <v>13439.3770211324</v>
      </c>
      <c r="Y15" s="61" t="n">
        <f aca="false">MIN(Assumptions!$E$19,Assumptions!$E$17*(1+Assumptions!$E$18)^(Y$5-1))</f>
        <v>14648.9209530343</v>
      </c>
      <c r="Z15" s="61" t="n">
        <f aca="false">MIN(Assumptions!$E$19,Assumptions!$E$17*(1+Assumptions!$E$18)^(Z$5-1))</f>
        <v>15967.3238388074</v>
      </c>
      <c r="AA15" s="61" t="n">
        <f aca="false">MIN(Assumptions!$E$19,Assumptions!$E$17*(1+Assumptions!$E$18)^(AA$5-1))</f>
        <v>17404.3829843</v>
      </c>
      <c r="AB15" s="61" t="n">
        <f aca="false">MIN(Assumptions!$E$19,Assumptions!$E$17*(1+Assumptions!$E$18)^(AB$5-1))</f>
        <v>18970.777452887</v>
      </c>
      <c r="AC15" s="61" t="n">
        <f aca="false">MIN(Assumptions!$E$19,Assumptions!$E$17*(1+Assumptions!$E$18)^(AC$5-1))</f>
        <v>20678.1474236469</v>
      </c>
      <c r="AD15" s="61" t="n">
        <f aca="false">MIN(Assumptions!$E$19,Assumptions!$E$17*(1+Assumptions!$E$18)^(AD$5-1))</f>
        <v>22539.1806917751</v>
      </c>
      <c r="AE15" s="61" t="n">
        <f aca="false">MIN(Assumptions!$E$19,Assumptions!$E$17*(1+Assumptions!$E$18)^(AE$5-1))</f>
        <v>24567.7069540349</v>
      </c>
      <c r="AF15" s="61" t="n">
        <f aca="false">MIN(Assumptions!$E$19,Assumptions!$E$17*(1+Assumptions!$E$18)^(AF$5-1))</f>
        <v>26778.800579898</v>
      </c>
      <c r="AG15" s="61" t="n">
        <f aca="false">MIN(Assumptions!$E$19,Assumptions!$E$17*(1+Assumptions!$E$18)^(AG$5-1))</f>
        <v>29188.8926320888</v>
      </c>
      <c r="AH15" s="61" t="n">
        <f aca="false">MIN(Assumptions!$E$19,Assumptions!$E$17*(1+Assumptions!$E$18)^(AH$5-1))</f>
        <v>31815.8929689768</v>
      </c>
      <c r="AI15" s="61" t="n">
        <f aca="false">MIN(Assumptions!$E$19,Assumptions!$E$17*(1+Assumptions!$E$18)^(AI$5-1))</f>
        <v>34679.3233361847</v>
      </c>
      <c r="AJ15" s="61" t="n">
        <f aca="false">MIN(Assumptions!$E$19,Assumptions!$E$17*(1+Assumptions!$E$18)^(AJ$5-1))</f>
        <v>37800.4624364413</v>
      </c>
      <c r="AK15" s="61" t="n">
        <f aca="false">MIN(Assumptions!$E$19,Assumptions!$E$17*(1+Assumptions!$E$18)^(AK$5-1))</f>
        <v>41202.5040557211</v>
      </c>
      <c r="AL15" s="61" t="n">
        <f aca="false">MIN(Assumptions!$E$19,Assumptions!$E$17*(1+Assumptions!$E$18)^(AL$5-1))</f>
        <v>44910.729420736</v>
      </c>
      <c r="AM15" s="61" t="n">
        <f aca="false">SUM(C15:AL15)</f>
        <v>519474.389651135</v>
      </c>
    </row>
    <row r="16" customFormat="false" ht="15" hidden="false" customHeight="false" outlineLevel="0" collapsed="false">
      <c r="A16" s="38" t="s">
        <v>732</v>
      </c>
      <c r="B16" s="9" t="s">
        <v>95</v>
      </c>
      <c r="C16" s="53" t="n">
        <f aca="false">Assumptions!$E$20</f>
        <v>8000</v>
      </c>
      <c r="D16" s="53" t="n">
        <f aca="false">IF(D8=0,Assumptions!$E$20,MIN(Assumptions!$E$24,MAX(Assumptions!$E$21,C72*Assumptions!$E$22)))</f>
        <v>30000</v>
      </c>
      <c r="E16" s="53" t="n">
        <f aca="false">IF(E8=0,Assumptions!$E$20,MIN(Assumptions!$E$24,MAX(Assumptions!$E$21,D72*Assumptions!$E$22)))</f>
        <v>30000</v>
      </c>
      <c r="F16" s="53" t="n">
        <f aca="false">IF(F8=0,Assumptions!$E$20,MIN(Assumptions!$E$24,MAX(Assumptions!$E$21,E72*Assumptions!$E$22)))</f>
        <v>34459.9809545037</v>
      </c>
      <c r="G16" s="53" t="n">
        <f aca="false">IF(G8=0,Assumptions!$E$20,MIN(Assumptions!$E$24,MAX(Assumptions!$E$21,F72*Assumptions!$E$22)))</f>
        <v>40158.7723516581</v>
      </c>
      <c r="H16" s="53" t="n">
        <f aca="false">IF(H8=0,Assumptions!$E$20,MIN(Assumptions!$E$24,MAX(Assumptions!$E$21,G72*Assumptions!$E$22)))</f>
        <v>45847.6922300722</v>
      </c>
      <c r="I16" s="53" t="n">
        <f aca="false">IF(I8=0,Assumptions!$E$20,MIN(Assumptions!$E$24,MAX(Assumptions!$E$21,H72*Assumptions!$E$22)))</f>
        <v>51230.1691315433</v>
      </c>
      <c r="J16" s="53" t="n">
        <f aca="false">IF(J8=0,Assumptions!$E$20,MIN(Assumptions!$E$24,MAX(Assumptions!$E$21,I72*Assumptions!$E$22)))</f>
        <v>58580.2216355866</v>
      </c>
      <c r="K16" s="53" t="n">
        <f aca="false">IF(K8=0,Assumptions!$E$20,MIN(Assumptions!$E$24,MAX(Assumptions!$E$21,J72*Assumptions!$E$22)))</f>
        <v>64801.807875909</v>
      </c>
      <c r="L16" s="53" t="n">
        <f aca="false">IF(L8=0,Assumptions!$E$20,MIN(Assumptions!$E$24,MAX(Assumptions!$E$21,K72*Assumptions!$E$22)))</f>
        <v>70680.1986925016</v>
      </c>
      <c r="M16" s="53" t="n">
        <f aca="false">IF(M8=0,Assumptions!$E$20,MIN(Assumptions!$E$24,MAX(Assumptions!$E$21,L72*Assumptions!$E$22)))</f>
        <v>76313.2667182075</v>
      </c>
      <c r="N16" s="53" t="n">
        <f aca="false">IF(N8=0,Assumptions!$E$20,MIN(Assumptions!$E$24,MAX(Assumptions!$E$21,M72*Assumptions!$E$22)))</f>
        <v>81768.2093066355</v>
      </c>
      <c r="O16" s="53" t="n">
        <f aca="false">IF(O8=0,Assumptions!$E$20,MIN(Assumptions!$E$24,MAX(Assumptions!$E$21,N72*Assumptions!$E$22)))</f>
        <v>87096.0134754563</v>
      </c>
      <c r="P16" s="53" t="n">
        <f aca="false">IF(P8=0,Assumptions!$E$20,MIN(Assumptions!$E$24,MAX(Assumptions!$E$21,O72*Assumptions!$E$22)))</f>
        <v>92339.9163750827</v>
      </c>
      <c r="Q16" s="53" t="n">
        <f aca="false">IF(Q8=0,Assumptions!$E$20,MIN(Assumptions!$E$24,MAX(Assumptions!$E$21,P72*Assumptions!$E$22)))</f>
        <v>97537.576313841</v>
      </c>
      <c r="R16" s="53" t="n">
        <f aca="false">IF(R8=0,Assumptions!$E$20,MIN(Assumptions!$E$24,MAX(Assumptions!$E$21,Q72*Assumptions!$E$22)))</f>
        <v>102722.430719668</v>
      </c>
      <c r="S16" s="53" t="n">
        <f aca="false">IF(S8=0,Assumptions!$E$20,MIN(Assumptions!$E$24,MAX(Assumptions!$E$21,R72*Assumptions!$E$22)))</f>
        <v>107924.7353066</v>
      </c>
      <c r="T16" s="53" t="n">
        <f aca="false">IF(T8=0,Assumptions!$E$20,MIN(Assumptions!$E$24,MAX(Assumptions!$E$21,S72*Assumptions!$E$22)))</f>
        <v>113172.420488302</v>
      </c>
      <c r="U16" s="53" t="n">
        <f aca="false">IF(U8=0,Assumptions!$E$20,MIN(Assumptions!$E$24,MAX(Assumptions!$E$21,T72*Assumptions!$E$22)))</f>
        <v>118491.814898821</v>
      </c>
      <c r="V16" s="53" t="n">
        <f aca="false">IF(V8=0,Assumptions!$E$20,MIN(Assumptions!$E$24,MAX(Assumptions!$E$21,U72*Assumptions!$E$22)))</f>
        <v>123908.265946822</v>
      </c>
      <c r="W16" s="53" t="n">
        <f aca="false">IF(W8=0,Assumptions!$E$20,MIN(Assumptions!$E$24,MAX(Assumptions!$E$21,V72*Assumptions!$E$22)))</f>
        <v>129446.679394468</v>
      </c>
      <c r="X16" s="53" t="n">
        <f aca="false">IF(X8=0,Assumptions!$E$20,MIN(Assumptions!$E$24,MAX(Assumptions!$E$21,W72*Assumptions!$E$22)))</f>
        <v>135131.995524772</v>
      </c>
      <c r="Y16" s="53" t="n">
        <f aca="false">IF(Y8=0,Assumptions!$E$20,MIN(Assumptions!$E$24,MAX(Assumptions!$E$21,X72*Assumptions!$E$22)))</f>
        <v>140989.616417943</v>
      </c>
      <c r="Z16" s="53" t="n">
        <f aca="false">IF(Z8=0,Assumptions!$E$20,MIN(Assumptions!$E$24,MAX(Assumptions!$E$21,Y72*Assumptions!$E$22)))</f>
        <v>147045.796544066</v>
      </c>
      <c r="AA16" s="53" t="n">
        <f aca="false">IF(AA8=0,Assumptions!$E$20,MIN(Assumptions!$E$24,MAX(Assumptions!$E$21,Z72*Assumptions!$E$22)))</f>
        <v>153328.007041727</v>
      </c>
      <c r="AB16" s="53" t="n">
        <f aca="false">IF(AB8=0,Assumptions!$E$20,MIN(Assumptions!$E$24,MAX(Assumptions!$E$21,AA72*Assumptions!$E$22)))</f>
        <v>159865.282568646</v>
      </c>
      <c r="AC16" s="53" t="n">
        <f aca="false">IF(AC8=0,Assumptions!$E$20,MIN(Assumptions!$E$24,MAX(Assumptions!$E$21,AB72*Assumptions!$E$22)))</f>
        <v>166520.686948637</v>
      </c>
      <c r="AD16" s="53" t="n">
        <f aca="false">IF(AD8=0,Assumptions!$E$20,MIN(Assumptions!$E$24,MAX(Assumptions!$E$21,AC72*Assumptions!$E$22)))</f>
        <v>173262.541199997</v>
      </c>
      <c r="AE16" s="53" t="n">
        <f aca="false">IF(AE8=0,Assumptions!$E$20,MIN(Assumptions!$E$24,MAX(Assumptions!$E$21,AD72*Assumptions!$E$22)))</f>
        <v>180160.736970036</v>
      </c>
      <c r="AF16" s="53" t="n">
        <f aca="false">IF(AF8=0,Assumptions!$E$20,MIN(Assumptions!$E$24,MAX(Assumptions!$E$21,AE72*Assumptions!$E$22)))</f>
        <v>187249.49761025</v>
      </c>
      <c r="AG16" s="53" t="n">
        <f aca="false">IF(AG8=0,Assumptions!$E$20,MIN(Assumptions!$E$24,MAX(Assumptions!$E$21,AF72*Assumptions!$E$22)))</f>
        <v>194563.766730133</v>
      </c>
      <c r="AH16" s="53" t="n">
        <f aca="false">IF(AH8=0,Assumptions!$E$20,MIN(Assumptions!$E$24,MAX(Assumptions!$E$21,AG72*Assumptions!$E$22)))</f>
        <v>202140.185236845</v>
      </c>
      <c r="AI16" s="53" t="n">
        <f aca="false">IF(AI8=0,Assumptions!$E$20,MIN(Assumptions!$E$24,MAX(Assumptions!$E$21,AH72*Assumptions!$E$22)))</f>
        <v>210017.591783312</v>
      </c>
      <c r="AJ16" s="53" t="n">
        <f aca="false">IF(AJ8=0,Assumptions!$E$20,MIN(Assumptions!$E$24,MAX(Assumptions!$E$21,AI72*Assumptions!$E$22)))</f>
        <v>218237.324897053</v>
      </c>
      <c r="AK16" s="53" t="n">
        <f aca="false">IF(AK8=0,Assumptions!$E$20,MIN(Assumptions!$E$24,MAX(Assumptions!$E$21,AJ72*Assumptions!$E$22)))</f>
        <v>226843.51821289</v>
      </c>
      <c r="AL16" s="53" t="n">
        <f aca="false">IF(AL8=0,Assumptions!$E$20,MIN(Assumptions!$E$24,MAX(Assumptions!$E$21,AK72*Assumptions!$E$22)))</f>
        <v>235883.40766423</v>
      </c>
      <c r="AM16" s="53" t="n">
        <f aca="false">SUM(C16:AL16)</f>
        <v>4295720.12716622</v>
      </c>
    </row>
    <row r="17" customFormat="false" ht="15" hidden="false" customHeight="false" outlineLevel="0" collapsed="false">
      <c r="A17" s="10" t="s">
        <v>733</v>
      </c>
      <c r="B17" s="9" t="s">
        <v>82</v>
      </c>
      <c r="C17" s="61" t="n">
        <f aca="false">(C14*Assumptions!$E$27+C15*Assumptions!$E$28)*Assumptions!$E$29*C8</f>
        <v>0</v>
      </c>
      <c r="D17" s="61" t="n">
        <f aca="false">(D14*Assumptions!$E$27+D15*Assumptions!$E$28)*Assumptions!$E$29*D8</f>
        <v>16581.136</v>
      </c>
      <c r="E17" s="61" t="n">
        <f aca="false">(E14*Assumptions!$E$27+E15*Assumptions!$E$28)*Assumptions!$E$29*E8</f>
        <v>6658.65304</v>
      </c>
      <c r="F17" s="61" t="n">
        <f aca="false">(F14*Assumptions!$E$27+F15*Assumptions!$E$28)*Assumptions!$E$29*F8</f>
        <v>5904.9132376</v>
      </c>
      <c r="G17" s="61" t="n">
        <f aca="false">(G14*Assumptions!$E$27+G15*Assumptions!$E$28)*Assumptions!$E$29*G8</f>
        <v>5305.468872184</v>
      </c>
      <c r="H17" s="61" t="n">
        <f aca="false">(H14*Assumptions!$E$27+H15*Assumptions!$E$28)*Assumptions!$E$29*H8</f>
        <v>4829.78012924056</v>
      </c>
      <c r="I17" s="61" t="n">
        <f aca="false">(I14*Assumptions!$E$27+I15*Assumptions!$E$28)*Assumptions!$E$29*I8</f>
        <v>4453.44389172021</v>
      </c>
      <c r="J17" s="61" t="n">
        <f aca="false">(J14*Assumptions!$E$27+J15*Assumptions!$E$28)*Assumptions!$E$29*J8</f>
        <v>4156.96898665343</v>
      </c>
      <c r="K17" s="61" t="n">
        <f aca="false">(K14*Assumptions!$E$27+K15*Assumptions!$E$28)*Assumptions!$E$29*K8</f>
        <v>3924.79661519496</v>
      </c>
      <c r="L17" s="61" t="n">
        <f aca="false">(L14*Assumptions!$E$27+L15*Assumptions!$E$28)*Assumptions!$E$29*L8</f>
        <v>3744.51695035668</v>
      </c>
      <c r="M17" s="61" t="n">
        <f aca="false">(M14*Assumptions!$E$27+M15*Assumptions!$E$28)*Assumptions!$E$29*M8</f>
        <v>3606.24269172412</v>
      </c>
      <c r="N17" s="61" t="n">
        <f aca="false">(N14*Assumptions!$E$27+N15*Assumptions!$E$28)*Assumptions!$E$29*N8</f>
        <v>3502.10821064757</v>
      </c>
      <c r="O17" s="61" t="n">
        <f aca="false">(O14*Assumptions!$E$27+O15*Assumptions!$E$28)*Assumptions!$E$29*O8</f>
        <v>3425.86919494047</v>
      </c>
      <c r="P17" s="61" t="n">
        <f aca="false">(P14*Assumptions!$E$27+P15*Assumptions!$E$28)*Assumptions!$E$29*P8</f>
        <v>3372.5827227528</v>
      </c>
      <c r="Q17" s="61" t="n">
        <f aca="false">(Q14*Assumptions!$E$27+Q15*Assumptions!$E$28)*Assumptions!$E$29*Q8</f>
        <v>3338.35171201471</v>
      </c>
      <c r="R17" s="61" t="n">
        <f aca="false">(R14*Assumptions!$E$27+R15*Assumptions!$E$28)*Assumptions!$E$29*R8</f>
        <v>3320.12090546736</v>
      </c>
      <c r="S17" s="61" t="n">
        <f aca="false">(S14*Assumptions!$E$27+S15*Assumptions!$E$28)*Assumptions!$E$29*S8</f>
        <v>3315.51412245648</v>
      </c>
      <c r="T17" s="61" t="n">
        <f aca="false">(T14*Assumptions!$E$27+T15*Assumptions!$E$28)*Assumptions!$E$29*T8</f>
        <v>3322.70456587521</v>
      </c>
      <c r="U17" s="61" t="n">
        <f aca="false">(U14*Assumptions!$E$27+U15*Assumptions!$E$28)*Assumptions!$E$29*U8</f>
        <v>3340.3116187221</v>
      </c>
      <c r="V17" s="61" t="n">
        <f aca="false">(V14*Assumptions!$E$27+V15*Assumptions!$E$28)*Assumptions!$E$29*V8</f>
        <v>3367.31888194158</v>
      </c>
      <c r="W17" s="61" t="n">
        <f aca="false">(W14*Assumptions!$E$27+W15*Assumptions!$E$28)*Assumptions!$E$29*W8</f>
        <v>3403.00925934392</v>
      </c>
      <c r="X17" s="61" t="n">
        <f aca="false">(X14*Assumptions!$E$27+X15*Assumptions!$E$28)*Assumptions!$E$29*X8</f>
        <v>3446.91373910695</v>
      </c>
      <c r="Y17" s="61" t="n">
        <f aca="false">(Y14*Assumptions!$E$27+Y15*Assumptions!$E$28)*Assumptions!$E$29*Y8</f>
        <v>3498.77119676424</v>
      </c>
      <c r="Z17" s="61" t="n">
        <f aca="false">(Z14*Assumptions!$E$27+Z15*Assumptions!$E$28)*Assumptions!$E$29*Z8</f>
        <v>3558.49708538315</v>
      </c>
      <c r="AA17" s="61" t="n">
        <f aca="false">(AA14*Assumptions!$E$27+AA15*Assumptions!$E$28)*Assumptions!$E$29*AA8</f>
        <v>3626.15931179573</v>
      </c>
      <c r="AB17" s="61" t="n">
        <f aca="false">(AB14*Assumptions!$E$27+AB15*Assumptions!$E$28)*Assumptions!$E$29*AB8</f>
        <v>3701.95994483983</v>
      </c>
      <c r="AC17" s="61" t="n">
        <f aca="false">(AC14*Assumptions!$E$27+AC15*Assumptions!$E$28)*Assumptions!$E$29*AC8</f>
        <v>3786.2216798614</v>
      </c>
      <c r="AD17" s="61" t="n">
        <f aca="false">(AD14*Assumptions!$E$27+AD15*Assumptions!$E$28)*Assumptions!$E$29*AD8</f>
        <v>3879.37820703772</v>
      </c>
      <c r="AE17" s="61" t="n">
        <f aca="false">(AE14*Assumptions!$E$27+AE15*Assumptions!$E$28)*Assumptions!$E$29*AE8</f>
        <v>3981.96781046214</v>
      </c>
      <c r="AF17" s="61" t="n">
        <f aca="false">(AF14*Assumptions!$E$27+AF15*Assumptions!$E$28)*Assumptions!$E$29*AF8</f>
        <v>4094.62966923656</v>
      </c>
      <c r="AG17" s="61" t="n">
        <f aca="false">(AG14*Assumptions!$E$27+AG15*Assumptions!$E$28)*Assumptions!$E$29*AG8</f>
        <v>4218.10244813411</v>
      </c>
      <c r="AH17" s="61" t="n">
        <f aca="false">(AH14*Assumptions!$E$27+AH15*Assumptions!$E$28)*Assumptions!$E$29*AH8</f>
        <v>4353.22485939919</v>
      </c>
      <c r="AI17" s="61" t="n">
        <f aca="false">(AI14*Assumptions!$E$27+AI15*Assumptions!$E$28)*Assumptions!$E$29*AI8</f>
        <v>4500.93795349152</v>
      </c>
      <c r="AJ17" s="61" t="n">
        <f aca="false">(AJ14*Assumptions!$E$27+AJ15*Assumptions!$E$28)*Assumptions!$E$29*AJ8</f>
        <v>4662.28895870288</v>
      </c>
      <c r="AK17" s="61" t="n">
        <f aca="false">(AK14*Assumptions!$E$27+AK15*Assumptions!$E$28)*Assumptions!$E$29*AK8</f>
        <v>4838.43654050384</v>
      </c>
      <c r="AL17" s="61" t="n">
        <f aca="false">(AL14*Assumptions!$E$27+AL15*Assumptions!$E$28)*Assumptions!$E$29*AL8</f>
        <v>5030.65739356335</v>
      </c>
      <c r="AM17" s="61" t="n">
        <f aca="false">SUM(C17:AL17)</f>
        <v>154051.958407119</v>
      </c>
    </row>
    <row r="18" customFormat="false" ht="15" hidden="false" customHeight="false" outlineLevel="0" collapsed="false">
      <c r="A18" s="10" t="s">
        <v>734</v>
      </c>
      <c r="B18" s="9" t="s">
        <v>95</v>
      </c>
      <c r="C18" s="70" t="n">
        <f aca="false">MIN(C16,C17*Assumptions!$E$30)</f>
        <v>0</v>
      </c>
      <c r="D18" s="70" t="n">
        <f aca="false">MIN(D16,D17*Assumptions!$E$30)</f>
        <v>18239.2496</v>
      </c>
      <c r="E18" s="70" t="n">
        <f aca="false">MIN(E16,E17*Assumptions!$E$30)</f>
        <v>7324.518344</v>
      </c>
      <c r="F18" s="70" t="n">
        <f aca="false">MIN(F16,F17*Assumptions!$E$30)</f>
        <v>6495.40456136</v>
      </c>
      <c r="G18" s="70" t="n">
        <f aca="false">MIN(G16,G17*Assumptions!$E$30)</f>
        <v>5836.0157594024</v>
      </c>
      <c r="H18" s="70" t="n">
        <f aca="false">MIN(H16,H17*Assumptions!$E$30)</f>
        <v>5312.75814216462</v>
      </c>
      <c r="I18" s="70" t="n">
        <f aca="false">MIN(I16,I17*Assumptions!$E$30)</f>
        <v>4898.78828089223</v>
      </c>
      <c r="J18" s="70" t="n">
        <f aca="false">MIN(J16,J17*Assumptions!$E$30)</f>
        <v>4572.66588531877</v>
      </c>
      <c r="K18" s="70" t="n">
        <f aca="false">MIN(K16,K17*Assumptions!$E$30)</f>
        <v>4317.27627671446</v>
      </c>
      <c r="L18" s="70" t="n">
        <f aca="false">MIN(L16,L17*Assumptions!$E$30)</f>
        <v>4118.96864539235</v>
      </c>
      <c r="M18" s="70" t="n">
        <f aca="false">MIN(M16,M17*Assumptions!$E$30)</f>
        <v>3966.86696089654</v>
      </c>
      <c r="N18" s="70" t="n">
        <f aca="false">MIN(N16,N17*Assumptions!$E$30)</f>
        <v>3852.31903171232</v>
      </c>
      <c r="O18" s="70" t="n">
        <f aca="false">MIN(O16,O17*Assumptions!$E$30)</f>
        <v>3768.45611443451</v>
      </c>
      <c r="P18" s="70" t="n">
        <f aca="false">MIN(P16,P17*Assumptions!$E$30)</f>
        <v>3709.84099502808</v>
      </c>
      <c r="Q18" s="70" t="n">
        <f aca="false">MIN(Q16,Q17*Assumptions!$E$30)</f>
        <v>3672.18688321618</v>
      </c>
      <c r="R18" s="70" t="n">
        <f aca="false">MIN(R16,R17*Assumptions!$E$30)</f>
        <v>3652.13299601409</v>
      </c>
      <c r="S18" s="70" t="n">
        <f aca="false">MIN(S16,S17*Assumptions!$E$30)</f>
        <v>3647.06553470213</v>
      </c>
      <c r="T18" s="70" t="n">
        <f aca="false">MIN(T16,T17*Assumptions!$E$30)</f>
        <v>3654.97502246273</v>
      </c>
      <c r="U18" s="70" t="n">
        <f aca="false">MIN(U16,U17*Assumptions!$E$30)</f>
        <v>3674.34278059431</v>
      </c>
      <c r="V18" s="70" t="n">
        <f aca="false">MIN(V16,V17*Assumptions!$E$30)</f>
        <v>3704.05077013574</v>
      </c>
      <c r="W18" s="70" t="n">
        <f aca="false">MIN(W16,W17*Assumptions!$E$30)</f>
        <v>3743.31018527831</v>
      </c>
      <c r="X18" s="70" t="n">
        <f aca="false">MIN(X16,X17*Assumptions!$E$30)</f>
        <v>3791.60511301764</v>
      </c>
      <c r="Y18" s="70" t="n">
        <f aca="false">MIN(Y16,Y17*Assumptions!$E$30)</f>
        <v>3848.64831644066</v>
      </c>
      <c r="Z18" s="70" t="n">
        <f aca="false">MIN(Z16,Z17*Assumptions!$E$30)</f>
        <v>3914.34679392146</v>
      </c>
      <c r="AA18" s="70" t="n">
        <f aca="false">MIN(AA16,AA17*Assumptions!$E$30)</f>
        <v>3988.77524297531</v>
      </c>
      <c r="AB18" s="70" t="n">
        <f aca="false">MIN(AB16,AB17*Assumptions!$E$30)</f>
        <v>4072.15593932381</v>
      </c>
      <c r="AC18" s="70" t="n">
        <f aca="false">MIN(AC16,AC17*Assumptions!$E$30)</f>
        <v>4164.84384784754</v>
      </c>
      <c r="AD18" s="70" t="n">
        <f aca="false">MIN(AD16,AD17*Assumptions!$E$30)</f>
        <v>4267.31602774149</v>
      </c>
      <c r="AE18" s="70" t="n">
        <f aca="false">MIN(AE16,AE17*Assumptions!$E$30)</f>
        <v>4380.16459150836</v>
      </c>
      <c r="AF18" s="70" t="n">
        <f aca="false">MIN(AF16,AF17*Assumptions!$E$30)</f>
        <v>4504.09263616022</v>
      </c>
      <c r="AG18" s="70" t="n">
        <f aca="false">MIN(AG16,AG17*Assumptions!$E$30)</f>
        <v>4639.91269294752</v>
      </c>
      <c r="AH18" s="70" t="n">
        <f aca="false">MIN(AH16,AH17*Assumptions!$E$30)</f>
        <v>4788.54734533911</v>
      </c>
      <c r="AI18" s="70" t="n">
        <f aca="false">MIN(AI16,AI17*Assumptions!$E$30)</f>
        <v>4951.03174884067</v>
      </c>
      <c r="AJ18" s="70" t="n">
        <f aca="false">MIN(AJ16,AJ17*Assumptions!$E$30)</f>
        <v>5128.51785457317</v>
      </c>
      <c r="AK18" s="70" t="n">
        <f aca="false">MIN(AK16,AK17*Assumptions!$E$30)</f>
        <v>5322.28019455423</v>
      </c>
      <c r="AL18" s="70" t="n">
        <f aca="false">MIN(AL16,AL17*Assumptions!$E$30)</f>
        <v>5533.72313291968</v>
      </c>
      <c r="AM18" s="70" t="n">
        <f aca="false">SUM(C18:AL18)</f>
        <v>169457.154247831</v>
      </c>
    </row>
    <row r="19" customFormat="false" ht="15" hidden="false" customHeight="false" outlineLevel="0" collapsed="false">
      <c r="A19" s="10" t="s">
        <v>735</v>
      </c>
      <c r="B19" s="9" t="s">
        <v>82</v>
      </c>
      <c r="C19" s="61" t="n">
        <f aca="false">C18/Assumptions!$E$30</f>
        <v>0</v>
      </c>
      <c r="D19" s="61" t="n">
        <f aca="false">D18/Assumptions!$E$30</f>
        <v>16581.136</v>
      </c>
      <c r="E19" s="61" t="n">
        <f aca="false">E18/Assumptions!$E$30</f>
        <v>6658.65304</v>
      </c>
      <c r="F19" s="61" t="n">
        <f aca="false">F18/Assumptions!$E$30</f>
        <v>5904.9132376</v>
      </c>
      <c r="G19" s="61" t="n">
        <f aca="false">G18/Assumptions!$E$30</f>
        <v>5305.468872184</v>
      </c>
      <c r="H19" s="61" t="n">
        <f aca="false">H18/Assumptions!$E$30</f>
        <v>4829.78012924056</v>
      </c>
      <c r="I19" s="61" t="n">
        <f aca="false">I18/Assumptions!$E$30</f>
        <v>4453.44389172021</v>
      </c>
      <c r="J19" s="61" t="n">
        <f aca="false">J18/Assumptions!$E$30</f>
        <v>4156.96898665343</v>
      </c>
      <c r="K19" s="61" t="n">
        <f aca="false">K18/Assumptions!$E$30</f>
        <v>3924.79661519496</v>
      </c>
      <c r="L19" s="61" t="n">
        <f aca="false">L18/Assumptions!$E$30</f>
        <v>3744.51695035668</v>
      </c>
      <c r="M19" s="61" t="n">
        <f aca="false">M18/Assumptions!$E$30</f>
        <v>3606.24269172412</v>
      </c>
      <c r="N19" s="61" t="n">
        <f aca="false">N18/Assumptions!$E$30</f>
        <v>3502.10821064757</v>
      </c>
      <c r="O19" s="61" t="n">
        <f aca="false">O18/Assumptions!$E$30</f>
        <v>3425.86919494047</v>
      </c>
      <c r="P19" s="61" t="n">
        <f aca="false">P18/Assumptions!$E$30</f>
        <v>3372.5827227528</v>
      </c>
      <c r="Q19" s="61" t="n">
        <f aca="false">Q18/Assumptions!$E$30</f>
        <v>3338.35171201471</v>
      </c>
      <c r="R19" s="61" t="n">
        <f aca="false">R18/Assumptions!$E$30</f>
        <v>3320.12090546736</v>
      </c>
      <c r="S19" s="61" t="n">
        <f aca="false">S18/Assumptions!$E$30</f>
        <v>3315.51412245648</v>
      </c>
      <c r="T19" s="61" t="n">
        <f aca="false">T18/Assumptions!$E$30</f>
        <v>3322.70456587521</v>
      </c>
      <c r="U19" s="61" t="n">
        <f aca="false">U18/Assumptions!$E$30</f>
        <v>3340.3116187221</v>
      </c>
      <c r="V19" s="61" t="n">
        <f aca="false">V18/Assumptions!$E$30</f>
        <v>3367.31888194158</v>
      </c>
      <c r="W19" s="61" t="n">
        <f aca="false">W18/Assumptions!$E$30</f>
        <v>3403.00925934392</v>
      </c>
      <c r="X19" s="61" t="n">
        <f aca="false">X18/Assumptions!$E$30</f>
        <v>3446.91373910695</v>
      </c>
      <c r="Y19" s="61" t="n">
        <f aca="false">Y18/Assumptions!$E$30</f>
        <v>3498.77119676424</v>
      </c>
      <c r="Z19" s="61" t="n">
        <f aca="false">Z18/Assumptions!$E$30</f>
        <v>3558.49708538315</v>
      </c>
      <c r="AA19" s="61" t="n">
        <f aca="false">AA18/Assumptions!$E$30</f>
        <v>3626.15931179573</v>
      </c>
      <c r="AB19" s="61" t="n">
        <f aca="false">AB18/Assumptions!$E$30</f>
        <v>3701.95994483983</v>
      </c>
      <c r="AC19" s="61" t="n">
        <f aca="false">AC18/Assumptions!$E$30</f>
        <v>3786.2216798614</v>
      </c>
      <c r="AD19" s="61" t="n">
        <f aca="false">AD18/Assumptions!$E$30</f>
        <v>3879.37820703772</v>
      </c>
      <c r="AE19" s="61" t="n">
        <f aca="false">AE18/Assumptions!$E$30</f>
        <v>3981.96781046214</v>
      </c>
      <c r="AF19" s="61" t="n">
        <f aca="false">AF18/Assumptions!$E$30</f>
        <v>4094.62966923656</v>
      </c>
      <c r="AG19" s="61" t="n">
        <f aca="false">AG18/Assumptions!$E$30</f>
        <v>4218.10244813411</v>
      </c>
      <c r="AH19" s="61" t="n">
        <f aca="false">AH18/Assumptions!$E$30</f>
        <v>4353.22485939919</v>
      </c>
      <c r="AI19" s="61" t="n">
        <f aca="false">AI18/Assumptions!$E$30</f>
        <v>4500.93795349152</v>
      </c>
      <c r="AJ19" s="61" t="n">
        <f aca="false">AJ18/Assumptions!$E$30</f>
        <v>4662.28895870288</v>
      </c>
      <c r="AK19" s="61" t="n">
        <f aca="false">AK18/Assumptions!$E$30</f>
        <v>4838.43654050384</v>
      </c>
      <c r="AL19" s="61" t="n">
        <f aca="false">AL18/Assumptions!$E$30</f>
        <v>5030.65739356335</v>
      </c>
      <c r="AM19" s="61" t="n">
        <f aca="false">SUM(C19:AL19)</f>
        <v>154051.958407119</v>
      </c>
    </row>
    <row r="20" customFormat="false" ht="15" hidden="false" customHeight="false" outlineLevel="0" collapsed="false">
      <c r="A20" s="10" t="s">
        <v>736</v>
      </c>
      <c r="B20" s="9" t="s">
        <v>49</v>
      </c>
      <c r="C20" s="61" t="n">
        <f aca="false">C8*(Assumptions!$E$35*C14)</f>
        <v>0</v>
      </c>
      <c r="D20" s="61" t="n">
        <f aca="false">D8*(Assumptions!$E$35*D14+Assumptions!$E$34*C29)</f>
        <v>173250.886651154</v>
      </c>
      <c r="E20" s="61" t="n">
        <f aca="false">E8*(Assumptions!$E$35*E14+Assumptions!$E$34*D29)</f>
        <v>137498.059089655</v>
      </c>
      <c r="F20" s="61" t="n">
        <f aca="false">F8*(Assumptions!$E$35*F14+Assumptions!$E$34*E29)</f>
        <v>94821.564138069</v>
      </c>
      <c r="G20" s="61" t="n">
        <f aca="false">G8*(Assumptions!$E$35*G14+Assumptions!$E$34*F29)</f>
        <v>87665.1750453207</v>
      </c>
      <c r="H20" s="61" t="n">
        <f aca="false">H8*(Assumptions!$E$35*H14+Assumptions!$E$34*G29)</f>
        <v>83200.5176194076</v>
      </c>
      <c r="I20" s="61" t="n">
        <f aca="false">I8*(Assumptions!$E$35*I14+Assumptions!$E$34*H29)</f>
        <v>79375.8597997393</v>
      </c>
      <c r="J20" s="61" t="n">
        <f aca="false">J8*(Assumptions!$E$35*J14+Assumptions!$E$34*I29)</f>
        <v>76180.0242326237</v>
      </c>
      <c r="K20" s="61" t="n">
        <f aca="false">K8*(Assumptions!$E$35*K14+Assumptions!$E$34*J29)</f>
        <v>74223.7949341258</v>
      </c>
      <c r="L20" s="61" t="n">
        <f aca="false">L8*(Assumptions!$E$35*L14+Assumptions!$E$34*K29)</f>
        <v>72695.3549537174</v>
      </c>
      <c r="M20" s="61" t="n">
        <f aca="false">M8*(Assumptions!$E$35*M14+Assumptions!$E$34*L29)</f>
        <v>71658.0147946562</v>
      </c>
      <c r="N20" s="61" t="n">
        <f aca="false">N8*(Assumptions!$E$35*N14+Assumptions!$E$34*M29)</f>
        <v>71047.8775788741</v>
      </c>
      <c r="O20" s="61" t="n">
        <f aca="false">O8*(Assumptions!$E$35*O14+Assumptions!$E$34*N29)</f>
        <v>70797.7099751365</v>
      </c>
      <c r="P20" s="61" t="n">
        <f aca="false">P8*(Assumptions!$E$35*P14+Assumptions!$E$34*O29)</f>
        <v>70848.9698026668</v>
      </c>
      <c r="Q20" s="61" t="n">
        <f aca="false">Q8*(Assumptions!$E$35*Q14+Assumptions!$E$34*P29)</f>
        <v>71153.5781014259</v>
      </c>
      <c r="R20" s="61" t="n">
        <f aca="false">R8*(Assumptions!$E$35*R14+Assumptions!$E$34*Q29)</f>
        <v>71673.0373115571</v>
      </c>
      <c r="S20" s="61" t="n">
        <f aca="false">S8*(Assumptions!$E$35*S14+Assumptions!$E$34*R29)</f>
        <v>72377.1177271607</v>
      </c>
      <c r="T20" s="61" t="n">
        <f aca="false">T8*(Assumptions!$E$35*T14+Assumptions!$E$34*S29)</f>
        <v>73242.5689851329</v>
      </c>
      <c r="U20" s="61" t="n">
        <f aca="false">U8*(Assumptions!$E$35*U14+Assumptions!$E$34*T29)</f>
        <v>74251.9803851815</v>
      </c>
      <c r="V20" s="61" t="n">
        <f aca="false">V8*(Assumptions!$E$35*V14+Assumptions!$E$34*U29)</f>
        <v>75392.8164848812</v>
      </c>
      <c r="W20" s="61" t="n">
        <f aca="false">W8*(Assumptions!$E$35*W14+Assumptions!$E$34*V29)</f>
        <v>76656.6212236437</v>
      </c>
      <c r="X20" s="61" t="n">
        <f aca="false">X8*(Assumptions!$E$35*X14+Assumptions!$E$34*W29)</f>
        <v>78038.3723820272</v>
      </c>
      <c r="Y20" s="61" t="n">
        <f aca="false">Y8*(Assumptions!$E$35*Y14+Assumptions!$E$34*X29)</f>
        <v>79535.9654093175</v>
      </c>
      <c r="Z20" s="61" t="n">
        <f aca="false">Z8*(Assumptions!$E$35*Z14+Assumptions!$E$34*Y29)</f>
        <v>81149.8064646038</v>
      </c>
      <c r="AA20" s="61" t="n">
        <f aca="false">AA8*(Assumptions!$E$35*AA14+Assumptions!$E$34*Z29)</f>
        <v>82882.4967099488</v>
      </c>
      <c r="AB20" s="61" t="n">
        <f aca="false">AB8*(Assumptions!$E$35*AB14+Assumptions!$E$34*AA29)</f>
        <v>84738.5924745609</v>
      </c>
      <c r="AC20" s="61" t="n">
        <f aca="false">AC8*(Assumptions!$E$35*AC14+Assumptions!$E$34*AB29)</f>
        <v>86724.4284327695</v>
      </c>
      <c r="AD20" s="61" t="n">
        <f aca="false">AD8*(Assumptions!$E$35*AD14+Assumptions!$E$34*AC29)</f>
        <v>88822.5129737756</v>
      </c>
      <c r="AE20" s="61" t="n">
        <f aca="false">AE8*(Assumptions!$E$35*AE14+Assumptions!$E$34*AD29)</f>
        <v>91031.419957494</v>
      </c>
      <c r="AF20" s="61" t="n">
        <f aca="false">AF8*(Assumptions!$E$35*AF14+Assumptions!$E$34*AE29)</f>
        <v>93367.4882420226</v>
      </c>
      <c r="AG20" s="61" t="n">
        <f aca="false">AG8*(Assumptions!$E$35*AG14+Assumptions!$E$34*AF29)</f>
        <v>95843.9916751074</v>
      </c>
      <c r="AH20" s="61" t="n">
        <f aca="false">AH8*(Assumptions!$E$35*AH14+Assumptions!$E$34*AG29)</f>
        <v>98475.0000747866</v>
      </c>
      <c r="AI20" s="61" t="n">
        <f aca="false">AI8*(Assumptions!$E$35*AI14+Assumptions!$E$34*AH29)</f>
        <v>101275.848552963</v>
      </c>
      <c r="AJ20" s="61" t="n">
        <f aca="false">AJ8*(Assumptions!$E$35*AJ14+Assumptions!$E$34*AI29)</f>
        <v>104263.269748831</v>
      </c>
      <c r="AK20" s="61" t="n">
        <f aca="false">AK8*(Assumptions!$E$35*AK14+Assumptions!$E$34*AJ29)</f>
        <v>107455.482339711</v>
      </c>
      <c r="AL20" s="61" t="n">
        <f aca="false">AL8*(Assumptions!$E$35*AL14+Assumptions!$E$34*AK29)</f>
        <v>110872.287641096</v>
      </c>
      <c r="AM20" s="61" t="n">
        <f aca="false">AL20</f>
        <v>110872.287641096</v>
      </c>
    </row>
    <row r="21" customFormat="false" ht="15" hidden="false" customHeight="false" outlineLevel="0" collapsed="false">
      <c r="A21" s="10" t="s">
        <v>737</v>
      </c>
      <c r="B21" s="9" t="s">
        <v>82</v>
      </c>
      <c r="C21" s="61" t="n">
        <f aca="false">C20*Assumptions!$E$36</f>
        <v>0</v>
      </c>
      <c r="D21" s="61" t="n">
        <f aca="false">D20*Assumptions!$E$36</f>
        <v>43312.7216627886</v>
      </c>
      <c r="E21" s="61" t="n">
        <f aca="false">E20*Assumptions!$E$36</f>
        <v>34374.5147724138</v>
      </c>
      <c r="F21" s="61" t="n">
        <f aca="false">F20*Assumptions!$E$36</f>
        <v>23705.3910345172</v>
      </c>
      <c r="G21" s="61" t="n">
        <f aca="false">G20*Assumptions!$E$36</f>
        <v>21916.2937613302</v>
      </c>
      <c r="H21" s="61" t="n">
        <f aca="false">H20*Assumptions!$E$36</f>
        <v>20800.1294048519</v>
      </c>
      <c r="I21" s="61" t="n">
        <f aca="false">I20*Assumptions!$E$36</f>
        <v>19843.9649499348</v>
      </c>
      <c r="J21" s="61" t="n">
        <f aca="false">J20*Assumptions!$E$36</f>
        <v>19045.0060581559</v>
      </c>
      <c r="K21" s="61" t="n">
        <f aca="false">K20*Assumptions!$E$36</f>
        <v>18555.9487335315</v>
      </c>
      <c r="L21" s="61" t="n">
        <f aca="false">L20*Assumptions!$E$36</f>
        <v>18173.8387384293</v>
      </c>
      <c r="M21" s="61" t="n">
        <f aca="false">M20*Assumptions!$E$36</f>
        <v>17914.503698664</v>
      </c>
      <c r="N21" s="61" t="n">
        <f aca="false">N20*Assumptions!$E$36</f>
        <v>17761.9693947185</v>
      </c>
      <c r="O21" s="61" t="n">
        <f aca="false">O20*Assumptions!$E$36</f>
        <v>17699.4274937841</v>
      </c>
      <c r="P21" s="61" t="n">
        <f aca="false">P20*Assumptions!$E$36</f>
        <v>17712.2424506667</v>
      </c>
      <c r="Q21" s="61" t="n">
        <f aca="false">Q20*Assumptions!$E$36</f>
        <v>17788.3945253565</v>
      </c>
      <c r="R21" s="61" t="n">
        <f aca="false">R20*Assumptions!$E$36</f>
        <v>17918.2593278893</v>
      </c>
      <c r="S21" s="61" t="n">
        <f aca="false">S20*Assumptions!$E$36</f>
        <v>18094.2794317902</v>
      </c>
      <c r="T21" s="61" t="n">
        <f aca="false">T20*Assumptions!$E$36</f>
        <v>18310.6422462832</v>
      </c>
      <c r="U21" s="61" t="n">
        <f aca="false">U20*Assumptions!$E$36</f>
        <v>18562.9950962954</v>
      </c>
      <c r="V21" s="61" t="n">
        <f aca="false">V20*Assumptions!$E$36</f>
        <v>18848.2041212203</v>
      </c>
      <c r="W21" s="61" t="n">
        <f aca="false">W20*Assumptions!$E$36</f>
        <v>19164.1553059109</v>
      </c>
      <c r="X21" s="61" t="n">
        <f aca="false">X20*Assumptions!$E$36</f>
        <v>19509.5930955068</v>
      </c>
      <c r="Y21" s="61" t="n">
        <f aca="false">Y20*Assumptions!$E$36</f>
        <v>19883.9913523294</v>
      </c>
      <c r="Z21" s="61" t="n">
        <f aca="false">Z20*Assumptions!$E$36</f>
        <v>20287.4516161509</v>
      </c>
      <c r="AA21" s="61" t="n">
        <f aca="false">AA20*Assumptions!$E$36</f>
        <v>20720.6241774872</v>
      </c>
      <c r="AB21" s="61" t="n">
        <f aca="false">AB20*Assumptions!$E$36</f>
        <v>21184.6481186402</v>
      </c>
      <c r="AC21" s="61" t="n">
        <f aca="false">AC20*Assumptions!$E$36</f>
        <v>21681.1071081924</v>
      </c>
      <c r="AD21" s="61" t="n">
        <f aca="false">AD20*Assumptions!$E$36</f>
        <v>22205.6282434439</v>
      </c>
      <c r="AE21" s="61" t="n">
        <f aca="false">AE20*Assumptions!$E$36</f>
        <v>22757.8549893735</v>
      </c>
      <c r="AF21" s="61" t="n">
        <f aca="false">AF20*Assumptions!$E$36</f>
        <v>23341.8720605057</v>
      </c>
      <c r="AG21" s="61" t="n">
        <f aca="false">AG20*Assumptions!$E$36</f>
        <v>23960.9979187769</v>
      </c>
      <c r="AH21" s="61" t="n">
        <f aca="false">AH20*Assumptions!$E$36</f>
        <v>24618.7500186966</v>
      </c>
      <c r="AI21" s="61" t="n">
        <f aca="false">AI20*Assumptions!$E$36</f>
        <v>25318.9621382406</v>
      </c>
      <c r="AJ21" s="61" t="n">
        <f aca="false">AJ20*Assumptions!$E$36</f>
        <v>26065.8174372076</v>
      </c>
      <c r="AK21" s="61" t="n">
        <f aca="false">AK20*Assumptions!$E$36</f>
        <v>26863.8705849277</v>
      </c>
      <c r="AL21" s="61" t="n">
        <f aca="false">AL20*Assumptions!$E$36</f>
        <v>27718.0719102739</v>
      </c>
      <c r="AM21" s="61" t="n">
        <f aca="false">SUM(C21:AL21)</f>
        <v>765622.122978286</v>
      </c>
    </row>
    <row r="22" customFormat="false" ht="15" hidden="false" customHeight="false" outlineLevel="0" collapsed="false">
      <c r="A22" s="10" t="s">
        <v>738</v>
      </c>
      <c r="B22" s="9" t="s">
        <v>95</v>
      </c>
      <c r="C22" s="70" t="n">
        <f aca="false">MIN(MAX(0,C16-C18),C21*Assumptions!$E$37)</f>
        <v>0</v>
      </c>
      <c r="D22" s="70" t="n">
        <f aca="false">MIN(MAX(0,D16-D18),D21*Assumptions!$E$37)</f>
        <v>11760.7504</v>
      </c>
      <c r="E22" s="70" t="n">
        <f aca="false">MIN(MAX(0,E16-E18),E21*Assumptions!$E$37)</f>
        <v>22675.481656</v>
      </c>
      <c r="F22" s="70" t="n">
        <f aca="false">MIN(MAX(0,F16-F18),F21*Assumptions!$E$37)</f>
        <v>27964.5763931437</v>
      </c>
      <c r="G22" s="70" t="n">
        <f aca="false">MIN(MAX(0,G16-G18),G21*Assumptions!$E$37)</f>
        <v>31778.6259539288</v>
      </c>
      <c r="H22" s="70" t="n">
        <f aca="false">MIN(MAX(0,H16-H18),H21*Assumptions!$E$37)</f>
        <v>30160.1876370352</v>
      </c>
      <c r="I22" s="70" t="n">
        <f aca="false">MIN(MAX(0,I16-I18),I21*Assumptions!$E$37)</f>
        <v>28773.7491774055</v>
      </c>
      <c r="J22" s="70" t="n">
        <f aca="false">MIN(MAX(0,J16-J18),J21*Assumptions!$E$37)</f>
        <v>27615.2587843261</v>
      </c>
      <c r="K22" s="70" t="n">
        <f aca="false">MIN(MAX(0,K16-K18),K21*Assumptions!$E$37)</f>
        <v>26906.1256636206</v>
      </c>
      <c r="L22" s="70" t="n">
        <f aca="false">MIN(MAX(0,L16-L18),L21*Assumptions!$E$37)</f>
        <v>26352.0661707225</v>
      </c>
      <c r="M22" s="70" t="n">
        <f aca="false">MIN(MAX(0,M16-M18),M21*Assumptions!$E$37)</f>
        <v>25976.0303630629</v>
      </c>
      <c r="N22" s="70" t="n">
        <f aca="false">MIN(MAX(0,N16-N18),N21*Assumptions!$E$37)</f>
        <v>25754.8556223418</v>
      </c>
      <c r="O22" s="70" t="n">
        <f aca="false">MIN(MAX(0,O16-O18),O21*Assumptions!$E$37)</f>
        <v>25664.169865987</v>
      </c>
      <c r="P22" s="70" t="n">
        <f aca="false">MIN(MAX(0,P16-P18),P21*Assumptions!$E$37)</f>
        <v>25682.7515534667</v>
      </c>
      <c r="Q22" s="70" t="n">
        <f aca="false">MIN(MAX(0,Q16-Q18),Q21*Assumptions!$E$37)</f>
        <v>25793.1720617669</v>
      </c>
      <c r="R22" s="70" t="n">
        <f aca="false">MIN(MAX(0,R16-R18),R21*Assumptions!$E$37)</f>
        <v>25981.4760254394</v>
      </c>
      <c r="S22" s="70" t="n">
        <f aca="false">MIN(MAX(0,S16-S18),S21*Assumptions!$E$37)</f>
        <v>26236.7051760958</v>
      </c>
      <c r="T22" s="70" t="n">
        <f aca="false">MIN(MAX(0,T16-T18),T21*Assumptions!$E$37)</f>
        <v>26550.4312571107</v>
      </c>
      <c r="U22" s="70" t="n">
        <f aca="false">MIN(MAX(0,U16-U18),U21*Assumptions!$E$37)</f>
        <v>26916.3428896283</v>
      </c>
      <c r="V22" s="70" t="n">
        <f aca="false">MIN(MAX(0,V16-V18),V21*Assumptions!$E$37)</f>
        <v>27329.8959757694</v>
      </c>
      <c r="W22" s="70" t="n">
        <f aca="false">MIN(MAX(0,W16-W18),W21*Assumptions!$E$37)</f>
        <v>27788.0251935708</v>
      </c>
      <c r="X22" s="70" t="n">
        <f aca="false">MIN(MAX(0,X16-X18),X21*Assumptions!$E$37)</f>
        <v>28288.9099884849</v>
      </c>
      <c r="Y22" s="70" t="n">
        <f aca="false">MIN(MAX(0,Y16-Y18),Y21*Assumptions!$E$37)</f>
        <v>28831.7874608776</v>
      </c>
      <c r="Z22" s="70" t="n">
        <f aca="false">MIN(MAX(0,Z16-Z18),Z21*Assumptions!$E$37)</f>
        <v>29416.8048434189</v>
      </c>
      <c r="AA22" s="70" t="n">
        <f aca="false">MIN(MAX(0,AA16-AA18),AA21*Assumptions!$E$37)</f>
        <v>30044.9050573565</v>
      </c>
      <c r="AB22" s="70" t="n">
        <f aca="false">MIN(MAX(0,AB16-AB18),AB21*Assumptions!$E$37)</f>
        <v>30717.7397720283</v>
      </c>
      <c r="AC22" s="70" t="n">
        <f aca="false">MIN(MAX(0,AC16-AC18),AC21*Assumptions!$E$37)</f>
        <v>31437.605306879</v>
      </c>
      <c r="AD22" s="70" t="n">
        <f aca="false">MIN(MAX(0,AD16-AD18),AD21*Assumptions!$E$37)</f>
        <v>32198.1609529937</v>
      </c>
      <c r="AE22" s="70" t="n">
        <f aca="false">MIN(MAX(0,AE16-AE18),AE21*Assumptions!$E$37)</f>
        <v>32998.8897345916</v>
      </c>
      <c r="AF22" s="70" t="n">
        <f aca="false">MIN(MAX(0,AF16-AF18),AF21*Assumptions!$E$37)</f>
        <v>33845.7144877332</v>
      </c>
      <c r="AG22" s="70" t="n">
        <f aca="false">MIN(MAX(0,AG16-AG18),AG21*Assumptions!$E$37)</f>
        <v>34743.4469822264</v>
      </c>
      <c r="AH22" s="70" t="n">
        <f aca="false">MIN(MAX(0,AH16-AH18),AH21*Assumptions!$E$37)</f>
        <v>35697.1875271101</v>
      </c>
      <c r="AI22" s="70" t="n">
        <f aca="false">MIN(MAX(0,AI16-AI18),AI21*Assumptions!$E$37)</f>
        <v>36712.4951004489</v>
      </c>
      <c r="AJ22" s="70" t="n">
        <f aca="false">MIN(MAX(0,AJ16-AJ18),AJ21*Assumptions!$E$37)</f>
        <v>37795.4352839511</v>
      </c>
      <c r="AK22" s="70" t="n">
        <f aca="false">MIN(MAX(0,AK16-AK18),AK21*Assumptions!$E$37)</f>
        <v>38952.6123481451</v>
      </c>
      <c r="AL22" s="70" t="n">
        <f aca="false">MIN(MAX(0,AL16-AL18),AL21*Assumptions!$E$37)</f>
        <v>40191.2042698972</v>
      </c>
      <c r="AM22" s="70" t="n">
        <f aca="false">SUM(C22:AL22)</f>
        <v>1025533.57693656</v>
      </c>
    </row>
    <row r="23" customFormat="false" ht="15" hidden="false" customHeight="false" outlineLevel="0" collapsed="false">
      <c r="A23" s="10" t="s">
        <v>739</v>
      </c>
      <c r="B23" s="9" t="s">
        <v>82</v>
      </c>
      <c r="C23" s="61" t="n">
        <f aca="false">C22/Assumptions!$E$37</f>
        <v>0</v>
      </c>
      <c r="D23" s="61" t="n">
        <f aca="false">D22/Assumptions!$E$37</f>
        <v>8110.86234482758</v>
      </c>
      <c r="E23" s="61" t="n">
        <f aca="false">E22/Assumptions!$E$37</f>
        <v>15638.2632110345</v>
      </c>
      <c r="F23" s="61" t="n">
        <f aca="false">F22/Assumptions!$E$37</f>
        <v>19285.9147538922</v>
      </c>
      <c r="G23" s="61" t="n">
        <f aca="false">G22/Assumptions!$E$37</f>
        <v>21916.2937613302</v>
      </c>
      <c r="H23" s="61" t="n">
        <f aca="false">H22/Assumptions!$E$37</f>
        <v>20800.1294048519</v>
      </c>
      <c r="I23" s="61" t="n">
        <f aca="false">I22/Assumptions!$E$37</f>
        <v>19843.9649499348</v>
      </c>
      <c r="J23" s="61" t="n">
        <f aca="false">J22/Assumptions!$E$37</f>
        <v>19045.0060581559</v>
      </c>
      <c r="K23" s="61" t="n">
        <f aca="false">K22/Assumptions!$E$37</f>
        <v>18555.9487335315</v>
      </c>
      <c r="L23" s="61" t="n">
        <f aca="false">L22/Assumptions!$E$37</f>
        <v>18173.8387384293</v>
      </c>
      <c r="M23" s="61" t="n">
        <f aca="false">M22/Assumptions!$E$37</f>
        <v>17914.503698664</v>
      </c>
      <c r="N23" s="61" t="n">
        <f aca="false">N22/Assumptions!$E$37</f>
        <v>17761.9693947185</v>
      </c>
      <c r="O23" s="61" t="n">
        <f aca="false">O22/Assumptions!$E$37</f>
        <v>17699.4274937841</v>
      </c>
      <c r="P23" s="61" t="n">
        <f aca="false">P22/Assumptions!$E$37</f>
        <v>17712.2424506667</v>
      </c>
      <c r="Q23" s="61" t="n">
        <f aca="false">Q22/Assumptions!$E$37</f>
        <v>17788.3945253565</v>
      </c>
      <c r="R23" s="61" t="n">
        <f aca="false">R22/Assumptions!$E$37</f>
        <v>17918.2593278893</v>
      </c>
      <c r="S23" s="61" t="n">
        <f aca="false">S22/Assumptions!$E$37</f>
        <v>18094.2794317902</v>
      </c>
      <c r="T23" s="61" t="n">
        <f aca="false">T22/Assumptions!$E$37</f>
        <v>18310.6422462832</v>
      </c>
      <c r="U23" s="61" t="n">
        <f aca="false">U22/Assumptions!$E$37</f>
        <v>18562.9950962954</v>
      </c>
      <c r="V23" s="61" t="n">
        <f aca="false">V22/Assumptions!$E$37</f>
        <v>18848.2041212203</v>
      </c>
      <c r="W23" s="61" t="n">
        <f aca="false">W22/Assumptions!$E$37</f>
        <v>19164.1553059109</v>
      </c>
      <c r="X23" s="61" t="n">
        <f aca="false">X22/Assumptions!$E$37</f>
        <v>19509.5930955068</v>
      </c>
      <c r="Y23" s="61" t="n">
        <f aca="false">Y22/Assumptions!$E$37</f>
        <v>19883.9913523294</v>
      </c>
      <c r="Z23" s="61" t="n">
        <f aca="false">Z22/Assumptions!$E$37</f>
        <v>20287.4516161509</v>
      </c>
      <c r="AA23" s="61" t="n">
        <f aca="false">AA22/Assumptions!$E$37</f>
        <v>20720.6241774872</v>
      </c>
      <c r="AB23" s="61" t="n">
        <f aca="false">AB22/Assumptions!$E$37</f>
        <v>21184.6481186402</v>
      </c>
      <c r="AC23" s="61" t="n">
        <f aca="false">AC22/Assumptions!$E$37</f>
        <v>21681.1071081924</v>
      </c>
      <c r="AD23" s="61" t="n">
        <f aca="false">AD22/Assumptions!$E$37</f>
        <v>22205.6282434439</v>
      </c>
      <c r="AE23" s="61" t="n">
        <f aca="false">AE22/Assumptions!$E$37</f>
        <v>22757.8549893735</v>
      </c>
      <c r="AF23" s="61" t="n">
        <f aca="false">AF22/Assumptions!$E$37</f>
        <v>23341.8720605057</v>
      </c>
      <c r="AG23" s="61" t="n">
        <f aca="false">AG22/Assumptions!$E$37</f>
        <v>23960.9979187769</v>
      </c>
      <c r="AH23" s="61" t="n">
        <f aca="false">AH22/Assumptions!$E$37</f>
        <v>24618.7500186966</v>
      </c>
      <c r="AI23" s="61" t="n">
        <f aca="false">AI22/Assumptions!$E$37</f>
        <v>25318.9621382406</v>
      </c>
      <c r="AJ23" s="61" t="n">
        <f aca="false">AJ22/Assumptions!$E$37</f>
        <v>26065.8174372076</v>
      </c>
      <c r="AK23" s="61" t="n">
        <f aca="false">AK22/Assumptions!$E$37</f>
        <v>26863.8705849277</v>
      </c>
      <c r="AL23" s="61" t="n">
        <f aca="false">AL22/Assumptions!$E$37</f>
        <v>27718.0719102739</v>
      </c>
      <c r="AM23" s="61" t="n">
        <f aca="false">SUM(C23:AL23)</f>
        <v>707264.53581832</v>
      </c>
    </row>
    <row r="24" customFormat="false" ht="15" hidden="false" customHeight="false" outlineLevel="0" collapsed="false">
      <c r="A24" s="10" t="s">
        <v>740</v>
      </c>
      <c r="B24" s="9" t="s">
        <v>95</v>
      </c>
      <c r="C24" s="70" t="n">
        <f aca="false">MAX(0,C16-C18-C22)</f>
        <v>8000</v>
      </c>
      <c r="D24" s="70" t="n">
        <f aca="false">MAX(0,D16-D18-D22)</f>
        <v>0</v>
      </c>
      <c r="E24" s="70" t="n">
        <f aca="false">MAX(0,E16-E18-E22)</f>
        <v>0</v>
      </c>
      <c r="F24" s="70" t="n">
        <f aca="false">MAX(0,F16-F18-F22)</f>
        <v>0</v>
      </c>
      <c r="G24" s="70" t="n">
        <f aca="false">MAX(0,G16-G18-G22)</f>
        <v>2544.13063832692</v>
      </c>
      <c r="H24" s="70" t="n">
        <f aca="false">MAX(0,H16-H18-H22)</f>
        <v>10374.7464508723</v>
      </c>
      <c r="I24" s="70" t="n">
        <f aca="false">MAX(0,I16-I18-I22)</f>
        <v>17557.6316732456</v>
      </c>
      <c r="J24" s="70" t="n">
        <f aca="false">MAX(0,J16-J18-J22)</f>
        <v>26392.2969659417</v>
      </c>
      <c r="K24" s="70" t="n">
        <f aca="false">MAX(0,K16-K18-K22)</f>
        <v>33578.4059355739</v>
      </c>
      <c r="L24" s="70" t="n">
        <f aca="false">MAX(0,L16-L18-L22)</f>
        <v>40209.1638763867</v>
      </c>
      <c r="M24" s="70" t="n">
        <f aca="false">MAX(0,M16-M18-M22)</f>
        <v>46370.3693942481</v>
      </c>
      <c r="N24" s="70" t="n">
        <f aca="false">MAX(0,N16-N18-N22)</f>
        <v>52161.0346525813</v>
      </c>
      <c r="O24" s="70" t="n">
        <f aca="false">MAX(0,O16-O18-O22)</f>
        <v>57663.3874950348</v>
      </c>
      <c r="P24" s="70" t="n">
        <f aca="false">MAX(0,P16-P18-P22)</f>
        <v>62947.3238265879</v>
      </c>
      <c r="Q24" s="70" t="n">
        <f aca="false">MAX(0,Q16-Q18-Q22)</f>
        <v>68072.2173688579</v>
      </c>
      <c r="R24" s="70" t="n">
        <f aca="false">MAX(0,R16-R18-R22)</f>
        <v>73088.8216982145</v>
      </c>
      <c r="S24" s="70" t="n">
        <f aca="false">MAX(0,S16-S18-S22)</f>
        <v>78040.9645958018</v>
      </c>
      <c r="T24" s="70" t="n">
        <f aca="false">MAX(0,T16-T18-T22)</f>
        <v>82967.0142087285</v>
      </c>
      <c r="U24" s="70" t="n">
        <f aca="false">MAX(0,U16-U18-U22)</f>
        <v>87901.1292285979</v>
      </c>
      <c r="V24" s="70" t="n">
        <f aca="false">MAX(0,V16-V18-V22)</f>
        <v>92874.3192009166</v>
      </c>
      <c r="W24" s="70" t="n">
        <f aca="false">MAX(0,W16-W18-W22)</f>
        <v>97915.3440156191</v>
      </c>
      <c r="X24" s="70" t="n">
        <f aca="false">MAX(0,X16-X18-X22)</f>
        <v>103051.48042327</v>
      </c>
      <c r="Y24" s="70" t="n">
        <f aca="false">MAX(0,Y16-Y18-Y22)</f>
        <v>108309.180640625</v>
      </c>
      <c r="Z24" s="70" t="n">
        <f aca="false">MAX(0,Z16-Z18-Z22)</f>
        <v>113714.644906726</v>
      </c>
      <c r="AA24" s="70" t="n">
        <f aca="false">MAX(0,AA16-AA18-AA22)</f>
        <v>119294.326741396</v>
      </c>
      <c r="AB24" s="70" t="n">
        <f aca="false">MAX(0,AB16-AB18-AB22)</f>
        <v>125075.386857294</v>
      </c>
      <c r="AC24" s="70" t="n">
        <f aca="false">MAX(0,AC16-AC18-AC22)</f>
        <v>130918.237793911</v>
      </c>
      <c r="AD24" s="70" t="n">
        <f aca="false">MAX(0,AD16-AD18-AD22)</f>
        <v>136797.064219262</v>
      </c>
      <c r="AE24" s="70" t="n">
        <f aca="false">MAX(0,AE16-AE18-AE22)</f>
        <v>142781.682643936</v>
      </c>
      <c r="AF24" s="70" t="n">
        <f aca="false">MAX(0,AF16-AF18-AF22)</f>
        <v>148899.690486357</v>
      </c>
      <c r="AG24" s="70" t="n">
        <f aca="false">MAX(0,AG16-AG18-AG22)</f>
        <v>155180.40705496</v>
      </c>
      <c r="AH24" s="70" t="n">
        <f aca="false">MAX(0,AH16-AH18-AH22)</f>
        <v>161654.450364395</v>
      </c>
      <c r="AI24" s="70" t="n">
        <f aca="false">MAX(0,AI16-AI18-AI22)</f>
        <v>168354.064934022</v>
      </c>
      <c r="AJ24" s="70" t="n">
        <f aca="false">MAX(0,AJ16-AJ18-AJ22)</f>
        <v>175313.371758529</v>
      </c>
      <c r="AK24" s="70" t="n">
        <f aca="false">MAX(0,AK16-AK18-AK22)</f>
        <v>182568.625670191</v>
      </c>
      <c r="AL24" s="70" t="n">
        <f aca="false">MAX(0,AL16-AL18-AL22)</f>
        <v>190158.480261414</v>
      </c>
      <c r="AM24" s="70" t="n">
        <f aca="false">SUM(C24:AL24)</f>
        <v>3100729.39598182</v>
      </c>
    </row>
    <row r="25" customFormat="false" ht="15" hidden="false" customHeight="false" outlineLevel="0" collapsed="false">
      <c r="A25" s="10" t="s">
        <v>741</v>
      </c>
      <c r="B25" s="9" t="s">
        <v>82</v>
      </c>
      <c r="C25" s="61" t="n">
        <f aca="false">(Assumptions!$E$21/(Assumptions!$E$41*Assumptions!$E$42))*(C24/Assumptions!$E$21)^Assumptions!$E$25</f>
        <v>5921.61209300796</v>
      </c>
      <c r="D25" s="61" t="n">
        <f aca="false">(Assumptions!$E$21/(Assumptions!$E$41*Assumptions!$E$42))*(D24/Assumptions!$E$21)^Assumptions!$E$25</f>
        <v>0</v>
      </c>
      <c r="E25" s="61" t="n">
        <f aca="false">(Assumptions!$E$21/(Assumptions!$E$41*Assumptions!$E$42))*(E24/Assumptions!$E$21)^Assumptions!$E$25</f>
        <v>0</v>
      </c>
      <c r="F25" s="61" t="n">
        <f aca="false">(Assumptions!$E$21/(Assumptions!$E$41*Assumptions!$E$42))*(F24/Assumptions!$E$21)^Assumptions!$E$25</f>
        <v>0</v>
      </c>
      <c r="G25" s="61" t="n">
        <f aca="false">(Assumptions!$E$21/(Assumptions!$E$41*Assumptions!$E$42))*(G24/Assumptions!$E$21)^Assumptions!$E$25</f>
        <v>2507.70831795407</v>
      </c>
      <c r="H25" s="61" t="n">
        <f aca="false">(Assumptions!$E$21/(Assumptions!$E$41*Assumptions!$E$42))*(H24/Assumptions!$E$21)^Assumptions!$E$25</f>
        <v>7196.23907665346</v>
      </c>
      <c r="I25" s="61" t="n">
        <f aca="false">(Assumptions!$E$21/(Assumptions!$E$41*Assumptions!$E$42))*(I24/Assumptions!$E$21)^Assumptions!$E$25</f>
        <v>10677.5574052288</v>
      </c>
      <c r="J25" s="61" t="n">
        <f aca="false">(Assumptions!$E$21/(Assumptions!$E$41*Assumptions!$E$42))*(J24/Assumptions!$E$21)^Assumptions!$E$25</f>
        <v>14495.4050783936</v>
      </c>
      <c r="K25" s="61" t="n">
        <f aca="false">(Assumptions!$E$21/(Assumptions!$E$41*Assumptions!$E$42))*(K24/Assumptions!$E$21)^Assumptions!$E$25</f>
        <v>17364.7094387852</v>
      </c>
      <c r="L25" s="61" t="n">
        <f aca="false">(Assumptions!$E$21/(Assumptions!$E$41*Assumptions!$E$42))*(L24/Assumptions!$E$21)^Assumptions!$E$25</f>
        <v>19877.7052334291</v>
      </c>
      <c r="M25" s="61" t="n">
        <f aca="false">(Assumptions!$E$21/(Assumptions!$E$41*Assumptions!$E$42))*(M24/Assumptions!$E$21)^Assumptions!$E$25</f>
        <v>22120.9045135527</v>
      </c>
      <c r="N25" s="61" t="n">
        <f aca="false">(Assumptions!$E$21/(Assumptions!$E$41*Assumptions!$E$42))*(N24/Assumptions!$E$21)^Assumptions!$E$25</f>
        <v>24161.9572971009</v>
      </c>
      <c r="O25" s="61" t="n">
        <f aca="false">(Assumptions!$E$21/(Assumptions!$E$41*Assumptions!$E$42))*(O24/Assumptions!$E$21)^Assumptions!$E$25</f>
        <v>26049.391227678</v>
      </c>
      <c r="P25" s="61" t="n">
        <f aca="false">(Assumptions!$E$21/(Assumptions!$E$41*Assumptions!$E$42))*(P24/Assumptions!$E$21)^Assumptions!$E$25</f>
        <v>27819.8905912751</v>
      </c>
      <c r="Q25" s="61" t="n">
        <f aca="false">(Assumptions!$E$21/(Assumptions!$E$41*Assumptions!$E$42))*(Q24/Assumptions!$E$21)^Assumptions!$E$25</f>
        <v>29501.8932689575</v>
      </c>
      <c r="R25" s="61" t="n">
        <f aca="false">(Assumptions!$E$21/(Assumptions!$E$41*Assumptions!$E$42))*(R24/Assumptions!$E$21)^Assumptions!$E$25</f>
        <v>31117.9289427207</v>
      </c>
      <c r="S25" s="61" t="n">
        <f aca="false">(Assumptions!$E$21/(Assumptions!$E$41*Assumptions!$E$42))*(S24/Assumptions!$E$21)^Assumptions!$E$25</f>
        <v>32686.2001653423</v>
      </c>
      <c r="T25" s="61" t="n">
        <f aca="false">(Assumptions!$E$21/(Assumptions!$E$41*Assumptions!$E$42))*(T24/Assumptions!$E$21)^Assumptions!$E$25</f>
        <v>34221.6984606244</v>
      </c>
      <c r="U25" s="61" t="n">
        <f aca="false">(Assumptions!$E$21/(Assumptions!$E$41*Assumptions!$E$42))*(U24/Assumptions!$E$21)^Assumptions!$E$25</f>
        <v>35737.0175269226</v>
      </c>
      <c r="V25" s="61" t="n">
        <f aca="false">(Assumptions!$E$21/(Assumptions!$E$41*Assumptions!$E$42))*(V24/Assumptions!$E$21)^Assumptions!$E$25</f>
        <v>37242.9605382316</v>
      </c>
      <c r="W25" s="61" t="n">
        <f aca="false">(Assumptions!$E$21/(Assumptions!$E$41*Assumptions!$E$42))*(W24/Assumptions!$E$21)^Assumptions!$E$25</f>
        <v>38749.0027565654</v>
      </c>
      <c r="X25" s="61" t="n">
        <f aca="false">(Assumptions!$E$21/(Assumptions!$E$41*Assumptions!$E$42))*(X24/Assumptions!$E$21)^Assumptions!$E$25</f>
        <v>40263.6498688104</v>
      </c>
      <c r="Y25" s="61" t="n">
        <f aca="false">(Assumptions!$E$21/(Assumptions!$E$41*Assumptions!$E$42))*(Y24/Assumptions!$E$21)^Assumptions!$E$25</f>
        <v>41794.7197268805</v>
      </c>
      <c r="Z25" s="61" t="n">
        <f aca="false">(Assumptions!$E$21/(Assumptions!$E$41*Assumptions!$E$42))*(Z24/Assumptions!$E$21)^Assumptions!$E$25</f>
        <v>43349.5670215304</v>
      </c>
      <c r="AA25" s="61" t="n">
        <f aca="false">(Assumptions!$E$21/(Assumptions!$E$41*Assumptions!$E$42))*(AA24/Assumptions!$E$21)^Assumptions!$E$25</f>
        <v>44935.2650060997</v>
      </c>
      <c r="AB25" s="61" t="n">
        <f aca="false">(Assumptions!$E$21/(Assumptions!$E$41*Assumptions!$E$42))*(AB24/Assumptions!$E$21)^Assumptions!$E$25</f>
        <v>46558.7546730532</v>
      </c>
      <c r="AC25" s="61" t="n">
        <f aca="false">(Assumptions!$E$21/(Assumptions!$E$41*Assumptions!$E$42))*(AC24/Assumptions!$E$21)^Assumptions!$E$25</f>
        <v>48180.6414444901</v>
      </c>
      <c r="AD25" s="61" t="n">
        <f aca="false">(Assumptions!$E$21/(Assumptions!$E$41*Assumptions!$E$42))*(AD24/Assumptions!$E$21)^Assumptions!$E$25</f>
        <v>49794.3476708296</v>
      </c>
      <c r="AE25" s="61" t="n">
        <f aca="false">(Assumptions!$E$21/(Assumptions!$E$41*Assumptions!$E$42))*(AE24/Assumptions!$E$21)^Assumptions!$E$25</f>
        <v>51419.380053012</v>
      </c>
      <c r="AF25" s="61" t="n">
        <f aca="false">(Assumptions!$E$21/(Assumptions!$E$41*Assumptions!$E$42))*(AF24/Assumptions!$E$21)^Assumptions!$E$25</f>
        <v>53063.12350221</v>
      </c>
      <c r="AG25" s="61" t="n">
        <f aca="false">(Assumptions!$E$21/(Assumptions!$E$41*Assumptions!$E$42))*(AG24/Assumptions!$E$21)^Assumptions!$E$25</f>
        <v>54733.1104408452</v>
      </c>
      <c r="AH25" s="61" t="n">
        <f aca="false">(Assumptions!$E$21/(Assumptions!$E$41*Assumptions!$E$42))*(AH24/Assumptions!$E$21)^Assumptions!$E$25</f>
        <v>56436.9081650456</v>
      </c>
      <c r="AI25" s="61" t="n">
        <f aca="false">(Assumptions!$E$21/(Assumptions!$E$41*Assumptions!$E$42))*(AI24/Assumptions!$E$21)^Assumptions!$E$25</f>
        <v>58182.2041207969</v>
      </c>
      <c r="AJ25" s="61" t="n">
        <f aca="false">(Assumptions!$E$21/(Assumptions!$E$41*Assumptions!$E$42))*(AJ24/Assumptions!$E$21)^Assumptions!$E$25</f>
        <v>59976.8629168849</v>
      </c>
      <c r="AK25" s="61" t="n">
        <f aca="false">(Assumptions!$E$21/(Assumptions!$E$41*Assumptions!$E$42))*(AK24/Assumptions!$E$21)^Assumptions!$E$25</f>
        <v>61828.9788897407</v>
      </c>
      <c r="AL25" s="61" t="n">
        <f aca="false">(Assumptions!$E$21/(Assumptions!$E$41*Assumptions!$E$42))*(AL24/Assumptions!$E$21)^Assumptions!$E$25</f>
        <v>63746.9246390032</v>
      </c>
      <c r="AM25" s="61" t="n">
        <f aca="false">SUM(C25:AL25)</f>
        <v>1191714.22007166</v>
      </c>
    </row>
    <row r="26" customFormat="false" ht="15" hidden="false" customHeight="false" outlineLevel="0" collapsed="false">
      <c r="A26" s="38" t="s">
        <v>742</v>
      </c>
      <c r="B26" s="9" t="s">
        <v>95</v>
      </c>
      <c r="C26" s="53" t="n">
        <f aca="false">C18+C22+C24</f>
        <v>8000</v>
      </c>
      <c r="D26" s="53" t="n">
        <f aca="false">D18+D22+D24</f>
        <v>30000</v>
      </c>
      <c r="E26" s="53" t="n">
        <f aca="false">E18+E22+E24</f>
        <v>30000</v>
      </c>
      <c r="F26" s="53" t="n">
        <f aca="false">F18+F22+F24</f>
        <v>34459.9809545037</v>
      </c>
      <c r="G26" s="53" t="n">
        <f aca="false">G18+G22+G24</f>
        <v>40158.7723516581</v>
      </c>
      <c r="H26" s="53" t="n">
        <f aca="false">H18+H22+H24</f>
        <v>45847.6922300722</v>
      </c>
      <c r="I26" s="53" t="n">
        <f aca="false">I18+I22+I24</f>
        <v>51230.1691315433</v>
      </c>
      <c r="J26" s="53" t="n">
        <f aca="false">J18+J22+J24</f>
        <v>58580.2216355866</v>
      </c>
      <c r="K26" s="53" t="n">
        <f aca="false">K18+K22+K24</f>
        <v>64801.807875909</v>
      </c>
      <c r="L26" s="53" t="n">
        <f aca="false">L18+L22+L24</f>
        <v>70680.1986925016</v>
      </c>
      <c r="M26" s="53" t="n">
        <f aca="false">M18+M22+M24</f>
        <v>76313.2667182075</v>
      </c>
      <c r="N26" s="53" t="n">
        <f aca="false">N18+N22+N24</f>
        <v>81768.2093066355</v>
      </c>
      <c r="O26" s="53" t="n">
        <f aca="false">O18+O22+O24</f>
        <v>87096.0134754563</v>
      </c>
      <c r="P26" s="53" t="n">
        <f aca="false">P18+P22+P24</f>
        <v>92339.9163750827</v>
      </c>
      <c r="Q26" s="53" t="n">
        <f aca="false">Q18+Q22+Q24</f>
        <v>97537.576313841</v>
      </c>
      <c r="R26" s="53" t="n">
        <f aca="false">R18+R22+R24</f>
        <v>102722.430719668</v>
      </c>
      <c r="S26" s="53" t="n">
        <f aca="false">S18+S22+S24</f>
        <v>107924.7353066</v>
      </c>
      <c r="T26" s="53" t="n">
        <f aca="false">T18+T22+T24</f>
        <v>113172.420488302</v>
      </c>
      <c r="U26" s="53" t="n">
        <f aca="false">U18+U22+U24</f>
        <v>118491.814898821</v>
      </c>
      <c r="V26" s="53" t="n">
        <f aca="false">V18+V22+V24</f>
        <v>123908.265946822</v>
      </c>
      <c r="W26" s="53" t="n">
        <f aca="false">W18+W22+W24</f>
        <v>129446.679394468</v>
      </c>
      <c r="X26" s="53" t="n">
        <f aca="false">X18+X22+X24</f>
        <v>135131.995524772</v>
      </c>
      <c r="Y26" s="53" t="n">
        <f aca="false">Y18+Y22+Y24</f>
        <v>140989.616417943</v>
      </c>
      <c r="Z26" s="53" t="n">
        <f aca="false">Z18+Z22+Z24</f>
        <v>147045.796544066</v>
      </c>
      <c r="AA26" s="53" t="n">
        <f aca="false">AA18+AA22+AA24</f>
        <v>153328.007041727</v>
      </c>
      <c r="AB26" s="53" t="n">
        <f aca="false">AB18+AB22+AB24</f>
        <v>159865.282568646</v>
      </c>
      <c r="AC26" s="53" t="n">
        <f aca="false">AC18+AC22+AC24</f>
        <v>166520.686948637</v>
      </c>
      <c r="AD26" s="53" t="n">
        <f aca="false">AD18+AD22+AD24</f>
        <v>173262.541199997</v>
      </c>
      <c r="AE26" s="53" t="n">
        <f aca="false">AE18+AE22+AE24</f>
        <v>180160.736970036</v>
      </c>
      <c r="AF26" s="53" t="n">
        <f aca="false">AF18+AF22+AF24</f>
        <v>187249.49761025</v>
      </c>
      <c r="AG26" s="53" t="n">
        <f aca="false">AG18+AG22+AG24</f>
        <v>194563.766730133</v>
      </c>
      <c r="AH26" s="53" t="n">
        <f aca="false">AH18+AH22+AH24</f>
        <v>202140.185236845</v>
      </c>
      <c r="AI26" s="53" t="n">
        <f aca="false">AI18+AI22+AI24</f>
        <v>210017.591783312</v>
      </c>
      <c r="AJ26" s="53" t="n">
        <f aca="false">AJ18+AJ22+AJ24</f>
        <v>218237.324897053</v>
      </c>
      <c r="AK26" s="53" t="n">
        <f aca="false">AK18+AK22+AK24</f>
        <v>226843.51821289</v>
      </c>
      <c r="AL26" s="53" t="n">
        <f aca="false">AL18+AL22+AL24</f>
        <v>235883.40766423</v>
      </c>
      <c r="AM26" s="53" t="n">
        <f aca="false">SUM(C26:AL26)</f>
        <v>4295720.12716622</v>
      </c>
    </row>
    <row r="27" customFormat="false" ht="15" hidden="false" customHeight="false" outlineLevel="0" collapsed="false">
      <c r="A27" s="10" t="s">
        <v>743</v>
      </c>
      <c r="B27" s="9" t="s">
        <v>82</v>
      </c>
      <c r="C27" s="61" t="n">
        <f aca="false">C19+C23+C25</f>
        <v>5921.61209300796</v>
      </c>
      <c r="D27" s="61" t="n">
        <f aca="false">D19+D23+D25</f>
        <v>24691.9983448276</v>
      </c>
      <c r="E27" s="61" t="n">
        <f aca="false">E19+E23+E25</f>
        <v>22296.9162510345</v>
      </c>
      <c r="F27" s="61" t="n">
        <f aca="false">F19+F23+F25</f>
        <v>25190.8279914922</v>
      </c>
      <c r="G27" s="61" t="n">
        <f aca="false">G19+G23+G25</f>
        <v>29729.4709514682</v>
      </c>
      <c r="H27" s="61" t="n">
        <f aca="false">H19+H23+H25</f>
        <v>32826.1486107459</v>
      </c>
      <c r="I27" s="61" t="n">
        <f aca="false">I19+I23+I25</f>
        <v>34974.9662468838</v>
      </c>
      <c r="J27" s="61" t="n">
        <f aca="false">J19+J23+J25</f>
        <v>37697.3801232029</v>
      </c>
      <c r="K27" s="61" t="n">
        <f aca="false">K19+K23+K25</f>
        <v>39845.4547875116</v>
      </c>
      <c r="L27" s="61" t="n">
        <f aca="false">L19+L23+L25</f>
        <v>41796.0609222151</v>
      </c>
      <c r="M27" s="61" t="n">
        <f aca="false">M19+M23+M25</f>
        <v>43641.6509039409</v>
      </c>
      <c r="N27" s="61" t="n">
        <f aca="false">N19+N23+N25</f>
        <v>45426.034902467</v>
      </c>
      <c r="O27" s="61" t="n">
        <f aca="false">O19+O23+O25</f>
        <v>47174.6879164026</v>
      </c>
      <c r="P27" s="61" t="n">
        <f aca="false">P19+P23+P25</f>
        <v>48904.7157646946</v>
      </c>
      <c r="Q27" s="61" t="n">
        <f aca="false">Q19+Q23+Q25</f>
        <v>50628.6395063287</v>
      </c>
      <c r="R27" s="61" t="n">
        <f aca="false">R19+R23+R25</f>
        <v>52356.3091760773</v>
      </c>
      <c r="S27" s="61" t="n">
        <f aca="false">S19+S23+S25</f>
        <v>54095.993719589</v>
      </c>
      <c r="T27" s="61" t="n">
        <f aca="false">T19+T23+T25</f>
        <v>55855.0452727829</v>
      </c>
      <c r="U27" s="61" t="n">
        <f aca="false">U19+U23+U25</f>
        <v>57640.3242419401</v>
      </c>
      <c r="V27" s="61" t="n">
        <f aca="false">V19+V23+V25</f>
        <v>59458.4835413935</v>
      </c>
      <c r="W27" s="61" t="n">
        <f aca="false">W19+W23+W25</f>
        <v>61316.1673218203</v>
      </c>
      <c r="X27" s="61" t="n">
        <f aca="false">X19+X23+X25</f>
        <v>63220.1567034242</v>
      </c>
      <c r="Y27" s="61" t="n">
        <f aca="false">Y19+Y23+Y25</f>
        <v>65177.4822759741</v>
      </c>
      <c r="Z27" s="61" t="n">
        <f aca="false">Z19+Z23+Z25</f>
        <v>67195.5157230645</v>
      </c>
      <c r="AA27" s="61" t="n">
        <f aca="false">AA19+AA23+AA25</f>
        <v>69282.0484953826</v>
      </c>
      <c r="AB27" s="61" t="n">
        <f aca="false">AB19+AB23+AB25</f>
        <v>71445.3627365333</v>
      </c>
      <c r="AC27" s="61" t="n">
        <f aca="false">AC19+AC23+AC25</f>
        <v>73647.9702325439</v>
      </c>
      <c r="AD27" s="61" t="n">
        <f aca="false">AD19+AD23+AD25</f>
        <v>75879.3541213112</v>
      </c>
      <c r="AE27" s="61" t="n">
        <f aca="false">AE19+AE23+AE25</f>
        <v>78159.2028528476</v>
      </c>
      <c r="AF27" s="61" t="n">
        <f aca="false">AF19+AF23+AF25</f>
        <v>80499.6252319522</v>
      </c>
      <c r="AG27" s="61" t="n">
        <f aca="false">AG19+AG23+AG25</f>
        <v>82912.2108077562</v>
      </c>
      <c r="AH27" s="61" t="n">
        <f aca="false">AH19+AH23+AH25</f>
        <v>85408.8830431414</v>
      </c>
      <c r="AI27" s="61" t="n">
        <f aca="false">AI19+AI23+AI25</f>
        <v>88002.104212529</v>
      </c>
      <c r="AJ27" s="61" t="n">
        <f aca="false">AJ19+AJ23+AJ25</f>
        <v>90704.9693127954</v>
      </c>
      <c r="AK27" s="61" t="n">
        <f aca="false">AK19+AK23+AK25</f>
        <v>93531.2860151722</v>
      </c>
      <c r="AL27" s="61" t="n">
        <f aca="false">AL19+AL23+AL25</f>
        <v>96495.6539428405</v>
      </c>
      <c r="AM27" s="61" t="n">
        <f aca="false">SUM(C27:AL27)</f>
        <v>2053030.71429709</v>
      </c>
    </row>
    <row r="28" customFormat="false" ht="15" hidden="false" customHeight="false" outlineLevel="0" collapsed="false">
      <c r="A28" s="10" t="s">
        <v>744</v>
      </c>
      <c r="B28" s="9" t="s">
        <v>95</v>
      </c>
      <c r="C28" s="63" t="n">
        <f aca="false">IFERROR(C26/C27,0)</f>
        <v>1.3509834609812</v>
      </c>
      <c r="D28" s="63" t="n">
        <f aca="false">IFERROR(D26/D27,0)</f>
        <v>1.21496849226399</v>
      </c>
      <c r="E28" s="63" t="n">
        <f aca="false">IFERROR(E26/E27,0)</f>
        <v>1.34547753878782</v>
      </c>
      <c r="F28" s="63" t="n">
        <f aca="false">IFERROR(F26/F27,0)</f>
        <v>1.36795745523498</v>
      </c>
      <c r="G28" s="63" t="n">
        <f aca="false">IFERROR(G26/G27,0)</f>
        <v>1.35080682791884</v>
      </c>
      <c r="H28" s="63" t="n">
        <f aca="false">IFERROR(H26/H27,0)</f>
        <v>1.39668204070287</v>
      </c>
      <c r="I28" s="63" t="n">
        <f aca="false">IFERROR(I26/I27,0)</f>
        <v>1.46476679262293</v>
      </c>
      <c r="J28" s="63" t="n">
        <f aca="false">IFERROR(J26/J27,0)</f>
        <v>1.55396002173451</v>
      </c>
      <c r="K28" s="63" t="n">
        <f aca="false">IFERROR(K26/K27,0)</f>
        <v>1.62632872987609</v>
      </c>
      <c r="L28" s="63" t="n">
        <f aca="false">IFERROR(L26/L27,0)</f>
        <v>1.69107320481807</v>
      </c>
      <c r="M28" s="63" t="n">
        <f aca="false">IFERROR(M26/M27,0)</f>
        <v>1.74863381970081</v>
      </c>
      <c r="N28" s="63" t="n">
        <f aca="false">IFERROR(N26/N27,0)</f>
        <v>1.8000296412002</v>
      </c>
      <c r="O28" s="63" t="n">
        <f aca="false">IFERROR(O26/O27,0)</f>
        <v>1.84624461384456</v>
      </c>
      <c r="P28" s="63" t="n">
        <f aca="false">IFERROR(P26/P27,0)</f>
        <v>1.88815975987626</v>
      </c>
      <c r="Q28" s="63" t="n">
        <f aca="false">IFERROR(Q26/Q27,0)</f>
        <v>1.92652967302525</v>
      </c>
      <c r="R28" s="63" t="n">
        <f aca="false">IFERROR(R26/R27,0)</f>
        <v>1.96198762548763</v>
      </c>
      <c r="S28" s="63" t="n">
        <f aca="false">IFERROR(S26/S27,0)</f>
        <v>1.99505966867041</v>
      </c>
      <c r="T28" s="63" t="n">
        <f aca="false">IFERROR(T26/T27,0)</f>
        <v>2.02618080310551</v>
      </c>
      <c r="U28" s="63" t="n">
        <f aca="false">IFERROR(U26/U27,0)</f>
        <v>2.05571041553239</v>
      </c>
      <c r="V28" s="63" t="n">
        <f aca="false">IFERROR(V26/V27,0)</f>
        <v>2.08394594962315</v>
      </c>
      <c r="W28" s="63" t="n">
        <f aca="false">IFERROR(W26/W27,0)</f>
        <v>2.1111345514318</v>
      </c>
      <c r="X28" s="63" t="n">
        <f aca="false">IFERROR(X26/X27,0)</f>
        <v>2.13748276769857</v>
      </c>
      <c r="Y28" s="63" t="n">
        <f aca="false">IFERROR(Y26/Y27,0)</f>
        <v>2.16316450857929</v>
      </c>
      <c r="Z28" s="63" t="n">
        <f aca="false">IFERROR(Z26/Z27,0)</f>
        <v>2.18832752396889</v>
      </c>
      <c r="AA28" s="63" t="n">
        <f aca="false">IFERROR(AA26/AA27,0)</f>
        <v>2.21309863624985</v>
      </c>
      <c r="AB28" s="63" t="n">
        <f aca="false">IFERROR(AB26/AB27,0)</f>
        <v>2.23758794756458</v>
      </c>
      <c r="AC28" s="63" t="n">
        <f aca="false">IFERROR(AC26/AC27,0)</f>
        <v>2.26103565954156</v>
      </c>
      <c r="AD28" s="63" t="n">
        <f aca="false">IFERROR(AD26/AD27,0)</f>
        <v>2.28339504475744</v>
      </c>
      <c r="AE28" s="63" t="n">
        <f aca="false">IFERROR(AE26/AE27,0)</f>
        <v>2.30504829110437</v>
      </c>
      <c r="AF28" s="63" t="n">
        <f aca="false">IFERROR(AF26/AF27,0)</f>
        <v>2.32609154478308</v>
      </c>
      <c r="AG28" s="63" t="n">
        <f aca="false">IFERROR(AG26/AG27,0)</f>
        <v>2.34662379442827</v>
      </c>
      <c r="AH28" s="63" t="n">
        <f aca="false">IFERROR(AH26/AH27,0)</f>
        <v>2.36673491134102</v>
      </c>
      <c r="AI28" s="63" t="n">
        <f aca="false">IFERROR(AI26/AI27,0)</f>
        <v>2.38650647802818</v>
      </c>
      <c r="AJ28" s="63" t="n">
        <f aca="false">IFERROR(AJ26/AJ27,0)</f>
        <v>2.40601288496624</v>
      </c>
      <c r="AK28" s="63" t="n">
        <f aca="false">IFERROR(AK26/AK27,0)</f>
        <v>2.42532234803328</v>
      </c>
      <c r="AL28" s="63" t="n">
        <f aca="false">IFERROR(AL26/AL27,0)</f>
        <v>2.44449773669555</v>
      </c>
      <c r="AM28" s="63" t="n">
        <f aca="false">AVERAGE(N28:AL28)</f>
        <v>2.16743651118149</v>
      </c>
    </row>
    <row r="29" customFormat="false" ht="15" hidden="false" customHeight="false" outlineLevel="0" collapsed="false">
      <c r="A29" s="38" t="s">
        <v>745</v>
      </c>
      <c r="B29" s="9" t="s">
        <v>82</v>
      </c>
      <c r="C29" s="71" t="n">
        <f aca="false">C13+C15+C27</f>
        <v>8121.61209300796</v>
      </c>
      <c r="D29" s="71" t="n">
        <f aca="false">D13+D15+D27</f>
        <v>128360.398344828</v>
      </c>
      <c r="E29" s="71" t="n">
        <f aca="false">E13+E15+E27</f>
        <v>65050.6402510345</v>
      </c>
      <c r="F29" s="71" t="n">
        <f aca="false">F13+F15+F27</f>
        <v>63466.1189914922</v>
      </c>
      <c r="G29" s="71" t="n">
        <f aca="false">G13+G15+G27</f>
        <v>64490.2362534683</v>
      </c>
      <c r="H29" s="71" t="n">
        <f aca="false">H13+H15+H27</f>
        <v>64849.6539195259</v>
      </c>
      <c r="I29" s="71" t="n">
        <f aca="false">I13+I15+I27</f>
        <v>64889.716577134</v>
      </c>
      <c r="J29" s="71" t="n">
        <f aca="false">J13+J15+J27</f>
        <v>66013.4742581197</v>
      </c>
      <c r="K29" s="71" t="n">
        <f aca="false">K13+K15+K27</f>
        <v>66978.9230545261</v>
      </c>
      <c r="L29" s="71" t="n">
        <f aca="false">L13+L15+L27</f>
        <v>68088.394501225</v>
      </c>
      <c r="M29" s="71" t="n">
        <f aca="false">M13+M15+M27</f>
        <v>69375.489679433</v>
      </c>
      <c r="N29" s="71" t="n">
        <f aca="false">N13+N15+N27</f>
        <v>70837.7879472504</v>
      </c>
      <c r="O29" s="71" t="n">
        <f aca="false">O13+O15+O27</f>
        <v>72464.7063988142</v>
      </c>
      <c r="P29" s="71" t="n">
        <f aca="false">P13+P15+P27</f>
        <v>74245.5146814014</v>
      </c>
      <c r="Q29" s="71" t="n">
        <f aca="false">Q13+Q15+Q27</f>
        <v>76171.5659822416</v>
      </c>
      <c r="R29" s="71" t="n">
        <f aca="false">R13+R15+R27</f>
        <v>78236.9762001844</v>
      </c>
      <c r="S29" s="71" t="n">
        <f aca="false">S13+S15+S27</f>
        <v>80438.7351481553</v>
      </c>
      <c r="T29" s="71" t="n">
        <f aca="false">T13+T15+T27</f>
        <v>82776.5975677518</v>
      </c>
      <c r="U29" s="71" t="n">
        <f aca="false">U13+U15+U27</f>
        <v>85252.9001937215</v>
      </c>
      <c r="V29" s="71" t="n">
        <f aca="false">V13+V15+V27</f>
        <v>87872.3711290475</v>
      </c>
      <c r="W29" s="71" t="n">
        <f aca="false">W13+W15+W27</f>
        <v>90641.961272533</v>
      </c>
      <c r="X29" s="71" t="n">
        <f aca="false">X13+X15+X27</f>
        <v>93570.7099338369</v>
      </c>
      <c r="Y29" s="71" t="n">
        <f aca="false">Y13+Y15+Y27</f>
        <v>96669.6481964327</v>
      </c>
      <c r="Z29" s="71" t="n">
        <f aca="false">Z13+Z15+Z27</f>
        <v>99951.7395358113</v>
      </c>
      <c r="AA29" s="71" t="n">
        <f aca="false">AA13+AA15+AA27</f>
        <v>103431.855458834</v>
      </c>
      <c r="AB29" s="71" t="n">
        <f aca="false">AB13+AB15+AB27</f>
        <v>107126.783372742</v>
      </c>
      <c r="AC29" s="71" t="n">
        <f aca="false">AC13+AC15+AC27</f>
        <v>111008.936202848</v>
      </c>
      <c r="AD29" s="71" t="n">
        <f aca="false">AD13+AD15+AD27</f>
        <v>115079.093650412</v>
      </c>
      <c r="AE29" s="71" t="n">
        <f aca="false">AE13+AE15+AE27</f>
        <v>119369.660876743</v>
      </c>
      <c r="AF29" s="71" t="n">
        <f aca="false">AF13+AF15+AF27</f>
        <v>123906.930667739</v>
      </c>
      <c r="AG29" s="71" t="n">
        <f aca="false">AG13+AG15+AG27</f>
        <v>128718.211324556</v>
      </c>
      <c r="AH29" s="71" t="n">
        <f aca="false">AH13+AH15+AH27</f>
        <v>133832.766319887</v>
      </c>
      <c r="AI29" s="71" t="n">
        <f aca="false">AI13+AI15+AI27</f>
        <v>139282.123794929</v>
      </c>
      <c r="AJ29" s="71" t="n">
        <f aca="false">AJ13+AJ15+AJ27</f>
        <v>145100.292746209</v>
      </c>
      <c r="AK29" s="71" t="n">
        <f aca="false">AK13+AK15+AK27</f>
        <v>151323.982868471</v>
      </c>
      <c r="AL29" s="71" t="n">
        <f aca="false">AL13+AL15+AL27</f>
        <v>157992.841601638</v>
      </c>
      <c r="AM29" s="71" t="n">
        <f aca="false">SUM(C29:AL29)</f>
        <v>3354989.35099598</v>
      </c>
    </row>
    <row r="30" customFormat="false" ht="15" hidden="false" customHeight="false" outlineLevel="0" collapsed="false">
      <c r="A30" s="10" t="s">
        <v>746</v>
      </c>
      <c r="B30" s="9" t="s">
        <v>49</v>
      </c>
      <c r="C30" s="61" t="n">
        <f aca="false">C8*Assumptions!$E$47*Assumptions!$E$48^C10</f>
        <v>0</v>
      </c>
      <c r="D30" s="61" t="n">
        <f aca="false">D8*Assumptions!$E$47*Assumptions!$E$48^D10</f>
        <v>1500</v>
      </c>
      <c r="E30" s="61" t="n">
        <f aca="false">E8*Assumptions!$E$47*Assumptions!$E$48^E10</f>
        <v>2025</v>
      </c>
      <c r="F30" s="61" t="n">
        <f aca="false">F8*Assumptions!$E$47*Assumptions!$E$48^F10</f>
        <v>2733.75</v>
      </c>
      <c r="G30" s="61" t="n">
        <f aca="false">G8*Assumptions!$E$47*Assumptions!$E$48^G10</f>
        <v>3690.5625</v>
      </c>
      <c r="H30" s="61" t="n">
        <f aca="false">H8*Assumptions!$E$47*Assumptions!$E$48^H10</f>
        <v>4982.259375</v>
      </c>
      <c r="I30" s="61" t="n">
        <f aca="false">I8*Assumptions!$E$47*Assumptions!$E$48^I10</f>
        <v>6726.05015625</v>
      </c>
      <c r="J30" s="61" t="n">
        <f aca="false">J8*Assumptions!$E$47*Assumptions!$E$48^J10</f>
        <v>9080.1677109375</v>
      </c>
      <c r="K30" s="61" t="n">
        <f aca="false">K8*Assumptions!$E$47*Assumptions!$E$48^K10</f>
        <v>12258.2264097656</v>
      </c>
      <c r="L30" s="61" t="n">
        <f aca="false">L8*Assumptions!$E$47*Assumptions!$E$48^L10</f>
        <v>16548.6056531836</v>
      </c>
      <c r="M30" s="61" t="n">
        <f aca="false">M8*Assumptions!$E$47*Assumptions!$E$48^M10</f>
        <v>22340.6176317979</v>
      </c>
      <c r="N30" s="61" t="n">
        <f aca="false">N8*Assumptions!$E$47*Assumptions!$E$48^N10</f>
        <v>30159.8338029271</v>
      </c>
      <c r="O30" s="61" t="n">
        <f aca="false">O8*Assumptions!$E$47*Assumptions!$E$48^O10</f>
        <v>40715.7756339516</v>
      </c>
      <c r="P30" s="61" t="n">
        <f aca="false">P8*Assumptions!$E$47*Assumptions!$E$48^P10</f>
        <v>54966.2971058347</v>
      </c>
      <c r="Q30" s="61" t="n">
        <f aca="false">Q8*Assumptions!$E$47*Assumptions!$E$48^Q10</f>
        <v>74204.5010928768</v>
      </c>
      <c r="R30" s="61" t="n">
        <f aca="false">R8*Assumptions!$E$47*Assumptions!$E$48^R10</f>
        <v>100176.076475384</v>
      </c>
      <c r="S30" s="61" t="n">
        <f aca="false">S8*Assumptions!$E$47*Assumptions!$E$48^S10</f>
        <v>135237.703241768</v>
      </c>
      <c r="T30" s="61" t="n">
        <f aca="false">T8*Assumptions!$E$47*Assumptions!$E$48^T10</f>
        <v>182570.899376387</v>
      </c>
      <c r="U30" s="61" t="n">
        <f aca="false">U8*Assumptions!$E$47*Assumptions!$E$48^U10</f>
        <v>246470.714158122</v>
      </c>
      <c r="V30" s="61" t="n">
        <f aca="false">V8*Assumptions!$E$47*Assumptions!$E$48^V10</f>
        <v>332735.464113465</v>
      </c>
      <c r="W30" s="61" t="n">
        <f aca="false">W8*Assumptions!$E$47*Assumptions!$E$48^W10</f>
        <v>449192.876553178</v>
      </c>
      <c r="X30" s="61" t="n">
        <f aca="false">X8*Assumptions!$E$47*Assumptions!$E$48^X10</f>
        <v>606410.38334679</v>
      </c>
      <c r="Y30" s="61" t="n">
        <f aca="false">Y8*Assumptions!$E$47*Assumptions!$E$48^Y10</f>
        <v>818654.017518167</v>
      </c>
      <c r="Z30" s="61" t="n">
        <f aca="false">Z8*Assumptions!$E$47*Assumptions!$E$48^Z10</f>
        <v>1105182.92364953</v>
      </c>
      <c r="AA30" s="61" t="n">
        <f aca="false">AA8*Assumptions!$E$47*Assumptions!$E$48^AA10</f>
        <v>1491996.94692686</v>
      </c>
      <c r="AB30" s="61" t="n">
        <f aca="false">AB8*Assumptions!$E$47*Assumptions!$E$48^AB10</f>
        <v>2014195.87835126</v>
      </c>
      <c r="AC30" s="61" t="n">
        <f aca="false">AC8*Assumptions!$E$47*Assumptions!$E$48^AC10</f>
        <v>2719164.4357742</v>
      </c>
      <c r="AD30" s="61" t="n">
        <f aca="false">AD8*Assumptions!$E$47*Assumptions!$E$48^AD10</f>
        <v>3670871.98829517</v>
      </c>
      <c r="AE30" s="61" t="n">
        <f aca="false">AE8*Assumptions!$E$47*Assumptions!$E$48^AE10</f>
        <v>4955677.18419848</v>
      </c>
      <c r="AF30" s="61" t="n">
        <f aca="false">AF8*Assumptions!$E$47*Assumptions!$E$48^AF10</f>
        <v>6690164.19866795</v>
      </c>
      <c r="AG30" s="61" t="n">
        <f aca="false">AG8*Assumptions!$E$47*Assumptions!$E$48^AG10</f>
        <v>9031721.66820174</v>
      </c>
      <c r="AH30" s="61" t="n">
        <f aca="false">AH8*Assumptions!$E$47*Assumptions!$E$48^AH10</f>
        <v>12192824.2520723</v>
      </c>
      <c r="AI30" s="61" t="n">
        <f aca="false">AI8*Assumptions!$E$47*Assumptions!$E$48^AI10</f>
        <v>16460312.7402977</v>
      </c>
      <c r="AJ30" s="61" t="n">
        <f aca="false">AJ8*Assumptions!$E$47*Assumptions!$E$48^AJ10</f>
        <v>22221422.1994018</v>
      </c>
      <c r="AK30" s="61" t="n">
        <f aca="false">AK8*Assumptions!$E$47*Assumptions!$E$48^AK10</f>
        <v>29998919.9691925</v>
      </c>
      <c r="AL30" s="61" t="n">
        <f aca="false">AL8*Assumptions!$E$47*Assumptions!$E$48^AL10</f>
        <v>40498541.9584099</v>
      </c>
      <c r="AM30" s="61" t="n">
        <f aca="false">AL30</f>
        <v>40498541.9584099</v>
      </c>
    </row>
    <row r="31" customFormat="false" ht="15" hidden="false" customHeight="false" outlineLevel="0" collapsed="false">
      <c r="A31" s="10" t="s">
        <v>747</v>
      </c>
      <c r="B31" s="9" t="s">
        <v>49</v>
      </c>
      <c r="C31" s="61" t="n">
        <f aca="false">Assumptions!$E$49*C8*(C15+C13*Assumptions!$E$44+C19*Assumptions!$E$31*Assumptions!$E$32+C23*Assumptions!$E$38*Assumptions!$E$39+C25*Assumptions!$E$43)</f>
        <v>0</v>
      </c>
      <c r="D31" s="61" t="n">
        <f aca="false">Assumptions!$E$49*D8*(D15+D13*Assumptions!$E$44+D19*Assumptions!$E$31*Assumptions!$E$32+D23*Assumptions!$E$38*Assumptions!$E$39+D25*Assumptions!$E$43)</f>
        <v>2804.43000273655</v>
      </c>
      <c r="E31" s="61" t="n">
        <f aca="false">Assumptions!$E$49*E8*(E15+E13*Assumptions!$E$44+E19*Assumptions!$E$31*Assumptions!$E$32+E23*Assumptions!$E$38*Assumptions!$E$39+E25*Assumptions!$E$43)</f>
        <v>1240.74324579829</v>
      </c>
      <c r="F31" s="61" t="n">
        <f aca="false">Assumptions!$E$49*F8*(F15+F13*Assumptions!$E$44+F19*Assumptions!$E$31*Assumptions!$E$32+F23*Assumptions!$E$38*Assumptions!$E$39+F25*Assumptions!$E$43)</f>
        <v>1149.19545400396</v>
      </c>
      <c r="G31" s="61" t="n">
        <f aca="false">Assumptions!$E$49*G8*(G15+G13*Assumptions!$E$44+G19*Assumptions!$E$31*Assumptions!$E$32+G23*Assumptions!$E$38*Assumptions!$E$39+G25*Assumptions!$E$43)</f>
        <v>1109.66576962786</v>
      </c>
      <c r="H31" s="61" t="n">
        <f aca="false">Assumptions!$E$49*H8*(H15+H13*Assumptions!$E$44+H19*Assumptions!$E$31*Assumptions!$E$32+H23*Assumptions!$E$38*Assumptions!$E$39+H25*Assumptions!$E$43)</f>
        <v>1089.65244943503</v>
      </c>
      <c r="I31" s="61" t="n">
        <f aca="false">Assumptions!$E$49*I8*(I15+I13*Assumptions!$E$44+I19*Assumptions!$E$31*Assumptions!$E$32+I23*Assumptions!$E$38*Assumptions!$E$39+I25*Assumptions!$E$43)</f>
        <v>1070.54663897282</v>
      </c>
      <c r="J31" s="61" t="n">
        <f aca="false">Assumptions!$E$49*J8*(J15+J13*Assumptions!$E$44+J19*Assumptions!$E$31*Assumptions!$E$32+J23*Assumptions!$E$38*Assumptions!$E$39+J25*Assumptions!$E$43)</f>
        <v>1070.7531718768</v>
      </c>
      <c r="K31" s="61" t="n">
        <f aca="false">Assumptions!$E$49*K8*(K15+K13*Assumptions!$E$44+K19*Assumptions!$E$31*Assumptions!$E$32+K23*Assumptions!$E$38*Assumptions!$E$39+K25*Assumptions!$E$43)</f>
        <v>1071.0262079968</v>
      </c>
      <c r="L31" s="61" t="n">
        <f aca="false">Assumptions!$E$49*L8*(L15+L13*Assumptions!$E$44+L19*Assumptions!$E$31*Assumptions!$E$32+L23*Assumptions!$E$38*Assumptions!$E$39+L25*Assumptions!$E$43)</f>
        <v>1075.93291775077</v>
      </c>
      <c r="M31" s="61" t="n">
        <f aca="false">Assumptions!$E$49*M8*(M15+M13*Assumptions!$E$44+M19*Assumptions!$E$31*Assumptions!$E$32+M23*Assumptions!$E$38*Assumptions!$E$39+M25*Assumptions!$E$43)</f>
        <v>1085.21361737304</v>
      </c>
      <c r="N31" s="61" t="n">
        <f aca="false">Assumptions!$E$49*N8*(N15+N13*Assumptions!$E$44+N19*Assumptions!$E$31*Assumptions!$E$32+N23*Assumptions!$E$38*Assumptions!$E$39+N25*Assumptions!$E$43)</f>
        <v>1098.41086307833</v>
      </c>
      <c r="O31" s="61" t="n">
        <f aca="false">Assumptions!$E$49*O8*(O15+O13*Assumptions!$E$44+O19*Assumptions!$E$31*Assumptions!$E$32+O23*Assumptions!$E$38*Assumptions!$E$39+O25*Assumptions!$E$43)</f>
        <v>1115.06038792019</v>
      </c>
      <c r="P31" s="61" t="n">
        <f aca="false">Assumptions!$E$49*P8*(P15+P13*Assumptions!$E$44+P19*Assumptions!$E$31*Assumptions!$E$32+P23*Assumptions!$E$38*Assumptions!$E$39+P25*Assumptions!$E$43)</f>
        <v>1134.76593087262</v>
      </c>
      <c r="Q31" s="61" t="n">
        <f aca="false">Assumptions!$E$49*Q8*(Q15+Q13*Assumptions!$E$44+Q19*Assumptions!$E$31*Assumptions!$E$32+Q23*Assumptions!$E$38*Assumptions!$E$39+Q25*Assumptions!$E$43)</f>
        <v>1157.21155939785</v>
      </c>
      <c r="R31" s="61" t="n">
        <f aca="false">Assumptions!$E$49*R8*(R15+R13*Assumptions!$E$44+R19*Assumptions!$E$31*Assumptions!$E$32+R23*Assumptions!$E$38*Assumptions!$E$39+R25*Assumptions!$E$43)</f>
        <v>1182.15926966769</v>
      </c>
      <c r="S31" s="61" t="n">
        <f aca="false">Assumptions!$E$49*S8*(S15+S13*Assumptions!$E$44+S19*Assumptions!$E$31*Assumptions!$E$32+S23*Assumptions!$E$38*Assumptions!$E$39+S25*Assumptions!$E$43)</f>
        <v>1209.4418698662</v>
      </c>
      <c r="T31" s="61" t="n">
        <f aca="false">Assumptions!$E$49*T8*(T15+T13*Assumptions!$E$44+T19*Assumptions!$E$31*Assumptions!$E$32+T23*Assumptions!$E$38*Assumptions!$E$39+T25*Assumptions!$E$43)</f>
        <v>1238.95485015257</v>
      </c>
      <c r="U31" s="61" t="n">
        <f aca="false">Assumptions!$E$49*U8*(U15+U13*Assumptions!$E$44+U19*Assumptions!$E$31*Assumptions!$E$32+U23*Assumptions!$E$38*Assumptions!$E$39+U25*Assumptions!$E$43)</f>
        <v>1270.64869259575</v>
      </c>
      <c r="V31" s="61" t="n">
        <f aca="false">Assumptions!$E$49*V8*(V15+V13*Assumptions!$E$44+V19*Assumptions!$E$31*Assumptions!$E$32+V23*Assumptions!$E$38*Assumptions!$E$39+V25*Assumptions!$E$43)</f>
        <v>1304.52217516271</v>
      </c>
      <c r="W31" s="61" t="n">
        <f aca="false">Assumptions!$E$49*W8*(W15+W13*Assumptions!$E$44+W19*Assumptions!$E$31*Assumptions!$E$32+W23*Assumptions!$E$38*Assumptions!$E$39+W25*Assumptions!$E$43)</f>
        <v>1340.61682637006</v>
      </c>
      <c r="X31" s="61" t="n">
        <f aca="false">Assumptions!$E$49*X8*(X15+X13*Assumptions!$E$44+X19*Assumptions!$E$31*Assumptions!$E$32+X23*Assumptions!$E$38*Assumptions!$E$39+X25*Assumptions!$E$43)</f>
        <v>1379.01251060018</v>
      </c>
      <c r="Y31" s="61" t="n">
        <f aca="false">Assumptions!$E$49*Y8*(Y15+Y13*Assumptions!$E$44+Y19*Assumptions!$E$31*Assumptions!$E$32+Y23*Assumptions!$E$38*Assumptions!$E$39+Y25*Assumptions!$E$43)</f>
        <v>1419.82405101399</v>
      </c>
      <c r="Z31" s="61" t="n">
        <f aca="false">Assumptions!$E$49*Z8*(Z15+Z13*Assumptions!$E$44+Z19*Assumptions!$E$31*Assumptions!$E$32+Z23*Assumptions!$E$38*Assumptions!$E$39+Z25*Assumptions!$E$43)</f>
        <v>1463.19877358631</v>
      </c>
      <c r="AA31" s="61" t="n">
        <f aca="false">Assumptions!$E$49*AA8*(AA15+AA13*Assumptions!$E$44+AA19*Assumptions!$E$31*Assumptions!$E$32+AA23*Assumptions!$E$38*Assumptions!$E$39+AA25*Assumptions!$E$43)</f>
        <v>1509.31485592037</v>
      </c>
      <c r="AB31" s="61" t="n">
        <f aca="false">Assumptions!$E$49*AB8*(AB15+AB13*Assumptions!$E$44+AB19*Assumptions!$E$31*Assumptions!$E$32+AB23*Assumptions!$E$38*Assumptions!$E$39+AB25*Assumptions!$E$43)</f>
        <v>1558.38037514976</v>
      </c>
      <c r="AC31" s="61" t="n">
        <f aca="false">Assumptions!$E$49*AC8*(AC15+AC13*Assumptions!$E$44+AC19*Assumptions!$E$31*Assumptions!$E$32+AC23*Assumptions!$E$38*Assumptions!$E$39+AC25*Assumptions!$E$43)</f>
        <v>1609.98437570593</v>
      </c>
      <c r="AD31" s="61" t="n">
        <f aca="false">Assumptions!$E$49*AD8*(AD15+AD13*Assumptions!$E$44+AD19*Assumptions!$E$31*Assumptions!$E$32+AD23*Assumptions!$E$38*Assumptions!$E$39+AD25*Assumptions!$E$43)</f>
        <v>1664.15020622189</v>
      </c>
      <c r="AE31" s="61" t="n">
        <f aca="false">Assumptions!$E$49*AE8*(AE15+AE13*Assumptions!$E$44+AE19*Assumptions!$E$31*Assumptions!$E$32+AE23*Assumptions!$E$38*Assumptions!$E$39+AE25*Assumptions!$E$43)</f>
        <v>1721.32458764862</v>
      </c>
      <c r="AF31" s="61" t="n">
        <f aca="false">Assumptions!$E$49*AF8*(AF15+AF13*Assumptions!$E$44+AF19*Assumptions!$E$31*Assumptions!$E$32+AF23*Assumptions!$E$38*Assumptions!$E$39+AF25*Assumptions!$E$43)</f>
        <v>1781.84634539324</v>
      </c>
      <c r="AG31" s="61" t="n">
        <f aca="false">Assumptions!$E$49*AG8*(AG15+AG13*Assumptions!$E$44+AG19*Assumptions!$E$31*Assumptions!$E$32+AG23*Assumptions!$E$38*Assumptions!$E$39+AG25*Assumptions!$E$43)</f>
        <v>1846.07492038</v>
      </c>
      <c r="AH31" s="61" t="n">
        <f aca="false">Assumptions!$E$49*AH8*(AH15+AH13*Assumptions!$E$44+AH19*Assumptions!$E$31*Assumptions!$E$32+AH23*Assumptions!$E$38*Assumptions!$E$39+AH25*Assumptions!$E$43)</f>
        <v>1914.39777187806</v>
      </c>
      <c r="AI31" s="61" t="n">
        <f aca="false">Assumptions!$E$49*AI8*(AI15+AI13*Assumptions!$E$44+AI19*Assumptions!$E$31*Assumptions!$E$32+AI23*Assumptions!$E$38*Assumptions!$E$39+AI25*Assumptions!$E$43)</f>
        <v>1987.23378251847</v>
      </c>
      <c r="AJ31" s="61" t="n">
        <f aca="false">Assumptions!$E$49*AJ8*(AJ15+AJ13*Assumptions!$E$44+AJ19*Assumptions!$E$31*Assumptions!$E$32+AJ23*Assumptions!$E$38*Assumptions!$E$39+AJ25*Assumptions!$E$43)</f>
        <v>2065.03589037856</v>
      </c>
      <c r="AK31" s="61" t="n">
        <f aca="false">Assumptions!$E$49*AK8*(AK15+AK13*Assumptions!$E$44+AK19*Assumptions!$E$31*Assumptions!$E$32+AK23*Assumptions!$E$38*Assumptions!$E$39+AK25*Assumptions!$E$43)</f>
        <v>2148.29388330669</v>
      </c>
      <c r="AL31" s="61" t="n">
        <f aca="false">Assumptions!$E$49*AL8*(AL15+AL13*Assumptions!$E$44+AL19*Assumptions!$E$31*Assumptions!$E$32+AL23*Assumptions!$E$38*Assumptions!$E$39+AL25*Assumptions!$E$43)</f>
        <v>2237.53746337098</v>
      </c>
      <c r="AM31" s="61" t="n">
        <f aca="false">SUM(C31:AL31)</f>
        <v>51124.5616937289</v>
      </c>
    </row>
    <row r="32" customFormat="false" ht="15" hidden="false" customHeight="false" outlineLevel="0" collapsed="false">
      <c r="A32" s="38" t="s">
        <v>748</v>
      </c>
      <c r="B32" s="9" t="s">
        <v>49</v>
      </c>
      <c r="C32" s="71" t="n">
        <f aca="false">MIN(C31,C30)</f>
        <v>0</v>
      </c>
      <c r="D32" s="71" t="n">
        <f aca="false">MIN(D31,D30)</f>
        <v>1500</v>
      </c>
      <c r="E32" s="71" t="n">
        <f aca="false">MIN(E31,E30)</f>
        <v>1240.74324579829</v>
      </c>
      <c r="F32" s="71" t="n">
        <f aca="false">MIN(F31,F30)</f>
        <v>1149.19545400396</v>
      </c>
      <c r="G32" s="71" t="n">
        <f aca="false">MIN(G31,G30)</f>
        <v>1109.66576962786</v>
      </c>
      <c r="H32" s="71" t="n">
        <f aca="false">MIN(H31,H30)</f>
        <v>1089.65244943503</v>
      </c>
      <c r="I32" s="71" t="n">
        <f aca="false">MIN(I31,I30)</f>
        <v>1070.54663897282</v>
      </c>
      <c r="J32" s="71" t="n">
        <f aca="false">MIN(J31,J30)</f>
        <v>1070.7531718768</v>
      </c>
      <c r="K32" s="71" t="n">
        <f aca="false">MIN(K31,K30)</f>
        <v>1071.0262079968</v>
      </c>
      <c r="L32" s="71" t="n">
        <f aca="false">MIN(L31,L30)</f>
        <v>1075.93291775077</v>
      </c>
      <c r="M32" s="71" t="n">
        <f aca="false">MIN(M31,M30)</f>
        <v>1085.21361737304</v>
      </c>
      <c r="N32" s="71" t="n">
        <f aca="false">MIN(N31,N30)</f>
        <v>1098.41086307833</v>
      </c>
      <c r="O32" s="71" t="n">
        <f aca="false">MIN(O31,O30)</f>
        <v>1115.06038792019</v>
      </c>
      <c r="P32" s="71" t="n">
        <f aca="false">MIN(P31,P30)</f>
        <v>1134.76593087262</v>
      </c>
      <c r="Q32" s="71" t="n">
        <f aca="false">MIN(Q31,Q30)</f>
        <v>1157.21155939785</v>
      </c>
      <c r="R32" s="71" t="n">
        <f aca="false">MIN(R31,R30)</f>
        <v>1182.15926966769</v>
      </c>
      <c r="S32" s="71" t="n">
        <f aca="false">MIN(S31,S30)</f>
        <v>1209.4418698662</v>
      </c>
      <c r="T32" s="71" t="n">
        <f aca="false">MIN(T31,T30)</f>
        <v>1238.95485015257</v>
      </c>
      <c r="U32" s="71" t="n">
        <f aca="false">MIN(U31,U30)</f>
        <v>1270.64869259575</v>
      </c>
      <c r="V32" s="71" t="n">
        <f aca="false">MIN(V31,V30)</f>
        <v>1304.52217516271</v>
      </c>
      <c r="W32" s="71" t="n">
        <f aca="false">MIN(W31,W30)</f>
        <v>1340.61682637006</v>
      </c>
      <c r="X32" s="71" t="n">
        <f aca="false">MIN(X31,X30)</f>
        <v>1379.01251060018</v>
      </c>
      <c r="Y32" s="71" t="n">
        <f aca="false">MIN(Y31,Y30)</f>
        <v>1419.82405101399</v>
      </c>
      <c r="Z32" s="71" t="n">
        <f aca="false">MIN(Z31,Z30)</f>
        <v>1463.19877358631</v>
      </c>
      <c r="AA32" s="71" t="n">
        <f aca="false">MIN(AA31,AA30)</f>
        <v>1509.31485592037</v>
      </c>
      <c r="AB32" s="71" t="n">
        <f aca="false">MIN(AB31,AB30)</f>
        <v>1558.38037514976</v>
      </c>
      <c r="AC32" s="71" t="n">
        <f aca="false">MIN(AC31,AC30)</f>
        <v>1609.98437570593</v>
      </c>
      <c r="AD32" s="71" t="n">
        <f aca="false">MIN(AD31,AD30)</f>
        <v>1664.15020622189</v>
      </c>
      <c r="AE32" s="71" t="n">
        <f aca="false">MIN(AE31,AE30)</f>
        <v>1721.32458764862</v>
      </c>
      <c r="AF32" s="71" t="n">
        <f aca="false">MIN(AF31,AF30)</f>
        <v>1781.84634539324</v>
      </c>
      <c r="AG32" s="71" t="n">
        <f aca="false">MIN(AG31,AG30)</f>
        <v>1846.07492038</v>
      </c>
      <c r="AH32" s="71" t="n">
        <f aca="false">MIN(AH31,AH30)</f>
        <v>1914.39777187806</v>
      </c>
      <c r="AI32" s="71" t="n">
        <f aca="false">MIN(AI31,AI30)</f>
        <v>1987.23378251847</v>
      </c>
      <c r="AJ32" s="71" t="n">
        <f aca="false">MIN(AJ31,AJ30)</f>
        <v>2065.03589037856</v>
      </c>
      <c r="AK32" s="71" t="n">
        <f aca="false">MIN(AK31,AK30)</f>
        <v>2148.29388330669</v>
      </c>
      <c r="AL32" s="71" t="n">
        <f aca="false">MIN(AL31,AL30)</f>
        <v>2237.53746337098</v>
      </c>
      <c r="AM32" s="71" t="n">
        <f aca="false">SUM(C32:AL32)</f>
        <v>49820.1316909924</v>
      </c>
    </row>
    <row r="33" customFormat="false" ht="15" hidden="false" customHeight="false" outlineLevel="0" collapsed="false">
      <c r="A33" s="10" t="s">
        <v>749</v>
      </c>
      <c r="B33" s="9" t="s">
        <v>49</v>
      </c>
      <c r="C33" s="61" t="n">
        <f aca="false">MAX(0,C31-C30)</f>
        <v>0</v>
      </c>
      <c r="D33" s="61" t="n">
        <f aca="false">MAX(0,D31-D30)</f>
        <v>1304.43000273655</v>
      </c>
      <c r="E33" s="61" t="n">
        <f aca="false">MAX(0,E31-E30)</f>
        <v>0</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1304.43000273655</v>
      </c>
    </row>
    <row r="34" customFormat="false" ht="15" hidden="false" customHeight="false" outlineLevel="0" collapsed="false">
      <c r="A34" s="10" t="s">
        <v>750</v>
      </c>
      <c r="B34" s="9" t="s">
        <v>49</v>
      </c>
      <c r="C34" s="61" t="n">
        <f aca="false">C32*Assumptions!$E$51</f>
        <v>0</v>
      </c>
      <c r="D34" s="61" t="n">
        <f aca="false">D32*Assumptions!$E$51</f>
        <v>600</v>
      </c>
      <c r="E34" s="61" t="n">
        <f aca="false">E32*Assumptions!$E$51</f>
        <v>496.297298319316</v>
      </c>
      <c r="F34" s="61" t="n">
        <f aca="false">F32*Assumptions!$E$51</f>
        <v>459.678181601584</v>
      </c>
      <c r="G34" s="61" t="n">
        <f aca="false">G32*Assumptions!$E$51</f>
        <v>443.866307851143</v>
      </c>
      <c r="H34" s="61" t="n">
        <f aca="false">H32*Assumptions!$E$51</f>
        <v>435.860979774011</v>
      </c>
      <c r="I34" s="61" t="n">
        <f aca="false">I32*Assumptions!$E$51</f>
        <v>428.218655589129</v>
      </c>
      <c r="J34" s="61" t="n">
        <f aca="false">J32*Assumptions!$E$51</f>
        <v>428.301268750719</v>
      </c>
      <c r="K34" s="61" t="n">
        <f aca="false">K32*Assumptions!$E$51</f>
        <v>428.41048319872</v>
      </c>
      <c r="L34" s="61" t="n">
        <f aca="false">L32*Assumptions!$E$51</f>
        <v>430.373167100306</v>
      </c>
      <c r="M34" s="61" t="n">
        <f aca="false">M32*Assumptions!$E$51</f>
        <v>434.085446949214</v>
      </c>
      <c r="N34" s="61" t="n">
        <f aca="false">N32*Assumptions!$E$51</f>
        <v>439.364345231333</v>
      </c>
      <c r="O34" s="61" t="n">
        <f aca="false">O32*Assumptions!$E$51</f>
        <v>446.024155168074</v>
      </c>
      <c r="P34" s="61" t="n">
        <f aca="false">P32*Assumptions!$E$51</f>
        <v>453.906372349049</v>
      </c>
      <c r="Q34" s="61" t="n">
        <f aca="false">Q32*Assumptions!$E$51</f>
        <v>462.884623759141</v>
      </c>
      <c r="R34" s="61" t="n">
        <f aca="false">R32*Assumptions!$E$51</f>
        <v>472.863707867075</v>
      </c>
      <c r="S34" s="61" t="n">
        <f aca="false">S32*Assumptions!$E$51</f>
        <v>483.77674794648</v>
      </c>
      <c r="T34" s="61" t="n">
        <f aca="false">T32*Assumptions!$E$51</f>
        <v>495.581940061029</v>
      </c>
      <c r="U34" s="61" t="n">
        <f aca="false">U32*Assumptions!$E$51</f>
        <v>508.259477038301</v>
      </c>
      <c r="V34" s="61" t="n">
        <f aca="false">V32*Assumptions!$E$51</f>
        <v>521.808870065082</v>
      </c>
      <c r="W34" s="61" t="n">
        <f aca="false">W32*Assumptions!$E$51</f>
        <v>536.246730548023</v>
      </c>
      <c r="X34" s="61" t="n">
        <f aca="false">X32*Assumptions!$E$51</f>
        <v>551.605004240071</v>
      </c>
      <c r="Y34" s="61" t="n">
        <f aca="false">Y32*Assumptions!$E$51</f>
        <v>567.929620405598</v>
      </c>
      <c r="Z34" s="61" t="n">
        <f aca="false">Z32*Assumptions!$E$51</f>
        <v>585.279509434526</v>
      </c>
      <c r="AA34" s="61" t="n">
        <f aca="false">AA32*Assumptions!$E$51</f>
        <v>603.725942368149</v>
      </c>
      <c r="AB34" s="61" t="n">
        <f aca="false">AB32*Assumptions!$E$51</f>
        <v>623.352150059905</v>
      </c>
      <c r="AC34" s="61" t="n">
        <f aca="false">AC32*Assumptions!$E$51</f>
        <v>643.99375028237</v>
      </c>
      <c r="AD34" s="61" t="n">
        <f aca="false">AD32*Assumptions!$E$51</f>
        <v>665.660082488756</v>
      </c>
      <c r="AE34" s="61" t="n">
        <f aca="false">AE32*Assumptions!$E$51</f>
        <v>688.52983505945</v>
      </c>
      <c r="AF34" s="61" t="n">
        <f aca="false">AF32*Assumptions!$E$51</f>
        <v>712.738538157294</v>
      </c>
      <c r="AG34" s="61" t="n">
        <f aca="false">AG32*Assumptions!$E$51</f>
        <v>738.429968152001</v>
      </c>
      <c r="AH34" s="61" t="n">
        <f aca="false">AH32*Assumptions!$E$51</f>
        <v>765.759108751224</v>
      </c>
      <c r="AI34" s="61" t="n">
        <f aca="false">AI32*Assumptions!$E$51</f>
        <v>794.893513007387</v>
      </c>
      <c r="AJ34" s="61" t="n">
        <f aca="false">AJ32*Assumptions!$E$51</f>
        <v>826.014356151424</v>
      </c>
      <c r="AK34" s="61" t="n">
        <f aca="false">AK32*Assumptions!$E$51</f>
        <v>859.317553322676</v>
      </c>
      <c r="AL34" s="61" t="n">
        <f aca="false">AL32*Assumptions!$E$51</f>
        <v>895.014985348393</v>
      </c>
      <c r="AM34" s="61" t="n">
        <f aca="false">SUM(C34:AL34)</f>
        <v>19928.052676397</v>
      </c>
    </row>
    <row r="35" customFormat="false" ht="15" hidden="false" customHeight="false" outlineLevel="0" collapsed="false">
      <c r="A35" s="10" t="s">
        <v>751</v>
      </c>
      <c r="B35" s="9" t="s">
        <v>49</v>
      </c>
      <c r="C35" s="61" t="n">
        <f aca="false">C32*(1-Assumptions!$E$51)</f>
        <v>0</v>
      </c>
      <c r="D35" s="61" t="n">
        <f aca="false">D32*(1-Assumptions!$E$51)</f>
        <v>900</v>
      </c>
      <c r="E35" s="61" t="n">
        <f aca="false">E32*(1-Assumptions!$E$51)</f>
        <v>744.445947478974</v>
      </c>
      <c r="F35" s="61" t="n">
        <f aca="false">F32*(1-Assumptions!$E$51)</f>
        <v>689.517272402375</v>
      </c>
      <c r="G35" s="61" t="n">
        <f aca="false">G32*(1-Assumptions!$E$51)</f>
        <v>665.799461776714</v>
      </c>
      <c r="H35" s="61" t="n">
        <f aca="false">H32*(1-Assumptions!$E$51)</f>
        <v>653.791469661017</v>
      </c>
      <c r="I35" s="61" t="n">
        <f aca="false">I32*(1-Assumptions!$E$51)</f>
        <v>642.327983383694</v>
      </c>
      <c r="J35" s="61" t="n">
        <f aca="false">J32*(1-Assumptions!$E$51)</f>
        <v>642.451903126078</v>
      </c>
      <c r="K35" s="61" t="n">
        <f aca="false">K32*(1-Assumptions!$E$51)</f>
        <v>642.61572479808</v>
      </c>
      <c r="L35" s="61" t="n">
        <f aca="false">L32*(1-Assumptions!$E$51)</f>
        <v>645.559750650459</v>
      </c>
      <c r="M35" s="61" t="n">
        <f aca="false">M32*(1-Assumptions!$E$51)</f>
        <v>651.128170423821</v>
      </c>
      <c r="N35" s="61" t="n">
        <f aca="false">N32*(1-Assumptions!$E$51)</f>
        <v>659.046517847</v>
      </c>
      <c r="O35" s="61" t="n">
        <f aca="false">O32*(1-Assumptions!$E$51)</f>
        <v>669.036232752112</v>
      </c>
      <c r="P35" s="61" t="n">
        <f aca="false">P32*(1-Assumptions!$E$51)</f>
        <v>680.859558523573</v>
      </c>
      <c r="Q35" s="61" t="n">
        <f aca="false">Q32*(1-Assumptions!$E$51)</f>
        <v>694.326935638712</v>
      </c>
      <c r="R35" s="61" t="n">
        <f aca="false">R32*(1-Assumptions!$E$51)</f>
        <v>709.295561800613</v>
      </c>
      <c r="S35" s="61" t="n">
        <f aca="false">S32*(1-Assumptions!$E$51)</f>
        <v>725.66512191972</v>
      </c>
      <c r="T35" s="61" t="n">
        <f aca="false">T32*(1-Assumptions!$E$51)</f>
        <v>743.372910091543</v>
      </c>
      <c r="U35" s="61" t="n">
        <f aca="false">U32*(1-Assumptions!$E$51)</f>
        <v>762.389215557452</v>
      </c>
      <c r="V35" s="61" t="n">
        <f aca="false">V32*(1-Assumptions!$E$51)</f>
        <v>782.713305097623</v>
      </c>
      <c r="W35" s="61" t="n">
        <f aca="false">W32*(1-Assumptions!$E$51)</f>
        <v>804.370095822035</v>
      </c>
      <c r="X35" s="61" t="n">
        <f aca="false">X32*(1-Assumptions!$E$51)</f>
        <v>827.407506360106</v>
      </c>
      <c r="Y35" s="61" t="n">
        <f aca="false">Y32*(1-Assumptions!$E$51)</f>
        <v>851.894430608396</v>
      </c>
      <c r="Z35" s="61" t="n">
        <f aca="false">Z32*(1-Assumptions!$E$51)</f>
        <v>877.919264151789</v>
      </c>
      <c r="AA35" s="61" t="n">
        <f aca="false">AA32*(1-Assumptions!$E$51)</f>
        <v>905.588913552223</v>
      </c>
      <c r="AB35" s="61" t="n">
        <f aca="false">AB32*(1-Assumptions!$E$51)</f>
        <v>935.028225089857</v>
      </c>
      <c r="AC35" s="61" t="n">
        <f aca="false">AC32*(1-Assumptions!$E$51)</f>
        <v>965.990625423555</v>
      </c>
      <c r="AD35" s="61" t="n">
        <f aca="false">AD32*(1-Assumptions!$E$51)</f>
        <v>998.490123733133</v>
      </c>
      <c r="AE35" s="61" t="n">
        <f aca="false">AE32*(1-Assumptions!$E$51)</f>
        <v>1032.79475258917</v>
      </c>
      <c r="AF35" s="61" t="n">
        <f aca="false">AF32*(1-Assumptions!$E$51)</f>
        <v>1069.10780723594</v>
      </c>
      <c r="AG35" s="61" t="n">
        <f aca="false">AG32*(1-Assumptions!$E$51)</f>
        <v>1107.644952228</v>
      </c>
      <c r="AH35" s="61" t="n">
        <f aca="false">AH32*(1-Assumptions!$E$51)</f>
        <v>1148.63866312684</v>
      </c>
      <c r="AI35" s="61" t="n">
        <f aca="false">AI32*(1-Assumptions!$E$51)</f>
        <v>1192.34026951108</v>
      </c>
      <c r="AJ35" s="61" t="n">
        <f aca="false">AJ32*(1-Assumptions!$E$51)</f>
        <v>1239.02153422714</v>
      </c>
      <c r="AK35" s="61" t="n">
        <f aca="false">AK32*(1-Assumptions!$E$51)</f>
        <v>1288.97632998401</v>
      </c>
      <c r="AL35" s="61" t="n">
        <f aca="false">AL32*(1-Assumptions!$E$51)</f>
        <v>1342.52247802259</v>
      </c>
      <c r="AM35" s="61" t="n">
        <f aca="false">SUM(C35:AL35)</f>
        <v>29892.0790145954</v>
      </c>
    </row>
    <row r="36" customFormat="false" ht="15" hidden="false" customHeight="false" outlineLevel="0" collapsed="false">
      <c r="A36" s="38" t="s">
        <v>752</v>
      </c>
      <c r="B36" s="9" t="s">
        <v>49</v>
      </c>
      <c r="C36" s="71" t="n">
        <f aca="false">C34</f>
        <v>0</v>
      </c>
      <c r="D36" s="71" t="n">
        <f aca="false">C36*(1-Assumptions!$E$52)+D34</f>
        <v>600</v>
      </c>
      <c r="E36" s="71" t="n">
        <f aca="false">D36*(1-Assumptions!$E$52)+E34</f>
        <v>1054.29729831932</v>
      </c>
      <c r="F36" s="71" t="n">
        <f aca="false">E36*(1-Assumptions!$E$52)+F34</f>
        <v>1440.17466903855</v>
      </c>
      <c r="G36" s="71" t="n">
        <f aca="false">F36*(1-Assumptions!$E$52)+G34</f>
        <v>1783.22875005699</v>
      </c>
      <c r="H36" s="71" t="n">
        <f aca="false">G36*(1-Assumptions!$E$52)+H34</f>
        <v>2094.26371732701</v>
      </c>
      <c r="I36" s="71" t="n">
        <f aca="false">H36*(1-Assumptions!$E$52)+I34</f>
        <v>2375.88391270325</v>
      </c>
      <c r="J36" s="71" t="n">
        <f aca="false">I36*(1-Assumptions!$E$52)+J34</f>
        <v>2637.87330756474</v>
      </c>
      <c r="K36" s="71" t="n">
        <f aca="false">J36*(1-Assumptions!$E$52)+K34</f>
        <v>2881.63265923393</v>
      </c>
      <c r="L36" s="71" t="n">
        <f aca="false">K36*(1-Assumptions!$E$52)+L34</f>
        <v>3110.29154018786</v>
      </c>
      <c r="M36" s="71" t="n">
        <f aca="false">L36*(1-Assumptions!$E$52)+M34</f>
        <v>3326.65657932393</v>
      </c>
      <c r="N36" s="71" t="n">
        <f aca="false">M36*(1-Assumptions!$E$52)+N34</f>
        <v>3533.15496400258</v>
      </c>
      <c r="O36" s="71" t="n">
        <f aca="false">N36*(1-Assumptions!$E$52)+O34</f>
        <v>3731.85827169048</v>
      </c>
      <c r="P36" s="71" t="n">
        <f aca="false">O36*(1-Assumptions!$E$52)+P34</f>
        <v>3924.53456502119</v>
      </c>
      <c r="Q36" s="71" t="n">
        <f aca="false">P36*(1-Assumptions!$E$52)+Q34</f>
        <v>4112.70176922885</v>
      </c>
      <c r="R36" s="71" t="n">
        <f aca="false">Q36*(1-Assumptions!$E$52)+R34</f>
        <v>4297.6763532499</v>
      </c>
      <c r="S36" s="71" t="n">
        <f aca="false">R36*(1-Assumptions!$E$52)+S34</f>
        <v>4480.61575646889</v>
      </c>
      <c r="T36" s="71" t="n">
        <f aca="false">S36*(1-Assumptions!$E$52)+T34</f>
        <v>4662.5545935771</v>
      </c>
      <c r="U36" s="71" t="n">
        <f aca="false">T36*(1-Assumptions!$E$52)+U34</f>
        <v>4844.435249065</v>
      </c>
      <c r="V36" s="71" t="n">
        <f aca="false">U36*(1-Assumptions!$E$52)+V34</f>
        <v>5027.13365169553</v>
      </c>
      <c r="W36" s="71" t="n">
        <f aca="false">V36*(1-Assumptions!$E$52)+W34</f>
        <v>5211.48102662487</v>
      </c>
      <c r="X36" s="71" t="n">
        <f aca="false">W36*(1-Assumptions!$E$52)+X34</f>
        <v>5398.2823590012</v>
      </c>
      <c r="Y36" s="71" t="n">
        <f aca="false">X36*(1-Assumptions!$E$52)+Y34</f>
        <v>5588.33221427671</v>
      </c>
      <c r="Z36" s="71" t="n">
        <f aca="false">Y36*(1-Assumptions!$E$52)+Z34</f>
        <v>5782.42846871187</v>
      </c>
      <c r="AA36" s="71" t="n">
        <f aca="false">Z36*(1-Assumptions!$E$52)+AA34</f>
        <v>5981.38441827018</v>
      </c>
      <c r="AB36" s="71" t="n">
        <f aca="false">AA36*(1-Assumptions!$E$52)+AB34</f>
        <v>6186.03965905118</v>
      </c>
      <c r="AC36" s="71" t="n">
        <f aca="false">AB36*(1-Assumptions!$E$52)+AC34</f>
        <v>6397.01063319996</v>
      </c>
      <c r="AD36" s="71" t="n">
        <f aca="false">AC36*(1-Assumptions!$E$52)+AD34</f>
        <v>6614.87997136472</v>
      </c>
      <c r="AE36" s="71" t="n">
        <f aca="false">AD36*(1-Assumptions!$E$52)+AE34</f>
        <v>6840.36820842864</v>
      </c>
      <c r="AF36" s="71" t="n">
        <f aca="false">AE36*(1-Assumptions!$E$52)+AF34</f>
        <v>7074.28097199593</v>
      </c>
      <c r="AG36" s="71" t="n">
        <f aca="false">AF36*(1-Assumptions!$E$52)+AG34</f>
        <v>7317.51127210822</v>
      </c>
      <c r="AH36" s="71" t="n">
        <f aca="false">AG36*(1-Assumptions!$E$52)+AH34</f>
        <v>7571.04459181186</v>
      </c>
      <c r="AI36" s="71" t="n">
        <f aca="false">AH36*(1-Assumptions!$E$52)+AI34</f>
        <v>7835.96498339242</v>
      </c>
      <c r="AJ36" s="71" t="n">
        <f aca="false">AI36*(1-Assumptions!$E$52)+AJ34</f>
        <v>8113.46179070637</v>
      </c>
      <c r="AK36" s="71" t="n">
        <f aca="false">AJ36*(1-Assumptions!$E$52)+AK34</f>
        <v>8404.8370186796</v>
      </c>
      <c r="AL36" s="71" t="n">
        <f aca="false">AK36*(1-Assumptions!$E$52)+AL34</f>
        <v>8711.51341272042</v>
      </c>
      <c r="AM36" s="71" t="n">
        <f aca="false">AL36</f>
        <v>8711.51341272042</v>
      </c>
    </row>
    <row r="37" customFormat="false" ht="15" hidden="false" customHeight="false" outlineLevel="0" collapsed="false">
      <c r="A37" s="10" t="s">
        <v>753</v>
      </c>
      <c r="B37" s="9" t="s">
        <v>49</v>
      </c>
      <c r="C37" s="61" t="n">
        <f aca="false">0</f>
        <v>0</v>
      </c>
      <c r="D37" s="61" t="n">
        <f aca="false">C36*Assumptions!$E$52</f>
        <v>0</v>
      </c>
      <c r="E37" s="61" t="n">
        <f aca="false">D36*Assumptions!$E$52</f>
        <v>42</v>
      </c>
      <c r="F37" s="61" t="n">
        <f aca="false">E36*Assumptions!$E$52</f>
        <v>73.8008108823521</v>
      </c>
      <c r="G37" s="61" t="n">
        <f aca="false">F36*Assumptions!$E$52</f>
        <v>100.812226832698</v>
      </c>
      <c r="H37" s="61" t="n">
        <f aca="false">G36*Assumptions!$E$52</f>
        <v>124.826012503989</v>
      </c>
      <c r="I37" s="61" t="n">
        <f aca="false">H36*Assumptions!$E$52</f>
        <v>146.598460212891</v>
      </c>
      <c r="J37" s="61" t="n">
        <f aca="false">I36*Assumptions!$E$52</f>
        <v>166.311873889228</v>
      </c>
      <c r="K37" s="61" t="n">
        <f aca="false">J36*Assumptions!$E$52</f>
        <v>184.651131529532</v>
      </c>
      <c r="L37" s="61" t="n">
        <f aca="false">K36*Assumptions!$E$52</f>
        <v>201.714286146375</v>
      </c>
      <c r="M37" s="61" t="n">
        <f aca="false">L36*Assumptions!$E$52</f>
        <v>217.72040781315</v>
      </c>
      <c r="N37" s="61" t="n">
        <f aca="false">M36*Assumptions!$E$52</f>
        <v>232.865960552675</v>
      </c>
      <c r="O37" s="61" t="n">
        <f aca="false">N36*Assumptions!$E$52</f>
        <v>247.320847480181</v>
      </c>
      <c r="P37" s="61" t="n">
        <f aca="false">O36*Assumptions!$E$52</f>
        <v>261.230079018333</v>
      </c>
      <c r="Q37" s="61" t="n">
        <f aca="false">P36*Assumptions!$E$52</f>
        <v>274.717419551483</v>
      </c>
      <c r="R37" s="61" t="n">
        <f aca="false">Q36*Assumptions!$E$52</f>
        <v>287.889123846019</v>
      </c>
      <c r="S37" s="61" t="n">
        <f aca="false">R36*Assumptions!$E$52</f>
        <v>300.837344727493</v>
      </c>
      <c r="T37" s="61" t="n">
        <f aca="false">S36*Assumptions!$E$52</f>
        <v>313.643102952822</v>
      </c>
      <c r="U37" s="61" t="n">
        <f aca="false">T36*Assumptions!$E$52</f>
        <v>326.378821550397</v>
      </c>
      <c r="V37" s="61" t="n">
        <f aca="false">U36*Assumptions!$E$52</f>
        <v>339.11046743455</v>
      </c>
      <c r="W37" s="61" t="n">
        <f aca="false">V36*Assumptions!$E$52</f>
        <v>351.899355618687</v>
      </c>
      <c r="X37" s="61" t="n">
        <f aca="false">W36*Assumptions!$E$52</f>
        <v>364.803671863741</v>
      </c>
      <c r="Y37" s="61" t="n">
        <f aca="false">X36*Assumptions!$E$52</f>
        <v>377.879765130084</v>
      </c>
      <c r="Z37" s="61" t="n">
        <f aca="false">Y36*Assumptions!$E$52</f>
        <v>391.18325499937</v>
      </c>
      <c r="AA37" s="61" t="n">
        <f aca="false">Z36*Assumptions!$E$52</f>
        <v>404.769992809831</v>
      </c>
      <c r="AB37" s="61" t="n">
        <f aca="false">AA36*Assumptions!$E$52</f>
        <v>418.696909278913</v>
      </c>
      <c r="AC37" s="61" t="n">
        <f aca="false">AB36*Assumptions!$E$52</f>
        <v>433.022776133582</v>
      </c>
      <c r="AD37" s="61" t="n">
        <f aca="false">AC36*Assumptions!$E$52</f>
        <v>447.790744323997</v>
      </c>
      <c r="AE37" s="61" t="n">
        <f aca="false">AD36*Assumptions!$E$52</f>
        <v>463.041597995531</v>
      </c>
      <c r="AF37" s="61" t="n">
        <f aca="false">AE36*Assumptions!$E$52</f>
        <v>478.825774590005</v>
      </c>
      <c r="AG37" s="61" t="n">
        <f aca="false">AF36*Assumptions!$E$52</f>
        <v>495.199668039715</v>
      </c>
      <c r="AH37" s="61" t="n">
        <f aca="false">AG36*Assumptions!$E$52</f>
        <v>512.225789047575</v>
      </c>
      <c r="AI37" s="61" t="n">
        <f aca="false">AH36*Assumptions!$E$52</f>
        <v>529.973121426831</v>
      </c>
      <c r="AJ37" s="61" t="n">
        <f aca="false">AI36*Assumptions!$E$52</f>
        <v>548.517548837469</v>
      </c>
      <c r="AK37" s="61" t="n">
        <f aca="false">AJ36*Assumptions!$E$52</f>
        <v>567.942325349446</v>
      </c>
      <c r="AL37" s="61" t="n">
        <f aca="false">AK36*Assumptions!$E$52</f>
        <v>588.338591307572</v>
      </c>
      <c r="AM37" s="61" t="n">
        <f aca="false">SUM(C37:AL37)</f>
        <v>11216.5392636765</v>
      </c>
    </row>
    <row r="38" customFormat="false" ht="15" hidden="false" customHeight="false" outlineLevel="0" collapsed="false">
      <c r="A38" s="10" t="s">
        <v>754</v>
      </c>
      <c r="B38" s="9" t="s">
        <v>49</v>
      </c>
      <c r="C38" s="61" t="n">
        <f aca="false">0</f>
        <v>0</v>
      </c>
      <c r="D38" s="61" t="n">
        <f aca="false">C35*Assumptions!$E$53</f>
        <v>0</v>
      </c>
      <c r="E38" s="61" t="n">
        <f aca="false">D35*Assumptions!$E$53</f>
        <v>99</v>
      </c>
      <c r="F38" s="61" t="n">
        <f aca="false">E35*Assumptions!$E$53</f>
        <v>81.8890542226872</v>
      </c>
      <c r="G38" s="61" t="n">
        <f aca="false">F35*Assumptions!$E$53</f>
        <v>75.8468999642613</v>
      </c>
      <c r="H38" s="61" t="n">
        <f aca="false">G35*Assumptions!$E$53</f>
        <v>73.2379407954385</v>
      </c>
      <c r="I38" s="61" t="n">
        <f aca="false">H35*Assumptions!$E$53</f>
        <v>71.9170616627118</v>
      </c>
      <c r="J38" s="61" t="n">
        <f aca="false">I35*Assumptions!$E$53</f>
        <v>70.6560781722063</v>
      </c>
      <c r="K38" s="61" t="n">
        <f aca="false">J35*Assumptions!$E$53</f>
        <v>70.6697093438686</v>
      </c>
      <c r="L38" s="61" t="n">
        <f aca="false">K35*Assumptions!$E$53</f>
        <v>70.6877297277888</v>
      </c>
      <c r="M38" s="61" t="n">
        <f aca="false">L35*Assumptions!$E$53</f>
        <v>71.0115725715505</v>
      </c>
      <c r="N38" s="61" t="n">
        <f aca="false">M35*Assumptions!$E$53</f>
        <v>71.6240987466204</v>
      </c>
      <c r="O38" s="61" t="n">
        <f aca="false">N35*Assumptions!$E$53</f>
        <v>72.49511696317</v>
      </c>
      <c r="P38" s="61" t="n">
        <f aca="false">O35*Assumptions!$E$53</f>
        <v>73.5939856027323</v>
      </c>
      <c r="Q38" s="61" t="n">
        <f aca="false">P35*Assumptions!$E$53</f>
        <v>74.894551437593</v>
      </c>
      <c r="R38" s="61" t="n">
        <f aca="false">Q35*Assumptions!$E$53</f>
        <v>76.3759629202583</v>
      </c>
      <c r="S38" s="61" t="n">
        <f aca="false">R35*Assumptions!$E$53</f>
        <v>78.0225117980674</v>
      </c>
      <c r="T38" s="61" t="n">
        <f aca="false">S35*Assumptions!$E$53</f>
        <v>79.8231634111692</v>
      </c>
      <c r="U38" s="61" t="n">
        <f aca="false">T35*Assumptions!$E$53</f>
        <v>81.7710201100697</v>
      </c>
      <c r="V38" s="61" t="n">
        <f aca="false">U35*Assumptions!$E$53</f>
        <v>83.8628137113197</v>
      </c>
      <c r="W38" s="61" t="n">
        <f aca="false">V35*Assumptions!$E$53</f>
        <v>86.0984635607385</v>
      </c>
      <c r="X38" s="61" t="n">
        <f aca="false">W35*Assumptions!$E$53</f>
        <v>88.4807105404238</v>
      </c>
      <c r="Y38" s="61" t="n">
        <f aca="false">X35*Assumptions!$E$53</f>
        <v>91.0148256996117</v>
      </c>
      <c r="Z38" s="61" t="n">
        <f aca="false">Y35*Assumptions!$E$53</f>
        <v>93.7083873669236</v>
      </c>
      <c r="AA38" s="61" t="n">
        <f aca="false">Z35*Assumptions!$E$53</f>
        <v>96.5711190566967</v>
      </c>
      <c r="AB38" s="61" t="n">
        <f aca="false">AA35*Assumptions!$E$53</f>
        <v>99.6147804907446</v>
      </c>
      <c r="AC38" s="61" t="n">
        <f aca="false">AB35*Assumptions!$E$53</f>
        <v>102.853104759884</v>
      </c>
      <c r="AD38" s="61" t="n">
        <f aca="false">AC35*Assumptions!$E$53</f>
        <v>106.258968796591</v>
      </c>
      <c r="AE38" s="61" t="n">
        <f aca="false">AD35*Assumptions!$E$53</f>
        <v>109.833913610645</v>
      </c>
      <c r="AF38" s="61" t="n">
        <f aca="false">AE35*Assumptions!$E$53</f>
        <v>113.607422784809</v>
      </c>
      <c r="AG38" s="61" t="n">
        <f aca="false">AF35*Assumptions!$E$53</f>
        <v>117.601858795954</v>
      </c>
      <c r="AH38" s="61" t="n">
        <f aca="false">AG35*Assumptions!$E$53</f>
        <v>121.84094474508</v>
      </c>
      <c r="AI38" s="61" t="n">
        <f aca="false">AH35*Assumptions!$E$53</f>
        <v>126.350252943952</v>
      </c>
      <c r="AJ38" s="61" t="n">
        <f aca="false">AI35*Assumptions!$E$53</f>
        <v>131.157429646219</v>
      </c>
      <c r="AK38" s="61" t="n">
        <f aca="false">AJ35*Assumptions!$E$53</f>
        <v>136.292368764985</v>
      </c>
      <c r="AL38" s="61" t="n">
        <f aca="false">AK35*Assumptions!$E$53</f>
        <v>141.787396298242</v>
      </c>
      <c r="AM38" s="61" t="n">
        <f aca="false">SUM(C38:AL38)</f>
        <v>3140.45121902301</v>
      </c>
    </row>
    <row r="39" customFormat="false" ht="15" hidden="false" customHeight="false" outlineLevel="0" collapsed="false">
      <c r="A39" s="38" t="s">
        <v>755</v>
      </c>
      <c r="B39" s="9" t="s">
        <v>49</v>
      </c>
      <c r="C39" s="71" t="n">
        <f aca="false">C35+C36+C38</f>
        <v>0</v>
      </c>
      <c r="D39" s="71" t="n">
        <f aca="false">D35+D36+D38</f>
        <v>1500</v>
      </c>
      <c r="E39" s="71" t="n">
        <f aca="false">E35+E36+E38</f>
        <v>1897.74324579829</v>
      </c>
      <c r="F39" s="71" t="n">
        <f aca="false">F35+F36+F38</f>
        <v>2211.58099566361</v>
      </c>
      <c r="G39" s="71" t="n">
        <f aca="false">G35+G36+G38</f>
        <v>2524.87511179797</v>
      </c>
      <c r="H39" s="71" t="n">
        <f aca="false">H35+H36+H38</f>
        <v>2821.29312778347</v>
      </c>
      <c r="I39" s="71" t="n">
        <f aca="false">I35+I36+I38</f>
        <v>3090.12895774966</v>
      </c>
      <c r="J39" s="71" t="n">
        <f aca="false">J35+J36+J38</f>
        <v>3350.98128886303</v>
      </c>
      <c r="K39" s="71" t="n">
        <f aca="false">K35+K36+K38</f>
        <v>3594.91809337588</v>
      </c>
      <c r="L39" s="71" t="n">
        <f aca="false">L35+L36+L38</f>
        <v>3826.53902056611</v>
      </c>
      <c r="M39" s="71" t="n">
        <f aca="false">M35+M36+M38</f>
        <v>4048.7963223193</v>
      </c>
      <c r="N39" s="71" t="n">
        <f aca="false">N35+N36+N38</f>
        <v>4263.8255805962</v>
      </c>
      <c r="O39" s="71" t="n">
        <f aca="false">O35+O36+O38</f>
        <v>4473.38962140576</v>
      </c>
      <c r="P39" s="71" t="n">
        <f aca="false">P35+P36+P38</f>
        <v>4678.9881091475</v>
      </c>
      <c r="Q39" s="71" t="n">
        <f aca="false">Q35+Q36+Q38</f>
        <v>4881.92325630515</v>
      </c>
      <c r="R39" s="71" t="n">
        <f aca="false">R35+R36+R38</f>
        <v>5083.34787797078</v>
      </c>
      <c r="S39" s="71" t="n">
        <f aca="false">S35+S36+S38</f>
        <v>5284.30339018668</v>
      </c>
      <c r="T39" s="71" t="n">
        <f aca="false">T35+T36+T38</f>
        <v>5485.75066707981</v>
      </c>
      <c r="U39" s="71" t="n">
        <f aca="false">U35+U36+U38</f>
        <v>5688.59548473252</v>
      </c>
      <c r="V39" s="71" t="n">
        <f aca="false">V35+V36+V38</f>
        <v>5893.70977050448</v>
      </c>
      <c r="W39" s="71" t="n">
        <f aca="false">W35+W36+W38</f>
        <v>6101.94958600764</v>
      </c>
      <c r="X39" s="71" t="n">
        <f aca="false">X35+X36+X38</f>
        <v>6314.17057590173</v>
      </c>
      <c r="Y39" s="71" t="n">
        <f aca="false">Y35+Y36+Y38</f>
        <v>6531.24147058472</v>
      </c>
      <c r="Z39" s="71" t="n">
        <f aca="false">Z35+Z36+Z38</f>
        <v>6754.05612023058</v>
      </c>
      <c r="AA39" s="71" t="n">
        <f aca="false">AA35+AA36+AA38</f>
        <v>6983.5444508791</v>
      </c>
      <c r="AB39" s="71" t="n">
        <f aca="false">AB35+AB36+AB38</f>
        <v>7220.68266463178</v>
      </c>
      <c r="AC39" s="71" t="n">
        <f aca="false">AC35+AC36+AC38</f>
        <v>7465.8543633834</v>
      </c>
      <c r="AD39" s="71" t="n">
        <f aca="false">AD35+AD36+AD38</f>
        <v>7719.62906389445</v>
      </c>
      <c r="AE39" s="71" t="n">
        <f aca="false">AE35+AE36+AE38</f>
        <v>7982.99687462846</v>
      </c>
      <c r="AF39" s="71" t="n">
        <f aca="false">AF35+AF36+AF38</f>
        <v>8256.99620201668</v>
      </c>
      <c r="AG39" s="71" t="n">
        <f aca="false">AG35+AG36+AG38</f>
        <v>8542.75808313217</v>
      </c>
      <c r="AH39" s="71" t="n">
        <f aca="false">AH35+AH36+AH38</f>
        <v>8841.52419968378</v>
      </c>
      <c r="AI39" s="71" t="n">
        <f aca="false">AI35+AI36+AI38</f>
        <v>9154.65550584745</v>
      </c>
      <c r="AJ39" s="71" t="n">
        <f aca="false">AJ35+AJ36+AJ38</f>
        <v>9483.64075457973</v>
      </c>
      <c r="AK39" s="71" t="n">
        <f aca="false">AK35+AK36+AK38</f>
        <v>9830.1057174286</v>
      </c>
      <c r="AL39" s="71" t="n">
        <f aca="false">AL35+AL36+AL38</f>
        <v>10195.8232870413</v>
      </c>
      <c r="AM39" s="71" t="n">
        <f aca="false">SUM(C39:AL39)</f>
        <v>201980.318841718</v>
      </c>
    </row>
    <row r="40" customFormat="false" ht="15" hidden="false" customHeight="false" outlineLevel="0" collapsed="false">
      <c r="A40" s="10" t="s">
        <v>756</v>
      </c>
      <c r="B40" s="9" t="s">
        <v>95</v>
      </c>
      <c r="C40" s="70" t="n">
        <f aca="false">C39*Assumptions!$E$50</f>
        <v>0</v>
      </c>
      <c r="D40" s="70" t="n">
        <f aca="false">D39*Assumptions!$E$50</f>
        <v>117000</v>
      </c>
      <c r="E40" s="70" t="n">
        <f aca="false">E39*Assumptions!$E$50</f>
        <v>148023.973172267</v>
      </c>
      <c r="F40" s="70" t="n">
        <f aca="false">F39*Assumptions!$E$50</f>
        <v>172503.317661762</v>
      </c>
      <c r="G40" s="70" t="n">
        <f aca="false">G39*Assumptions!$E$50</f>
        <v>196940.258720241</v>
      </c>
      <c r="H40" s="70" t="n">
        <f aca="false">H39*Assumptions!$E$50</f>
        <v>220060.863967111</v>
      </c>
      <c r="I40" s="70" t="n">
        <f aca="false">I39*Assumptions!$E$50</f>
        <v>241030.058704473</v>
      </c>
      <c r="J40" s="70" t="n">
        <f aca="false">J39*Assumptions!$E$50</f>
        <v>261376.540531316</v>
      </c>
      <c r="K40" s="70" t="n">
        <f aca="false">K39*Assumptions!$E$50</f>
        <v>280403.611283319</v>
      </c>
      <c r="L40" s="70" t="n">
        <f aca="false">L39*Assumptions!$E$50</f>
        <v>298470.043604157</v>
      </c>
      <c r="M40" s="70" t="n">
        <f aca="false">M39*Assumptions!$E$50</f>
        <v>315806.113140905</v>
      </c>
      <c r="N40" s="70" t="n">
        <f aca="false">N39*Assumptions!$E$50</f>
        <v>332578.395286504</v>
      </c>
      <c r="O40" s="70" t="n">
        <f aca="false">O39*Assumptions!$E$50</f>
        <v>348924.390469649</v>
      </c>
      <c r="P40" s="70" t="n">
        <f aca="false">P39*Assumptions!$E$50</f>
        <v>364961.072513505</v>
      </c>
      <c r="Q40" s="70" t="n">
        <f aca="false">Q39*Assumptions!$E$50</f>
        <v>380790.013991802</v>
      </c>
      <c r="R40" s="70" t="n">
        <f aca="false">R39*Assumptions!$E$50</f>
        <v>396501.134481721</v>
      </c>
      <c r="S40" s="70" t="n">
        <f aca="false">S39*Assumptions!$E$50</f>
        <v>412175.664434561</v>
      </c>
      <c r="T40" s="70" t="n">
        <f aca="false">T39*Assumptions!$E$50</f>
        <v>427888.552032225</v>
      </c>
      <c r="U40" s="70" t="n">
        <f aca="false">U39*Assumptions!$E$50</f>
        <v>443710.447809137</v>
      </c>
      <c r="V40" s="70" t="n">
        <f aca="false">V39*Assumptions!$E$50</f>
        <v>459709.362099349</v>
      </c>
      <c r="W40" s="70" t="n">
        <f aca="false">W39*Assumptions!$E$50</f>
        <v>475952.067708596</v>
      </c>
      <c r="X40" s="70" t="n">
        <f aca="false">X39*Assumptions!$E$50</f>
        <v>492505.304920335</v>
      </c>
      <c r="Y40" s="70" t="n">
        <f aca="false">Y39*Assumptions!$E$50</f>
        <v>509436.834705608</v>
      </c>
      <c r="Z40" s="70" t="n">
        <f aca="false">Z39*Assumptions!$E$50</f>
        <v>526816.377377985</v>
      </c>
      <c r="AA40" s="70" t="n">
        <f aca="false">AA39*Assumptions!$E$50</f>
        <v>544716.46716857</v>
      </c>
      <c r="AB40" s="70" t="n">
        <f aca="false">AB39*Assumptions!$E$50</f>
        <v>563213.247841279</v>
      </c>
      <c r="AC40" s="70" t="n">
        <f aca="false">AC39*Assumptions!$E$50</f>
        <v>582336.640343905</v>
      </c>
      <c r="AD40" s="70" t="n">
        <f aca="false">AD39*Assumptions!$E$50</f>
        <v>602131.066983767</v>
      </c>
      <c r="AE40" s="70" t="n">
        <f aca="false">AE39*Assumptions!$E$50</f>
        <v>622673.75622102</v>
      </c>
      <c r="AF40" s="70" t="n">
        <f aca="false">AF39*Assumptions!$E$50</f>
        <v>644045.703757301</v>
      </c>
      <c r="AG40" s="70" t="n">
        <f aca="false">AG39*Assumptions!$E$50</f>
        <v>666335.130484309</v>
      </c>
      <c r="AH40" s="70" t="n">
        <f aca="false">AH39*Assumptions!$E$50</f>
        <v>689638.887575335</v>
      </c>
      <c r="AI40" s="70" t="n">
        <f aca="false">AI39*Assumptions!$E$50</f>
        <v>714063.129456101</v>
      </c>
      <c r="AJ40" s="70" t="n">
        <f aca="false">AJ39*Assumptions!$E$50</f>
        <v>739723.978857219</v>
      </c>
      <c r="AK40" s="70" t="n">
        <f aca="false">AK39*Assumptions!$E$50</f>
        <v>766748.245959431</v>
      </c>
      <c r="AL40" s="70" t="n">
        <f aca="false">AL39*Assumptions!$E$50</f>
        <v>795274.216389218</v>
      </c>
      <c r="AM40" s="70" t="n">
        <f aca="false">SUM(C40:AL40)</f>
        <v>15754464.869654</v>
      </c>
    </row>
    <row r="41" customFormat="false" ht="15" hidden="false" customHeight="false" outlineLevel="0" collapsed="false">
      <c r="A41" s="10" t="s">
        <v>757</v>
      </c>
      <c r="B41" s="9" t="s">
        <v>95</v>
      </c>
      <c r="C41" s="70" t="n">
        <f aca="false">-C40*Assumptions!$E$80</f>
        <v>-0</v>
      </c>
      <c r="D41" s="70" t="n">
        <f aca="false">-D40*Assumptions!$E$80</f>
        <v>-3510</v>
      </c>
      <c r="E41" s="70" t="n">
        <f aca="false">-E40*Assumptions!$E$80</f>
        <v>-4440.719195168</v>
      </c>
      <c r="F41" s="70" t="n">
        <f aca="false">-F40*Assumptions!$E$80</f>
        <v>-5175.09952985285</v>
      </c>
      <c r="G41" s="70" t="n">
        <f aca="false">-G40*Assumptions!$E$80</f>
        <v>-5908.20776160724</v>
      </c>
      <c r="H41" s="70" t="n">
        <f aca="false">-H40*Assumptions!$E$80</f>
        <v>-6601.82591901332</v>
      </c>
      <c r="I41" s="70" t="n">
        <f aca="false">-I40*Assumptions!$E$80</f>
        <v>-7230.9017611342</v>
      </c>
      <c r="J41" s="70" t="n">
        <f aca="false">-J40*Assumptions!$E$80</f>
        <v>-7841.29621593948</v>
      </c>
      <c r="K41" s="70" t="n">
        <f aca="false">-K40*Assumptions!$E$80</f>
        <v>-8412.10833849956</v>
      </c>
      <c r="L41" s="70" t="n">
        <f aca="false">-L40*Assumptions!$E$80</f>
        <v>-8954.1013081247</v>
      </c>
      <c r="M41" s="70" t="n">
        <f aca="false">-M40*Assumptions!$E$80</f>
        <v>-9474.18339422716</v>
      </c>
      <c r="N41" s="70" t="n">
        <f aca="false">-N40*Assumptions!$E$80</f>
        <v>-9977.35185859512</v>
      </c>
      <c r="O41" s="70" t="n">
        <f aca="false">-O40*Assumptions!$E$80</f>
        <v>-10467.7317140895</v>
      </c>
      <c r="P41" s="70" t="n">
        <f aca="false">-P40*Assumptions!$E$80</f>
        <v>-10948.8321754051</v>
      </c>
      <c r="Q41" s="70" t="n">
        <f aca="false">-Q40*Assumptions!$E$80</f>
        <v>-11423.7004197541</v>
      </c>
      <c r="R41" s="70" t="n">
        <f aca="false">-R40*Assumptions!$E$80</f>
        <v>-11895.0340344516</v>
      </c>
      <c r="S41" s="70" t="n">
        <f aca="false">-S40*Assumptions!$E$80</f>
        <v>-12365.2699330368</v>
      </c>
      <c r="T41" s="70" t="n">
        <f aca="false">-T40*Assumptions!$E$80</f>
        <v>-12836.6565609668</v>
      </c>
      <c r="U41" s="70" t="n">
        <f aca="false">-U40*Assumptions!$E$80</f>
        <v>-13311.3134342741</v>
      </c>
      <c r="V41" s="70" t="n">
        <f aca="false">-V40*Assumptions!$E$80</f>
        <v>-13791.2808629805</v>
      </c>
      <c r="W41" s="70" t="n">
        <f aca="false">-W40*Assumptions!$E$80</f>
        <v>-14278.5620312579</v>
      </c>
      <c r="X41" s="70" t="n">
        <f aca="false">-X40*Assumptions!$E$80</f>
        <v>-14775.15914761</v>
      </c>
      <c r="Y41" s="70" t="n">
        <f aca="false">-Y40*Assumptions!$E$80</f>
        <v>-15283.1050411682</v>
      </c>
      <c r="Z41" s="70" t="n">
        <f aca="false">-Z40*Assumptions!$E$80</f>
        <v>-15804.4913213396</v>
      </c>
      <c r="AA41" s="70" t="n">
        <f aca="false">-AA40*Assumptions!$E$80</f>
        <v>-16341.4940150571</v>
      </c>
      <c r="AB41" s="70" t="n">
        <f aca="false">-AB40*Assumptions!$E$80</f>
        <v>-16896.3974352384</v>
      </c>
      <c r="AC41" s="70" t="n">
        <f aca="false">-AC40*Assumptions!$E$80</f>
        <v>-17470.0992103172</v>
      </c>
      <c r="AD41" s="70" t="n">
        <f aca="false">-AD40*Assumptions!$E$80</f>
        <v>-18063.932009513</v>
      </c>
      <c r="AE41" s="70" t="n">
        <f aca="false">-AE40*Assumptions!$E$80</f>
        <v>-18680.2126866306</v>
      </c>
      <c r="AF41" s="70" t="n">
        <f aca="false">-AF40*Assumptions!$E$80</f>
        <v>-19321.371112719</v>
      </c>
      <c r="AG41" s="70" t="n">
        <f aca="false">-AG40*Assumptions!$E$80</f>
        <v>-19990.0539145293</v>
      </c>
      <c r="AH41" s="70" t="n">
        <f aca="false">-AH40*Assumptions!$E$80</f>
        <v>-20689.16662726</v>
      </c>
      <c r="AI41" s="70" t="n">
        <f aca="false">-AI40*Assumptions!$E$80</f>
        <v>-21421.893883683</v>
      </c>
      <c r="AJ41" s="70" t="n">
        <f aca="false">-AJ40*Assumptions!$E$80</f>
        <v>-22191.7193657166</v>
      </c>
      <c r="AK41" s="70" t="n">
        <f aca="false">-AK40*Assumptions!$E$80</f>
        <v>-23002.4473787829</v>
      </c>
      <c r="AL41" s="70" t="n">
        <f aca="false">-AL40*Assumptions!$E$80</f>
        <v>-23858.2264916765</v>
      </c>
      <c r="AM41" s="70" t="n">
        <f aca="false">SUM(C41:AL41)</f>
        <v>-472633.946089619</v>
      </c>
    </row>
    <row r="42" customFormat="false" ht="15" hidden="false" customHeight="false" outlineLevel="0" collapsed="false">
      <c r="A42" s="38" t="s">
        <v>758</v>
      </c>
      <c r="B42" s="9" t="s">
        <v>95</v>
      </c>
      <c r="C42" s="53" t="n">
        <f aca="false">C40+C41</f>
        <v>0</v>
      </c>
      <c r="D42" s="53" t="n">
        <f aca="false">D40+D41</f>
        <v>113490</v>
      </c>
      <c r="E42" s="53" t="n">
        <f aca="false">E40+E41</f>
        <v>143583.253977099</v>
      </c>
      <c r="F42" s="53" t="n">
        <f aca="false">F40+F41</f>
        <v>167328.218131909</v>
      </c>
      <c r="G42" s="53" t="n">
        <f aca="false">G40+G41</f>
        <v>191032.050958634</v>
      </c>
      <c r="H42" s="53" t="n">
        <f aca="false">H40+H41</f>
        <v>213459.038048097</v>
      </c>
      <c r="I42" s="53" t="n">
        <f aca="false">I40+I41</f>
        <v>233799.156943339</v>
      </c>
      <c r="J42" s="53" t="n">
        <f aca="false">J40+J41</f>
        <v>253535.244315377</v>
      </c>
      <c r="K42" s="53" t="n">
        <f aca="false">K40+K41</f>
        <v>271991.502944819</v>
      </c>
      <c r="L42" s="53" t="n">
        <f aca="false">L40+L41</f>
        <v>289515.942296032</v>
      </c>
      <c r="M42" s="53" t="n">
        <f aca="false">M40+M41</f>
        <v>306331.929746678</v>
      </c>
      <c r="N42" s="53" t="n">
        <f aca="false">N40+N41</f>
        <v>322601.043427909</v>
      </c>
      <c r="O42" s="53" t="n">
        <f aca="false">O40+O41</f>
        <v>338456.65875556</v>
      </c>
      <c r="P42" s="53" t="n">
        <f aca="false">P40+P41</f>
        <v>354012.2403381</v>
      </c>
      <c r="Q42" s="53" t="n">
        <f aca="false">Q40+Q41</f>
        <v>369366.313572048</v>
      </c>
      <c r="R42" s="53" t="n">
        <f aca="false">R40+R41</f>
        <v>384606.100447269</v>
      </c>
      <c r="S42" s="53" t="n">
        <f aca="false">S40+S41</f>
        <v>399810.394501524</v>
      </c>
      <c r="T42" s="53" t="n">
        <f aca="false">T40+T41</f>
        <v>415051.895471258</v>
      </c>
      <c r="U42" s="53" t="n">
        <f aca="false">U40+U41</f>
        <v>430399.134374863</v>
      </c>
      <c r="V42" s="53" t="n">
        <f aca="false">V40+V41</f>
        <v>445918.081236369</v>
      </c>
      <c r="W42" s="53" t="n">
        <f aca="false">W40+W41</f>
        <v>461673.505677338</v>
      </c>
      <c r="X42" s="53" t="n">
        <f aca="false">X40+X41</f>
        <v>477730.145772725</v>
      </c>
      <c r="Y42" s="53" t="n">
        <f aca="false">Y40+Y41</f>
        <v>494153.72966444</v>
      </c>
      <c r="Z42" s="53" t="n">
        <f aca="false">Z40+Z41</f>
        <v>511011.886056646</v>
      </c>
      <c r="AA42" s="53" t="n">
        <f aca="false">AA40+AA41</f>
        <v>528374.973153513</v>
      </c>
      <c r="AB42" s="53" t="n">
        <f aca="false">AB40+AB41</f>
        <v>546316.85040604</v>
      </c>
      <c r="AC42" s="53" t="n">
        <f aca="false">AC40+AC41</f>
        <v>564866.541133588</v>
      </c>
      <c r="AD42" s="53" t="n">
        <f aca="false">AD40+AD41</f>
        <v>584067.134974254</v>
      </c>
      <c r="AE42" s="53" t="n">
        <f aca="false">AE40+AE41</f>
        <v>603993.543534389</v>
      </c>
      <c r="AF42" s="53" t="n">
        <f aca="false">AF40+AF41</f>
        <v>624724.332644582</v>
      </c>
      <c r="AG42" s="53" t="n">
        <f aca="false">AG40+AG41</f>
        <v>646345.07656978</v>
      </c>
      <c r="AH42" s="53" t="n">
        <f aca="false">AH40+AH41</f>
        <v>668949.720948075</v>
      </c>
      <c r="AI42" s="53" t="n">
        <f aca="false">AI40+AI41</f>
        <v>692641.235572418</v>
      </c>
      <c r="AJ42" s="53" t="n">
        <f aca="false">AJ40+AJ41</f>
        <v>717532.259491502</v>
      </c>
      <c r="AK42" s="53" t="n">
        <f aca="false">AK40+AK41</f>
        <v>743745.798580648</v>
      </c>
      <c r="AL42" s="53" t="n">
        <f aca="false">AL40+AL41</f>
        <v>771415.989897541</v>
      </c>
      <c r="AM42" s="53" t="n">
        <f aca="false">SUM(C42:AL42)</f>
        <v>15281830.9235644</v>
      </c>
    </row>
    <row r="43" customFormat="false" ht="15" hidden="false" customHeight="false" outlineLevel="0" collapsed="false">
      <c r="A43" s="10" t="s">
        <v>759</v>
      </c>
      <c r="B43" s="9" t="s">
        <v>95</v>
      </c>
      <c r="C43" s="70" t="n">
        <f aca="false">-C40*Assumptions!$E$55</f>
        <v>-0</v>
      </c>
      <c r="D43" s="70" t="n">
        <f aca="false">-D40*Assumptions!$E$55</f>
        <v>-30420</v>
      </c>
      <c r="E43" s="70" t="n">
        <f aca="false">-E40*Assumptions!$E$55</f>
        <v>-38486.2330247893</v>
      </c>
      <c r="F43" s="70" t="n">
        <f aca="false">-F40*Assumptions!$E$55</f>
        <v>-44850.862592058</v>
      </c>
      <c r="G43" s="70" t="n">
        <f aca="false">-G40*Assumptions!$E$55</f>
        <v>-51204.4672672628</v>
      </c>
      <c r="H43" s="70" t="n">
        <f aca="false">-H40*Assumptions!$E$55</f>
        <v>-57215.8246314488</v>
      </c>
      <c r="I43" s="70" t="n">
        <f aca="false">-I40*Assumptions!$E$55</f>
        <v>-62667.8152631631</v>
      </c>
      <c r="J43" s="70" t="n">
        <f aca="false">-J40*Assumptions!$E$55</f>
        <v>-67957.9005381422</v>
      </c>
      <c r="K43" s="70" t="n">
        <f aca="false">-K40*Assumptions!$E$55</f>
        <v>-72904.9389336628</v>
      </c>
      <c r="L43" s="70" t="n">
        <f aca="false">-L40*Assumptions!$E$55</f>
        <v>-77602.2113370807</v>
      </c>
      <c r="M43" s="70" t="n">
        <f aca="false">-M40*Assumptions!$E$55</f>
        <v>-82109.5894166353</v>
      </c>
      <c r="N43" s="70" t="n">
        <f aca="false">-N40*Assumptions!$E$55</f>
        <v>-86470.382774491</v>
      </c>
      <c r="O43" s="70" t="n">
        <f aca="false">-O40*Assumptions!$E$55</f>
        <v>-90720.3415221088</v>
      </c>
      <c r="P43" s="70" t="n">
        <f aca="false">-P40*Assumptions!$E$55</f>
        <v>-94889.8788535112</v>
      </c>
      <c r="Q43" s="70" t="n">
        <f aca="false">-Q40*Assumptions!$E$55</f>
        <v>-99005.4036378685</v>
      </c>
      <c r="R43" s="70" t="n">
        <f aca="false">-R40*Assumptions!$E$55</f>
        <v>-103090.294965247</v>
      </c>
      <c r="S43" s="70" t="n">
        <f aca="false">-S40*Assumptions!$E$55</f>
        <v>-107165.672752986</v>
      </c>
      <c r="T43" s="70" t="n">
        <f aca="false">-T40*Assumptions!$E$55</f>
        <v>-111251.023528379</v>
      </c>
      <c r="U43" s="70" t="n">
        <f aca="false">-U40*Assumptions!$E$55</f>
        <v>-115364.716430376</v>
      </c>
      <c r="V43" s="70" t="n">
        <f aca="false">-V40*Assumptions!$E$55</f>
        <v>-119524.434145831</v>
      </c>
      <c r="W43" s="70" t="n">
        <f aca="false">-W40*Assumptions!$E$55</f>
        <v>-123747.537604235</v>
      </c>
      <c r="X43" s="70" t="n">
        <f aca="false">-X40*Assumptions!$E$55</f>
        <v>-128051.379279287</v>
      </c>
      <c r="Y43" s="70" t="n">
        <f aca="false">-Y40*Assumptions!$E$55</f>
        <v>-132453.577023458</v>
      </c>
      <c r="Z43" s="70" t="n">
        <f aca="false">-Z40*Assumptions!$E$55</f>
        <v>-136972.258118276</v>
      </c>
      <c r="AA43" s="70" t="n">
        <f aca="false">-AA40*Assumptions!$E$55</f>
        <v>-141626.281463828</v>
      </c>
      <c r="AB43" s="70" t="n">
        <f aca="false">-AB40*Assumptions!$E$55</f>
        <v>-146435.444438732</v>
      </c>
      <c r="AC43" s="70" t="n">
        <f aca="false">-AC40*Assumptions!$E$55</f>
        <v>-151407.526489415</v>
      </c>
      <c r="AD43" s="70" t="n">
        <f aca="false">-AD40*Assumptions!$E$55</f>
        <v>-156554.077415779</v>
      </c>
      <c r="AE43" s="70" t="n">
        <f aca="false">-AE40*Assumptions!$E$55</f>
        <v>-161895.176617465</v>
      </c>
      <c r="AF43" s="70" t="n">
        <f aca="false">-AF40*Assumptions!$E$55</f>
        <v>-167451.882976898</v>
      </c>
      <c r="AG43" s="70" t="n">
        <f aca="false">-AG40*Assumptions!$E$55</f>
        <v>-173247.13392592</v>
      </c>
      <c r="AH43" s="70" t="n">
        <f aca="false">-AH40*Assumptions!$E$55</f>
        <v>-179306.110769587</v>
      </c>
      <c r="AI43" s="70" t="n">
        <f aca="false">-AI40*Assumptions!$E$55</f>
        <v>-185656.413658586</v>
      </c>
      <c r="AJ43" s="70" t="n">
        <f aca="false">-AJ40*Assumptions!$E$55</f>
        <v>-192328.234502877</v>
      </c>
      <c r="AK43" s="70" t="n">
        <f aca="false">-AK40*Assumptions!$E$55</f>
        <v>-199354.543949452</v>
      </c>
      <c r="AL43" s="70" t="n">
        <f aca="false">-AL40*Assumptions!$E$55</f>
        <v>-206771.296261197</v>
      </c>
      <c r="AM43" s="70" t="n">
        <f aca="false">SUM(C43:AL43)</f>
        <v>-4096160.86611003</v>
      </c>
    </row>
    <row r="44" customFormat="false" ht="15" hidden="false" customHeight="false" outlineLevel="0" collapsed="false">
      <c r="A44" s="10" t="s">
        <v>760</v>
      </c>
      <c r="B44" s="9" t="s">
        <v>95</v>
      </c>
      <c r="C44" s="70" t="n">
        <f aca="false">-C39*Assumptions!$E$56</f>
        <v>-0</v>
      </c>
      <c r="D44" s="70" t="n">
        <f aca="false">-D39*Assumptions!$E$56</f>
        <v>-11250</v>
      </c>
      <c r="E44" s="70" t="n">
        <f aca="false">-E39*Assumptions!$E$56</f>
        <v>-14233.0743434872</v>
      </c>
      <c r="F44" s="70" t="n">
        <f aca="false">-F39*Assumptions!$E$56</f>
        <v>-16586.8574674771</v>
      </c>
      <c r="G44" s="70" t="n">
        <f aca="false">-G39*Assumptions!$E$56</f>
        <v>-18936.5633384848</v>
      </c>
      <c r="H44" s="70" t="n">
        <f aca="false">-H39*Assumptions!$E$56</f>
        <v>-21159.698458376</v>
      </c>
      <c r="I44" s="70" t="n">
        <f aca="false">-I39*Assumptions!$E$56</f>
        <v>-23175.9671831224</v>
      </c>
      <c r="J44" s="70" t="n">
        <f aca="false">-J39*Assumptions!$E$56</f>
        <v>-25132.3596664727</v>
      </c>
      <c r="K44" s="70" t="n">
        <f aca="false">-K39*Assumptions!$E$56</f>
        <v>-26961.8857003191</v>
      </c>
      <c r="L44" s="70" t="n">
        <f aca="false">-L39*Assumptions!$E$56</f>
        <v>-28699.0426542458</v>
      </c>
      <c r="M44" s="70" t="n">
        <f aca="false">-M39*Assumptions!$E$56</f>
        <v>-30365.9724173947</v>
      </c>
      <c r="N44" s="70" t="n">
        <f aca="false">-N39*Assumptions!$E$56</f>
        <v>-31978.6918544715</v>
      </c>
      <c r="O44" s="70" t="n">
        <f aca="false">-O39*Assumptions!$E$56</f>
        <v>-33550.4221605432</v>
      </c>
      <c r="P44" s="70" t="n">
        <f aca="false">-P39*Assumptions!$E$56</f>
        <v>-35092.4108186062</v>
      </c>
      <c r="Q44" s="70" t="n">
        <f aca="false">-Q39*Assumptions!$E$56</f>
        <v>-36614.4244222887</v>
      </c>
      <c r="R44" s="70" t="n">
        <f aca="false">-R39*Assumptions!$E$56</f>
        <v>-38125.1090847808</v>
      </c>
      <c r="S44" s="70" t="n">
        <f aca="false">-S39*Assumptions!$E$56</f>
        <v>-39632.2754264001</v>
      </c>
      <c r="T44" s="70" t="n">
        <f aca="false">-T39*Assumptions!$E$56</f>
        <v>-41143.1300030986</v>
      </c>
      <c r="U44" s="70" t="n">
        <f aca="false">-U39*Assumptions!$E$56</f>
        <v>-42664.4661354939</v>
      </c>
      <c r="V44" s="70" t="n">
        <f aca="false">-V39*Assumptions!$E$56</f>
        <v>-44202.8232787836</v>
      </c>
      <c r="W44" s="70" t="n">
        <f aca="false">-W39*Assumptions!$E$56</f>
        <v>-45764.6218950573</v>
      </c>
      <c r="X44" s="70" t="n">
        <f aca="false">-X39*Assumptions!$E$56</f>
        <v>-47356.279319263</v>
      </c>
      <c r="Y44" s="70" t="n">
        <f aca="false">-Y39*Assumptions!$E$56</f>
        <v>-48984.3110293854</v>
      </c>
      <c r="Z44" s="70" t="n">
        <f aca="false">-Z39*Assumptions!$E$56</f>
        <v>-50655.4209017293</v>
      </c>
      <c r="AA44" s="70" t="n">
        <f aca="false">-AA39*Assumptions!$E$56</f>
        <v>-52376.5833815933</v>
      </c>
      <c r="AB44" s="70" t="n">
        <f aca="false">-AB39*Assumptions!$E$56</f>
        <v>-54155.1199847383</v>
      </c>
      <c r="AC44" s="70" t="n">
        <f aca="false">-AC39*Assumptions!$E$56</f>
        <v>-55993.9077253755</v>
      </c>
      <c r="AD44" s="70" t="n">
        <f aca="false">-AD39*Assumptions!$E$56</f>
        <v>-57897.2179792083</v>
      </c>
      <c r="AE44" s="70" t="n">
        <f aca="false">-AE39*Assumptions!$E$56</f>
        <v>-59872.4765597135</v>
      </c>
      <c r="AF44" s="70" t="n">
        <f aca="false">-AF39*Assumptions!$E$56</f>
        <v>-61927.4715151251</v>
      </c>
      <c r="AG44" s="70" t="n">
        <f aca="false">-AG39*Assumptions!$E$56</f>
        <v>-64070.6856234913</v>
      </c>
      <c r="AH44" s="70" t="n">
        <f aca="false">-AH39*Assumptions!$E$56</f>
        <v>-66311.4314976283</v>
      </c>
      <c r="AI44" s="70" t="n">
        <f aca="false">-AI39*Assumptions!$E$56</f>
        <v>-68659.9162938559</v>
      </c>
      <c r="AJ44" s="70" t="n">
        <f aca="false">-AJ39*Assumptions!$E$56</f>
        <v>-71127.305659348</v>
      </c>
      <c r="AK44" s="70" t="n">
        <f aca="false">-AK39*Assumptions!$E$56</f>
        <v>-73725.7928807145</v>
      </c>
      <c r="AL44" s="70" t="n">
        <f aca="false">-AL39*Assumptions!$E$56</f>
        <v>-76468.6746528094</v>
      </c>
      <c r="AM44" s="70" t="n">
        <f aca="false">SUM(C44:AL44)</f>
        <v>-1514852.39131288</v>
      </c>
    </row>
    <row r="45" customFormat="false" ht="15" hidden="false" customHeight="false" outlineLevel="0" collapsed="false">
      <c r="A45" s="10" t="s">
        <v>761</v>
      </c>
      <c r="B45" s="9" t="s">
        <v>95</v>
      </c>
      <c r="C45" s="70" t="n">
        <f aca="false">-C42*Assumptions!$E$79</f>
        <v>-0</v>
      </c>
      <c r="D45" s="70" t="n">
        <f aca="false">-D42*Assumptions!$E$79</f>
        <v>-3291.21</v>
      </c>
      <c r="E45" s="70" t="n">
        <f aca="false">-E42*Assumptions!$E$79</f>
        <v>-4163.91436533586</v>
      </c>
      <c r="F45" s="70" t="n">
        <f aca="false">-F42*Assumptions!$E$79</f>
        <v>-4852.51832582535</v>
      </c>
      <c r="G45" s="70" t="n">
        <f aca="false">-G42*Assumptions!$E$79</f>
        <v>-5539.92947780039</v>
      </c>
      <c r="H45" s="70" t="n">
        <f aca="false">-H42*Assumptions!$E$79</f>
        <v>-6190.31210339482</v>
      </c>
      <c r="I45" s="70" t="n">
        <f aca="false">-I42*Assumptions!$E$79</f>
        <v>-6780.17555135683</v>
      </c>
      <c r="J45" s="70" t="n">
        <f aca="false">-J42*Assumptions!$E$79</f>
        <v>-7352.52208514592</v>
      </c>
      <c r="K45" s="70" t="n">
        <f aca="false">-K42*Assumptions!$E$79</f>
        <v>-7887.75358539975</v>
      </c>
      <c r="L45" s="70" t="n">
        <f aca="false">-L42*Assumptions!$E$79</f>
        <v>-8395.96232658492</v>
      </c>
      <c r="M45" s="70" t="n">
        <f aca="false">-M42*Assumptions!$E$79</f>
        <v>-8883.62596265366</v>
      </c>
      <c r="N45" s="70" t="n">
        <f aca="false">-N42*Assumptions!$E$79</f>
        <v>-9355.43025940936</v>
      </c>
      <c r="O45" s="70" t="n">
        <f aca="false">-O42*Assumptions!$E$79</f>
        <v>-9815.24310391123</v>
      </c>
      <c r="P45" s="70" t="n">
        <f aca="false">-P42*Assumptions!$E$79</f>
        <v>-10266.3549698049</v>
      </c>
      <c r="Q45" s="70" t="n">
        <f aca="false">-Q42*Assumptions!$E$79</f>
        <v>-10711.6230935894</v>
      </c>
      <c r="R45" s="70" t="n">
        <f aca="false">-R42*Assumptions!$E$79</f>
        <v>-11153.5769129708</v>
      </c>
      <c r="S45" s="70" t="n">
        <f aca="false">-S42*Assumptions!$E$79</f>
        <v>-11594.5014405442</v>
      </c>
      <c r="T45" s="70" t="n">
        <f aca="false">-T42*Assumptions!$E$79</f>
        <v>-12036.5049686665</v>
      </c>
      <c r="U45" s="70" t="n">
        <f aca="false">-U42*Assumptions!$E$79</f>
        <v>-12481.574896871</v>
      </c>
      <c r="V45" s="70" t="n">
        <f aca="false">-V42*Assumptions!$E$79</f>
        <v>-12931.6243558547</v>
      </c>
      <c r="W45" s="70" t="n">
        <f aca="false">-W42*Assumptions!$E$79</f>
        <v>-13388.5316646428</v>
      </c>
      <c r="X45" s="70" t="n">
        <f aca="false">-X42*Assumptions!$E$79</f>
        <v>-13854.174227409</v>
      </c>
      <c r="Y45" s="70" t="n">
        <f aca="false">-Y42*Assumptions!$E$79</f>
        <v>-14330.4581602688</v>
      </c>
      <c r="Z45" s="70" t="n">
        <f aca="false">-Z42*Assumptions!$E$79</f>
        <v>-14819.3446956427</v>
      </c>
      <c r="AA45" s="70" t="n">
        <f aca="false">-AA42*Assumptions!$E$79</f>
        <v>-15322.8742214519</v>
      </c>
      <c r="AB45" s="70" t="n">
        <f aca="false">-AB42*Assumptions!$E$79</f>
        <v>-15843.1886617752</v>
      </c>
      <c r="AC45" s="70" t="n">
        <f aca="false">-AC42*Assumptions!$E$79</f>
        <v>-16381.1296928741</v>
      </c>
      <c r="AD45" s="70" t="n">
        <f aca="false">-AD42*Assumptions!$E$79</f>
        <v>-16937.9469142534</v>
      </c>
      <c r="AE45" s="70" t="n">
        <f aca="false">-AE42*Assumptions!$E$79</f>
        <v>-17515.8127624973</v>
      </c>
      <c r="AF45" s="70" t="n">
        <f aca="false">-AF42*Assumptions!$E$79</f>
        <v>-18117.0056466929</v>
      </c>
      <c r="AG45" s="70" t="n">
        <f aca="false">-AG42*Assumptions!$E$79</f>
        <v>-18744.0072205236</v>
      </c>
      <c r="AH45" s="70" t="n">
        <f aca="false">-AH42*Assumptions!$E$79</f>
        <v>-19399.5419074942</v>
      </c>
      <c r="AI45" s="70" t="n">
        <f aca="false">-AI42*Assumptions!$E$79</f>
        <v>-20086.5958316001</v>
      </c>
      <c r="AJ45" s="70" t="n">
        <f aca="false">-AJ42*Assumptions!$E$79</f>
        <v>-20808.4355252536</v>
      </c>
      <c r="AK45" s="70" t="n">
        <f aca="false">-AK42*Assumptions!$E$79</f>
        <v>-21568.6281588388</v>
      </c>
      <c r="AL45" s="70" t="n">
        <f aca="false">-AL42*Assumptions!$E$79</f>
        <v>-22371.0637070287</v>
      </c>
      <c r="AM45" s="70" t="n">
        <f aca="false">SUM(C45:AL45)</f>
        <v>-443173.096783366</v>
      </c>
    </row>
    <row r="46" customFormat="false" ht="15" hidden="false" customHeight="false" outlineLevel="0" collapsed="false">
      <c r="A46" s="38" t="s">
        <v>762</v>
      </c>
      <c r="B46" s="9" t="s">
        <v>95</v>
      </c>
      <c r="C46" s="53" t="n">
        <f aca="false">C42+C43+C44+C45</f>
        <v>0</v>
      </c>
      <c r="D46" s="53" t="n">
        <f aca="false">D42+D43+D44+D45</f>
        <v>68528.79</v>
      </c>
      <c r="E46" s="53" t="n">
        <f aca="false">E42+E43+E44+E45</f>
        <v>86700.0322434863</v>
      </c>
      <c r="F46" s="53" t="n">
        <f aca="false">F42+F43+F44+F45</f>
        <v>101037.979746548</v>
      </c>
      <c r="G46" s="53" t="n">
        <f aca="false">G42+G43+G44+G45</f>
        <v>115351.090875086</v>
      </c>
      <c r="H46" s="53" t="n">
        <f aca="false">H42+H43+H44+H45</f>
        <v>128893.202854878</v>
      </c>
      <c r="I46" s="53" t="n">
        <f aca="false">I42+I43+I44+I45</f>
        <v>141175.198945697</v>
      </c>
      <c r="J46" s="53" t="n">
        <f aca="false">J42+J43+J44+J45</f>
        <v>153092.462025616</v>
      </c>
      <c r="K46" s="53" t="n">
        <f aca="false">K42+K43+K44+K45</f>
        <v>164236.924725437</v>
      </c>
      <c r="L46" s="53" t="n">
        <f aca="false">L42+L43+L44+L45</f>
        <v>174818.72597812</v>
      </c>
      <c r="M46" s="53" t="n">
        <f aca="false">M42+M43+M44+M45</f>
        <v>184972.741949994</v>
      </c>
      <c r="N46" s="53" t="n">
        <f aca="false">N42+N43+N44+N45</f>
        <v>194796.538539537</v>
      </c>
      <c r="O46" s="53" t="n">
        <f aca="false">O42+O43+O44+O45</f>
        <v>204370.651968997</v>
      </c>
      <c r="P46" s="53" t="n">
        <f aca="false">P42+P43+P44+P45</f>
        <v>213763.595696177</v>
      </c>
      <c r="Q46" s="53" t="n">
        <f aca="false">Q42+Q43+Q44+Q45</f>
        <v>223034.862418301</v>
      </c>
      <c r="R46" s="53" t="n">
        <f aca="false">R42+R43+R44+R45</f>
        <v>232237.11948427</v>
      </c>
      <c r="S46" s="53" t="n">
        <f aca="false">S42+S43+S44+S45</f>
        <v>241417.944881594</v>
      </c>
      <c r="T46" s="53" t="n">
        <f aca="false">T42+T43+T44+T45</f>
        <v>250621.236971115</v>
      </c>
      <c r="U46" s="53" t="n">
        <f aca="false">U42+U43+U44+U45</f>
        <v>259888.376912122</v>
      </c>
      <c r="V46" s="53" t="n">
        <f aca="false">V42+V43+V44+V45</f>
        <v>269259.1994559</v>
      </c>
      <c r="W46" s="53" t="n">
        <f aca="false">W42+W43+W44+W45</f>
        <v>278772.814513403</v>
      </c>
      <c r="X46" s="53" t="n">
        <f aca="false">X42+X43+X44+X45</f>
        <v>288468.312946766</v>
      </c>
      <c r="Y46" s="53" t="n">
        <f aca="false">Y42+Y43+Y44+Y45</f>
        <v>298385.383451328</v>
      </c>
      <c r="Z46" s="53" t="n">
        <f aca="false">Z42+Z43+Z44+Z45</f>
        <v>308564.862340997</v>
      </c>
      <c r="AA46" s="53" t="n">
        <f aca="false">AA42+AA43+AA44+AA45</f>
        <v>319049.23408664</v>
      </c>
      <c r="AB46" s="53" t="n">
        <f aca="false">AB42+AB43+AB44+AB45</f>
        <v>329883.097320794</v>
      </c>
      <c r="AC46" s="53" t="n">
        <f aca="false">AC42+AC43+AC44+AC45</f>
        <v>341083.977225923</v>
      </c>
      <c r="AD46" s="53" t="n">
        <f aca="false">AD42+AD43+AD44+AD45</f>
        <v>352677.892665013</v>
      </c>
      <c r="AE46" s="53" t="n">
        <f aca="false">AE42+AE43+AE44+AE45</f>
        <v>364710.077594713</v>
      </c>
      <c r="AF46" s="53" t="n">
        <f aca="false">AF42+AF43+AF44+AF45</f>
        <v>377227.972505866</v>
      </c>
      <c r="AG46" s="53" t="n">
        <f aca="false">AG42+AG43+AG44+AG45</f>
        <v>390283.249799845</v>
      </c>
      <c r="AH46" s="53" t="n">
        <f aca="false">AH42+AH43+AH44+AH45</f>
        <v>403932.636773365</v>
      </c>
      <c r="AI46" s="53" t="n">
        <f aca="false">AI42+AI43+AI44+AI45</f>
        <v>418238.309788376</v>
      </c>
      <c r="AJ46" s="53" t="n">
        <f aca="false">AJ42+AJ43+AJ44+AJ45</f>
        <v>433268.283804024</v>
      </c>
      <c r="AK46" s="53" t="n">
        <f aca="false">AK42+AK43+AK44+AK45</f>
        <v>449096.833591643</v>
      </c>
      <c r="AL46" s="53" t="n">
        <f aca="false">AL42+AL43+AL44+AL45</f>
        <v>465804.955276506</v>
      </c>
      <c r="AM46" s="53" t="n">
        <f aca="false">SUM(C46:AL46)</f>
        <v>9227644.56935808</v>
      </c>
    </row>
    <row r="47" customFormat="false" ht="15" hidden="false" customHeight="false" outlineLevel="0" collapsed="false">
      <c r="A47" s="10" t="s">
        <v>763</v>
      </c>
      <c r="B47" s="9" t="s">
        <v>59</v>
      </c>
      <c r="C47" s="62" t="n">
        <f aca="false">IFERROR(C46/C42,0)</f>
        <v>0</v>
      </c>
      <c r="D47" s="62" t="n">
        <f aca="false">IFERROR(D46/D42,0)</f>
        <v>0.603831086439334</v>
      </c>
      <c r="E47" s="62" t="n">
        <f aca="false">IFERROR(E46/E42,0)</f>
        <v>0.603831086439334</v>
      </c>
      <c r="F47" s="62" t="n">
        <f aca="false">IFERROR(F46/F42,0)</f>
        <v>0.603831086439334</v>
      </c>
      <c r="G47" s="62" t="n">
        <f aca="false">IFERROR(G46/G42,0)</f>
        <v>0.603831086439334</v>
      </c>
      <c r="H47" s="62" t="n">
        <f aca="false">IFERROR(H46/H42,0)</f>
        <v>0.603831086439334</v>
      </c>
      <c r="I47" s="62" t="n">
        <f aca="false">IFERROR(I46/I42,0)</f>
        <v>0.603831086439334</v>
      </c>
      <c r="J47" s="62" t="n">
        <f aca="false">IFERROR(J46/J42,0)</f>
        <v>0.603831086439334</v>
      </c>
      <c r="K47" s="62" t="n">
        <f aca="false">IFERROR(K46/K42,0)</f>
        <v>0.603831086439334</v>
      </c>
      <c r="L47" s="62" t="n">
        <f aca="false">IFERROR(L46/L42,0)</f>
        <v>0.603831086439334</v>
      </c>
      <c r="M47" s="62" t="n">
        <f aca="false">IFERROR(M46/M42,0)</f>
        <v>0.603831086439334</v>
      </c>
      <c r="N47" s="62" t="n">
        <f aca="false">IFERROR(N46/N42,0)</f>
        <v>0.603831086439334</v>
      </c>
      <c r="O47" s="62" t="n">
        <f aca="false">IFERROR(O46/O42,0)</f>
        <v>0.603831086439334</v>
      </c>
      <c r="P47" s="62" t="n">
        <f aca="false">IFERROR(P46/P42,0)</f>
        <v>0.603831086439334</v>
      </c>
      <c r="Q47" s="62" t="n">
        <f aca="false">IFERROR(Q46/Q42,0)</f>
        <v>0.603831086439334</v>
      </c>
      <c r="R47" s="62" t="n">
        <f aca="false">IFERROR(R46/R42,0)</f>
        <v>0.603831086439334</v>
      </c>
      <c r="S47" s="62" t="n">
        <f aca="false">IFERROR(S46/S42,0)</f>
        <v>0.603831086439334</v>
      </c>
      <c r="T47" s="62" t="n">
        <f aca="false">IFERROR(T46/T42,0)</f>
        <v>0.603831086439334</v>
      </c>
      <c r="U47" s="62" t="n">
        <f aca="false">IFERROR(U46/U42,0)</f>
        <v>0.603831086439334</v>
      </c>
      <c r="V47" s="62" t="n">
        <f aca="false">IFERROR(V46/V42,0)</f>
        <v>0.603831086439334</v>
      </c>
      <c r="W47" s="62" t="n">
        <f aca="false">IFERROR(W46/W42,0)</f>
        <v>0.603831086439334</v>
      </c>
      <c r="X47" s="62" t="n">
        <f aca="false">IFERROR(X46/X42,0)</f>
        <v>0.603831086439334</v>
      </c>
      <c r="Y47" s="62" t="n">
        <f aca="false">IFERROR(Y46/Y42,0)</f>
        <v>0.603831086439334</v>
      </c>
      <c r="Z47" s="62" t="n">
        <f aca="false">IFERROR(Z46/Z42,0)</f>
        <v>0.603831086439334</v>
      </c>
      <c r="AA47" s="62" t="n">
        <f aca="false">IFERROR(AA46/AA42,0)</f>
        <v>0.603831086439334</v>
      </c>
      <c r="AB47" s="62" t="n">
        <f aca="false">IFERROR(AB46/AB42,0)</f>
        <v>0.603831086439334</v>
      </c>
      <c r="AC47" s="62" t="n">
        <f aca="false">IFERROR(AC46/AC42,0)</f>
        <v>0.603831086439334</v>
      </c>
      <c r="AD47" s="62" t="n">
        <f aca="false">IFERROR(AD46/AD42,0)</f>
        <v>0.603831086439334</v>
      </c>
      <c r="AE47" s="62" t="n">
        <f aca="false">IFERROR(AE46/AE42,0)</f>
        <v>0.603831086439334</v>
      </c>
      <c r="AF47" s="62" t="n">
        <f aca="false">IFERROR(AF46/AF42,0)</f>
        <v>0.603831086439334</v>
      </c>
      <c r="AG47" s="62" t="n">
        <f aca="false">IFERROR(AG46/AG42,0)</f>
        <v>0.603831086439334</v>
      </c>
      <c r="AH47" s="62" t="n">
        <f aca="false">IFERROR(AH46/AH42,0)</f>
        <v>0.603831086439334</v>
      </c>
      <c r="AI47" s="62" t="n">
        <f aca="false">IFERROR(AI46/AI42,0)</f>
        <v>0.603831086439334</v>
      </c>
      <c r="AJ47" s="62" t="n">
        <f aca="false">IFERROR(AJ46/AJ42,0)</f>
        <v>0.603831086439334</v>
      </c>
      <c r="AK47" s="62" t="n">
        <f aca="false">IFERROR(AK46/AK42,0)</f>
        <v>0.603831086439334</v>
      </c>
      <c r="AL47" s="62" t="n">
        <f aca="false">IFERROR(AL46/AL42,0)</f>
        <v>0.603831086439334</v>
      </c>
      <c r="AM47" s="62" t="n">
        <f aca="false">AVERAGE(N47:AL47)</f>
        <v>0.603831086439334</v>
      </c>
    </row>
    <row r="48" customFormat="false" ht="15" hidden="false" customHeight="false" outlineLevel="0" collapsed="false">
      <c r="A48" s="10" t="s">
        <v>764</v>
      </c>
      <c r="B48" s="9" t="s">
        <v>59</v>
      </c>
      <c r="C48" s="62" t="n">
        <f aca="false">IF(C9=0,0,MIN(Assumptions!$E$63,Assumptions!$E$61+Assumptions!$E$62*(C$5-Assumptions!$E$7)))</f>
        <v>0</v>
      </c>
      <c r="D48" s="62" t="n">
        <f aca="false">IF(D9=0,0,MIN(Assumptions!$E$63,Assumptions!$E$61+Assumptions!$E$62*(D$5-Assumptions!$E$7)))</f>
        <v>0</v>
      </c>
      <c r="E48" s="62" t="n">
        <f aca="false">IF(E9=0,0,MIN(Assumptions!$E$63,Assumptions!$E$61+Assumptions!$E$62*(E$5-Assumptions!$E$7)))</f>
        <v>0</v>
      </c>
      <c r="F48" s="62" t="n">
        <f aca="false">IF(F9=0,0,MIN(Assumptions!$E$63,Assumptions!$E$61+Assumptions!$E$62*(F$5-Assumptions!$E$7)))</f>
        <v>0</v>
      </c>
      <c r="G48" s="62" t="n">
        <f aca="false">IF(G9=0,0,MIN(Assumptions!$E$63,Assumptions!$E$61+Assumptions!$E$62*(G$5-Assumptions!$E$7)))</f>
        <v>0</v>
      </c>
      <c r="H48" s="62" t="n">
        <f aca="false">IF(H9=0,0,MIN(Assumptions!$E$63,Assumptions!$E$61+Assumptions!$E$62*(H$5-Assumptions!$E$7)))</f>
        <v>0</v>
      </c>
      <c r="I48" s="62" t="n">
        <f aca="false">IF(I9=0,0,MIN(Assumptions!$E$63,Assumptions!$E$61+Assumptions!$E$62*(I$5-Assumptions!$E$7)))</f>
        <v>0.36</v>
      </c>
      <c r="J48" s="62" t="n">
        <f aca="false">IF(J9=0,0,MIN(Assumptions!$E$63,Assumptions!$E$61+Assumptions!$E$62*(J$5-Assumptions!$E$7)))</f>
        <v>0.385</v>
      </c>
      <c r="K48" s="62" t="n">
        <f aca="false">IF(K9=0,0,MIN(Assumptions!$E$63,Assumptions!$E$61+Assumptions!$E$62*(K$5-Assumptions!$E$7)))</f>
        <v>0.41</v>
      </c>
      <c r="L48" s="62" t="n">
        <f aca="false">IF(L9=0,0,MIN(Assumptions!$E$63,Assumptions!$E$61+Assumptions!$E$62*(L$5-Assumptions!$E$7)))</f>
        <v>0.435</v>
      </c>
      <c r="M48" s="62" t="n">
        <f aca="false">IF(M9=0,0,MIN(Assumptions!$E$63,Assumptions!$E$61+Assumptions!$E$62*(M$5-Assumptions!$E$7)))</f>
        <v>0.46</v>
      </c>
      <c r="N48" s="62" t="n">
        <f aca="false">IF(N9=0,0,MIN(Assumptions!$E$63,Assumptions!$E$61+Assumptions!$E$62*(N$5-Assumptions!$E$7)))</f>
        <v>0.485</v>
      </c>
      <c r="O48" s="62" t="n">
        <f aca="false">IF(O9=0,0,MIN(Assumptions!$E$63,Assumptions!$E$61+Assumptions!$E$62*(O$5-Assumptions!$E$7)))</f>
        <v>0.51</v>
      </c>
      <c r="P48" s="62" t="n">
        <f aca="false">IF(P9=0,0,MIN(Assumptions!$E$63,Assumptions!$E$61+Assumptions!$E$62*(P$5-Assumptions!$E$7)))</f>
        <v>0.535</v>
      </c>
      <c r="Q48" s="62" t="n">
        <f aca="false">IF(Q9=0,0,MIN(Assumptions!$E$63,Assumptions!$E$61+Assumptions!$E$62*(Q$5-Assumptions!$E$7)))</f>
        <v>0.56</v>
      </c>
      <c r="R48" s="62" t="n">
        <f aca="false">IF(R9=0,0,MIN(Assumptions!$E$63,Assumptions!$E$61+Assumptions!$E$62*(R$5-Assumptions!$E$7)))</f>
        <v>0.585</v>
      </c>
      <c r="S48" s="62" t="n">
        <f aca="false">IF(S9=0,0,MIN(Assumptions!$E$63,Assumptions!$E$61+Assumptions!$E$62*(S$5-Assumptions!$E$7)))</f>
        <v>0.61</v>
      </c>
      <c r="T48" s="62" t="n">
        <f aca="false">IF(T9=0,0,MIN(Assumptions!$E$63,Assumptions!$E$61+Assumptions!$E$62*(T$5-Assumptions!$E$7)))</f>
        <v>0.635</v>
      </c>
      <c r="U48" s="62" t="n">
        <f aca="false">IF(U9=0,0,MIN(Assumptions!$E$63,Assumptions!$E$61+Assumptions!$E$62*(U$5-Assumptions!$E$7)))</f>
        <v>0.66</v>
      </c>
      <c r="V48" s="62" t="n">
        <f aca="false">IF(V9=0,0,MIN(Assumptions!$E$63,Assumptions!$E$61+Assumptions!$E$62*(V$5-Assumptions!$E$7)))</f>
        <v>0.685</v>
      </c>
      <c r="W48" s="62" t="n">
        <f aca="false">IF(W9=0,0,MIN(Assumptions!$E$63,Assumptions!$E$61+Assumptions!$E$62*(W$5-Assumptions!$E$7)))</f>
        <v>0.71</v>
      </c>
      <c r="X48" s="62" t="n">
        <f aca="false">IF(X9=0,0,MIN(Assumptions!$E$63,Assumptions!$E$61+Assumptions!$E$62*(X$5-Assumptions!$E$7)))</f>
        <v>0.735</v>
      </c>
      <c r="Y48" s="62" t="n">
        <f aca="false">IF(Y9=0,0,MIN(Assumptions!$E$63,Assumptions!$E$61+Assumptions!$E$62*(Y$5-Assumptions!$E$7)))</f>
        <v>0.76</v>
      </c>
      <c r="Z48" s="62" t="n">
        <f aca="false">IF(Z9=0,0,MIN(Assumptions!$E$63,Assumptions!$E$61+Assumptions!$E$62*(Z$5-Assumptions!$E$7)))</f>
        <v>0.785</v>
      </c>
      <c r="AA48" s="62" t="n">
        <f aca="false">IF(AA9=0,0,MIN(Assumptions!$E$63,Assumptions!$E$61+Assumptions!$E$62*(AA$5-Assumptions!$E$7)))</f>
        <v>0.81</v>
      </c>
      <c r="AB48" s="62" t="n">
        <f aca="false">IF(AB9=0,0,MIN(Assumptions!$E$63,Assumptions!$E$61+Assumptions!$E$62*(AB$5-Assumptions!$E$7)))</f>
        <v>0.82</v>
      </c>
      <c r="AC48" s="62" t="n">
        <f aca="false">IF(AC9=0,0,MIN(Assumptions!$E$63,Assumptions!$E$61+Assumptions!$E$62*(AC$5-Assumptions!$E$7)))</f>
        <v>0.82</v>
      </c>
      <c r="AD48" s="62" t="n">
        <f aca="false">IF(AD9=0,0,MIN(Assumptions!$E$63,Assumptions!$E$61+Assumptions!$E$62*(AD$5-Assumptions!$E$7)))</f>
        <v>0.82</v>
      </c>
      <c r="AE48" s="62" t="n">
        <f aca="false">IF(AE9=0,0,MIN(Assumptions!$E$63,Assumptions!$E$61+Assumptions!$E$62*(AE$5-Assumptions!$E$7)))</f>
        <v>0.82</v>
      </c>
      <c r="AF48" s="62" t="n">
        <f aca="false">IF(AF9=0,0,MIN(Assumptions!$E$63,Assumptions!$E$61+Assumptions!$E$62*(AF$5-Assumptions!$E$7)))</f>
        <v>0.82</v>
      </c>
      <c r="AG48" s="62" t="n">
        <f aca="false">IF(AG9=0,0,MIN(Assumptions!$E$63,Assumptions!$E$61+Assumptions!$E$62*(AG$5-Assumptions!$E$7)))</f>
        <v>0.82</v>
      </c>
      <c r="AH48" s="62" t="n">
        <f aca="false">IF(AH9=0,0,MIN(Assumptions!$E$63,Assumptions!$E$61+Assumptions!$E$62*(AH$5-Assumptions!$E$7)))</f>
        <v>0.82</v>
      </c>
      <c r="AI48" s="62" t="n">
        <f aca="false">IF(AI9=0,0,MIN(Assumptions!$E$63,Assumptions!$E$61+Assumptions!$E$62*(AI$5-Assumptions!$E$7)))</f>
        <v>0.82</v>
      </c>
      <c r="AJ48" s="62" t="n">
        <f aca="false">IF(AJ9=0,0,MIN(Assumptions!$E$63,Assumptions!$E$61+Assumptions!$E$62*(AJ$5-Assumptions!$E$7)))</f>
        <v>0.82</v>
      </c>
      <c r="AK48" s="62" t="n">
        <f aca="false">IF(AK9=0,0,MIN(Assumptions!$E$63,Assumptions!$E$61+Assumptions!$E$62*(AK$5-Assumptions!$E$7)))</f>
        <v>0.82</v>
      </c>
      <c r="AL48" s="62" t="n">
        <f aca="false">IF(AL9=0,0,MIN(Assumptions!$E$63,Assumptions!$E$61+Assumptions!$E$62*(AL$5-Assumptions!$E$7)))</f>
        <v>0.82</v>
      </c>
      <c r="AM48" s="62" t="n">
        <f aca="false">AL48</f>
        <v>0.82</v>
      </c>
    </row>
    <row r="49" customFormat="false" ht="15" hidden="false" customHeight="false" outlineLevel="0" collapsed="false">
      <c r="A49" s="10" t="s">
        <v>765</v>
      </c>
      <c r="B49" s="9" t="s">
        <v>82</v>
      </c>
      <c r="C49" s="61" t="n">
        <f aca="false">C15+C19+C23+(C13+C25)*Assumptions!$E$45</f>
        <v>5752.96725580478</v>
      </c>
      <c r="D49" s="61" t="n">
        <f aca="false">D15+D19+D23+(D13+D25)*Assumptions!$E$45</f>
        <v>87852.2383448276</v>
      </c>
      <c r="E49" s="61" t="n">
        <f aca="false">E15+E19+E23+(E13+E25)*Assumptions!$E$45</f>
        <v>48994.6786510345</v>
      </c>
      <c r="F49" s="61" t="n">
        <f aca="false">F15+F19+F23+(F13+F25)*Assumptions!$E$45</f>
        <v>49295.6281114922</v>
      </c>
      <c r="G49" s="61" t="n">
        <f aca="false">G15+G19+G23+(G13+G25)*Assumptions!$E$45</f>
        <v>50825.0386222866</v>
      </c>
      <c r="H49" s="61" t="n">
        <f aca="false">H15+H19+H23+(H13+H25)*Assumptions!$E$45</f>
        <v>50515.7452456645</v>
      </c>
      <c r="I49" s="61" t="n">
        <f aca="false">I15+I19+I23+(I13+I25)*Assumptions!$E$45</f>
        <v>50128.6415804825</v>
      </c>
      <c r="J49" s="61" t="n">
        <f aca="false">J15+J19+J23+(J13+J25)*Assumptions!$E$45</f>
        <v>50497.5489991142</v>
      </c>
      <c r="K49" s="61" t="n">
        <f aca="false">K15+K19+K23+(K13+K25)*Assumptions!$E$45</f>
        <v>50933.1070968936</v>
      </c>
      <c r="L49" s="61" t="n">
        <f aca="false">L15+L19+L23+(L13+L25)*Assumptions!$E$45</f>
        <v>51531.6450621587</v>
      </c>
      <c r="M49" s="61" t="n">
        <f aca="false">M15+M19+M23+(M13+M25)*Assumptions!$E$45</f>
        <v>52316.8723974561</v>
      </c>
      <c r="N49" s="61" t="n">
        <f aca="false">N15+N19+N23+(N13+N25)*Assumptions!$E$45</f>
        <v>53279.0790471654</v>
      </c>
      <c r="O49" s="61" t="n">
        <f aca="false">O15+O19+O23+(O13+O25)*Assumptions!$E$45</f>
        <v>54404.0875227473</v>
      </c>
      <c r="P49" s="61" t="n">
        <f aca="false">P15+P19+P23+(P13+P25)*Assumptions!$E$45</f>
        <v>55679.1469368948</v>
      </c>
      <c r="Q49" s="61" t="n">
        <f aca="false">Q15+Q19+Q23+(Q13+Q25)*Assumptions!$E$45</f>
        <v>57094.3578682614</v>
      </c>
      <c r="R49" s="61" t="n">
        <f aca="false">R15+R19+R23+(R13+R25)*Assumptions!$E$45</f>
        <v>58642.9223779783</v>
      </c>
      <c r="S49" s="61" t="n">
        <f aca="false">S15+S19+S23+(S13+S25)*Assumptions!$E$45</f>
        <v>60321.0276859241</v>
      </c>
      <c r="T49" s="61" t="n">
        <f aca="false">T15+T19+T23+(T13+T25)*Assumptions!$E$45</f>
        <v>62127.6146666266</v>
      </c>
      <c r="U49" s="61" t="n">
        <f aca="false">U15+U19+U23+(U13+U25)*Assumptions!$E$45</f>
        <v>64064.1287694522</v>
      </c>
      <c r="V49" s="61" t="n">
        <f aca="false">V15+V19+V23+(V13+V25)*Assumptions!$E$45</f>
        <v>66134.2937829547</v>
      </c>
      <c r="W49" s="61" t="n">
        <f aca="false">W15+W19+W23+(W13+W25)*Assumptions!$E$45</f>
        <v>68343.9240652667</v>
      </c>
      <c r="X49" s="61" t="n">
        <f aca="false">X15+X19+X23+(X13+X25)*Assumptions!$E$45</f>
        <v>70700.7795026006</v>
      </c>
      <c r="Y49" s="61" t="n">
        <f aca="false">Y15+Y19+Y23+(Y13+Y25)*Assumptions!$E$45</f>
        <v>73214.4623187108</v>
      </c>
      <c r="Z49" s="61" t="n">
        <f aca="false">Z15+Z19+Z23+(Z13+Z25)*Assumptions!$E$45</f>
        <v>75896.3527376234</v>
      </c>
      <c r="AA49" s="61" t="n">
        <f aca="false">AA15+AA19+AA23+(AA13+AA25)*Assumptions!$E$45</f>
        <v>78759.5798647337</v>
      </c>
      <c r="AB49" s="61" t="n">
        <f aca="false">AB15+AB19+AB23+(AB13+AB25)*Assumptions!$E$45</f>
        <v>81819.0242301918</v>
      </c>
      <c r="AC49" s="61" t="n">
        <f aca="false">AC15+AC19+AC23+(AC13+AC25)*Assumptions!$E$45</f>
        <v>85063.5522063889</v>
      </c>
      <c r="AD49" s="61" t="n">
        <f aca="false">AD15+AD19+AD23+(AD13+AD25)*Assumptions!$E$45</f>
        <v>88497.1310471498</v>
      </c>
      <c r="AE49" s="61" t="n">
        <f aca="false">AE15+AE19+AE23+(AE13+AE25)*Assumptions!$E$45</f>
        <v>92144.808427594</v>
      </c>
      <c r="AF49" s="61" t="n">
        <f aca="false">AF15+AF19+AF23+(AF13+AF25)*Assumptions!$E$45</f>
        <v>96030.2793244992</v>
      </c>
      <c r="AG49" s="61" t="n">
        <f aca="false">AG15+AG19+AG23+(AG13+AG25)*Assumptions!$E$45</f>
        <v>100178.123994333</v>
      </c>
      <c r="AH49" s="61" t="n">
        <f aca="false">AH15+AH19+AH23+(AH13+AH25)*Assumptions!$E$45</f>
        <v>104614.806930761</v>
      </c>
      <c r="AI49" s="61" t="n">
        <f aca="false">AI15+AI19+AI23+(AI13+AI25)*Assumptions!$E$45</f>
        <v>109368.963648124</v>
      </c>
      <c r="AJ49" s="61" t="n">
        <f aca="false">AJ15+AJ19+AJ23+(AJ13+AJ25)*Assumptions!$E$45</f>
        <v>114471.603180666</v>
      </c>
      <c r="AK49" s="61" t="n">
        <f aca="false">AK15+AK19+AK23+(AK13+AK25)*Assumptions!$E$45</f>
        <v>119956.314193543</v>
      </c>
      <c r="AL49" s="61" t="n">
        <f aca="false">AL15+AL19+AL23+(AL13+AL25)*Assumptions!$E$45</f>
        <v>125859.488450812</v>
      </c>
      <c r="AM49" s="61" t="n">
        <f aca="false">SUM(C49:AL49)</f>
        <v>2565309.96414822</v>
      </c>
    </row>
    <row r="50" customFormat="false" ht="15" hidden="false" customHeight="false" outlineLevel="0" collapsed="false">
      <c r="A50" s="10" t="s">
        <v>766</v>
      </c>
      <c r="B50" s="9" t="s">
        <v>49</v>
      </c>
      <c r="C50" s="61" t="n">
        <f aca="false">C49*Assumptions!$E$58*C9</f>
        <v>0</v>
      </c>
      <c r="D50" s="61" t="n">
        <f aca="false">D49*Assumptions!$E$58*D9</f>
        <v>0</v>
      </c>
      <c r="E50" s="61" t="n">
        <f aca="false">E49*Assumptions!$E$58*E9</f>
        <v>0</v>
      </c>
      <c r="F50" s="61" t="n">
        <f aca="false">F49*Assumptions!$E$58*F9</f>
        <v>0</v>
      </c>
      <c r="G50" s="61" t="n">
        <f aca="false">G49*Assumptions!$E$58*G9</f>
        <v>0</v>
      </c>
      <c r="H50" s="61" t="n">
        <f aca="false">H49*Assumptions!$E$58*H9</f>
        <v>0</v>
      </c>
      <c r="I50" s="61" t="n">
        <f aca="false">I49*Assumptions!$E$58*I9</f>
        <v>902.315548448685</v>
      </c>
      <c r="J50" s="61" t="n">
        <f aca="false">J49*Assumptions!$E$58*J9</f>
        <v>908.955881984056</v>
      </c>
      <c r="K50" s="61" t="n">
        <f aca="false">K49*Assumptions!$E$58*K9</f>
        <v>916.795927744085</v>
      </c>
      <c r="L50" s="61" t="n">
        <f aca="false">L49*Assumptions!$E$58*L9</f>
        <v>927.569611118856</v>
      </c>
      <c r="M50" s="61" t="n">
        <f aca="false">M49*Assumptions!$E$58*M9</f>
        <v>941.70370315421</v>
      </c>
      <c r="N50" s="61" t="n">
        <f aca="false">N49*Assumptions!$E$58*N9</f>
        <v>959.023422848978</v>
      </c>
      <c r="O50" s="61" t="n">
        <f aca="false">O49*Assumptions!$E$58*O9</f>
        <v>979.273575409452</v>
      </c>
      <c r="P50" s="61" t="n">
        <f aca="false">P49*Assumptions!$E$58*P9</f>
        <v>1002.22464486411</v>
      </c>
      <c r="Q50" s="61" t="n">
        <f aca="false">Q49*Assumptions!$E$58*Q9</f>
        <v>1027.6984416287</v>
      </c>
      <c r="R50" s="61" t="n">
        <f aca="false">R49*Assumptions!$E$58*R9</f>
        <v>1055.57260280361</v>
      </c>
      <c r="S50" s="61" t="n">
        <f aca="false">S49*Assumptions!$E$58*S9</f>
        <v>1085.77849834663</v>
      </c>
      <c r="T50" s="61" t="n">
        <f aca="false">T49*Assumptions!$E$58*T9</f>
        <v>1118.29706399928</v>
      </c>
      <c r="U50" s="61" t="n">
        <f aca="false">U49*Assumptions!$E$58*U9</f>
        <v>1153.15431785014</v>
      </c>
      <c r="V50" s="61" t="n">
        <f aca="false">V49*Assumptions!$E$58*V9</f>
        <v>1190.41728809318</v>
      </c>
      <c r="W50" s="61" t="n">
        <f aca="false">W49*Assumptions!$E$58*W9</f>
        <v>1230.1906331748</v>
      </c>
      <c r="X50" s="61" t="n">
        <f aca="false">X49*Assumptions!$E$58*X9</f>
        <v>1272.61403104681</v>
      </c>
      <c r="Y50" s="61" t="n">
        <f aca="false">Y49*Assumptions!$E$58*Y9</f>
        <v>1317.86032173679</v>
      </c>
      <c r="Z50" s="61" t="n">
        <f aca="false">Z49*Assumptions!$E$58*Z9</f>
        <v>1366.13434927722</v>
      </c>
      <c r="AA50" s="61" t="n">
        <f aca="false">AA49*Assumptions!$E$58*AA9</f>
        <v>1417.67243756521</v>
      </c>
      <c r="AB50" s="61" t="n">
        <f aca="false">AB49*Assumptions!$E$58*AB9</f>
        <v>1472.74243614345</v>
      </c>
      <c r="AC50" s="61" t="n">
        <f aca="false">AC49*Assumptions!$E$58*AC9</f>
        <v>1531.143939715</v>
      </c>
      <c r="AD50" s="61" t="n">
        <f aca="false">AD49*Assumptions!$E$58*AD9</f>
        <v>1592.9483588487</v>
      </c>
      <c r="AE50" s="61" t="n">
        <f aca="false">AE49*Assumptions!$E$58*AE9</f>
        <v>1658.60655169669</v>
      </c>
      <c r="AF50" s="61" t="n">
        <f aca="false">AF49*Assumptions!$E$58*AF9</f>
        <v>1728.54502784099</v>
      </c>
      <c r="AG50" s="61" t="n">
        <f aca="false">AG49*Assumptions!$E$58*AG9</f>
        <v>1803.206231898</v>
      </c>
      <c r="AH50" s="61" t="n">
        <f aca="false">AH49*Assumptions!$E$58*AH9</f>
        <v>1883.0665247537</v>
      </c>
      <c r="AI50" s="61" t="n">
        <f aca="false">AI49*Assumptions!$E$58*AI9</f>
        <v>1968.64134566623</v>
      </c>
      <c r="AJ50" s="61" t="n">
        <f aca="false">AJ49*Assumptions!$E$58*AJ9</f>
        <v>2060.48885725199</v>
      </c>
      <c r="AK50" s="61" t="n">
        <f aca="false">AK49*Assumptions!$E$58*AK9</f>
        <v>2159.21365548378</v>
      </c>
      <c r="AL50" s="61" t="n">
        <f aca="false">AL49*Assumptions!$E$58*AL9</f>
        <v>2265.47079211462</v>
      </c>
      <c r="AM50" s="61" t="n">
        <f aca="false">SUM(C50:AL50)</f>
        <v>40897.326022508</v>
      </c>
    </row>
    <row r="51" customFormat="false" ht="15" hidden="false" customHeight="false" outlineLevel="0" collapsed="false">
      <c r="A51" s="10" t="s">
        <v>767</v>
      </c>
      <c r="B51" s="9" t="s">
        <v>49</v>
      </c>
      <c r="C51" s="61" t="n">
        <f aca="false">C50*Assumptions!$E$59</f>
        <v>0</v>
      </c>
      <c r="D51" s="61" t="n">
        <f aca="false">D50*Assumptions!$E$59</f>
        <v>0</v>
      </c>
      <c r="E51" s="61" t="n">
        <f aca="false">E50*Assumptions!$E$59</f>
        <v>0</v>
      </c>
      <c r="F51" s="61" t="n">
        <f aca="false">F50*Assumptions!$E$59</f>
        <v>0</v>
      </c>
      <c r="G51" s="61" t="n">
        <f aca="false">G50*Assumptions!$E$59</f>
        <v>0</v>
      </c>
      <c r="H51" s="61" t="n">
        <f aca="false">H50*Assumptions!$E$59</f>
        <v>0</v>
      </c>
      <c r="I51" s="61" t="n">
        <f aca="false">I50*Assumptions!$E$59</f>
        <v>631.62088391408</v>
      </c>
      <c r="J51" s="61" t="n">
        <f aca="false">J50*Assumptions!$E$59</f>
        <v>636.269117388839</v>
      </c>
      <c r="K51" s="61" t="n">
        <f aca="false">K50*Assumptions!$E$59</f>
        <v>641.757149420859</v>
      </c>
      <c r="L51" s="61" t="n">
        <f aca="false">L50*Assumptions!$E$59</f>
        <v>649.298727783199</v>
      </c>
      <c r="M51" s="61" t="n">
        <f aca="false">M50*Assumptions!$E$59</f>
        <v>659.192592207947</v>
      </c>
      <c r="N51" s="61" t="n">
        <f aca="false">N50*Assumptions!$E$59</f>
        <v>671.316395994284</v>
      </c>
      <c r="O51" s="61" t="n">
        <f aca="false">O50*Assumptions!$E$59</f>
        <v>685.491502786616</v>
      </c>
      <c r="P51" s="61" t="n">
        <f aca="false">P50*Assumptions!$E$59</f>
        <v>701.557251404874</v>
      </c>
      <c r="Q51" s="61" t="n">
        <f aca="false">Q50*Assumptions!$E$59</f>
        <v>719.388909140093</v>
      </c>
      <c r="R51" s="61" t="n">
        <f aca="false">R50*Assumptions!$E$59</f>
        <v>738.900821962526</v>
      </c>
      <c r="S51" s="61" t="n">
        <f aca="false">S50*Assumptions!$E$59</f>
        <v>760.044948842644</v>
      </c>
      <c r="T51" s="61" t="n">
        <f aca="false">T50*Assumptions!$E$59</f>
        <v>782.807944799495</v>
      </c>
      <c r="U51" s="61" t="n">
        <f aca="false">U50*Assumptions!$E$59</f>
        <v>807.208022495098</v>
      </c>
      <c r="V51" s="61" t="n">
        <f aca="false">V50*Assumptions!$E$59</f>
        <v>833.292101665229</v>
      </c>
      <c r="W51" s="61" t="n">
        <f aca="false">W50*Assumptions!$E$59</f>
        <v>861.13344322236</v>
      </c>
      <c r="X51" s="61" t="n">
        <f aca="false">X50*Assumptions!$E$59</f>
        <v>890.829821732768</v>
      </c>
      <c r="Y51" s="61" t="n">
        <f aca="false">Y50*Assumptions!$E$59</f>
        <v>922.502225215756</v>
      </c>
      <c r="Z51" s="61" t="n">
        <f aca="false">Z50*Assumptions!$E$59</f>
        <v>956.294044494054</v>
      </c>
      <c r="AA51" s="61" t="n">
        <f aca="false">AA50*Assumptions!$E$59</f>
        <v>992.370706295645</v>
      </c>
      <c r="AB51" s="61" t="n">
        <f aca="false">AB50*Assumptions!$E$59</f>
        <v>1030.91970530042</v>
      </c>
      <c r="AC51" s="61" t="n">
        <f aca="false">AC50*Assumptions!$E$59</f>
        <v>1071.8007578005</v>
      </c>
      <c r="AD51" s="61" t="n">
        <f aca="false">AD50*Assumptions!$E$59</f>
        <v>1115.06385119409</v>
      </c>
      <c r="AE51" s="61" t="n">
        <f aca="false">AE50*Assumptions!$E$59</f>
        <v>1161.02458618768</v>
      </c>
      <c r="AF51" s="61" t="n">
        <f aca="false">AF50*Assumptions!$E$59</f>
        <v>1209.98151948869</v>
      </c>
      <c r="AG51" s="61" t="n">
        <f aca="false">AG50*Assumptions!$E$59</f>
        <v>1262.2443623286</v>
      </c>
      <c r="AH51" s="61" t="n">
        <f aca="false">AH50*Assumptions!$E$59</f>
        <v>1318.14656732759</v>
      </c>
      <c r="AI51" s="61" t="n">
        <f aca="false">AI50*Assumptions!$E$59</f>
        <v>1378.04894196636</v>
      </c>
      <c r="AJ51" s="61" t="n">
        <f aca="false">AJ50*Assumptions!$E$59</f>
        <v>1442.34220007639</v>
      </c>
      <c r="AK51" s="61" t="n">
        <f aca="false">AK50*Assumptions!$E$59</f>
        <v>1511.44955883865</v>
      </c>
      <c r="AL51" s="61" t="n">
        <f aca="false">AL50*Assumptions!$E$59</f>
        <v>1585.82955448024</v>
      </c>
      <c r="AM51" s="61" t="n">
        <f aca="false">SUM(C51:AL51)</f>
        <v>28628.1282157556</v>
      </c>
    </row>
    <row r="52" customFormat="false" ht="15" hidden="false" customHeight="false" outlineLevel="0" collapsed="false">
      <c r="A52" s="10" t="s">
        <v>768</v>
      </c>
      <c r="B52" s="9" t="s">
        <v>49</v>
      </c>
      <c r="C52" s="61" t="n">
        <f aca="false">C51*Assumptions!$E$60*C48</f>
        <v>0</v>
      </c>
      <c r="D52" s="61" t="n">
        <f aca="false">D51*Assumptions!$E$60*D48</f>
        <v>0</v>
      </c>
      <c r="E52" s="61" t="n">
        <f aca="false">E51*Assumptions!$E$60*E48</f>
        <v>0</v>
      </c>
      <c r="F52" s="61" t="n">
        <f aca="false">F51*Assumptions!$E$60*F48</f>
        <v>0</v>
      </c>
      <c r="G52" s="61" t="n">
        <f aca="false">G51*Assumptions!$E$60*G48</f>
        <v>0</v>
      </c>
      <c r="H52" s="61" t="n">
        <f aca="false">H51*Assumptions!$E$60*H48</f>
        <v>0</v>
      </c>
      <c r="I52" s="61" t="n">
        <f aca="false">I51*Assumptions!$E$60*I48</f>
        <v>131.88244056126</v>
      </c>
      <c r="J52" s="61" t="n">
        <f aca="false">J51*Assumptions!$E$60*J48</f>
        <v>142.078893912928</v>
      </c>
      <c r="K52" s="61" t="n">
        <f aca="false">K51*Assumptions!$E$60*K48</f>
        <v>152.60985013228</v>
      </c>
      <c r="L52" s="61" t="n">
        <f aca="false">L51*Assumptions!$E$60*L48</f>
        <v>163.818069019701</v>
      </c>
      <c r="M52" s="61" t="n">
        <f aca="false">M51*Assumptions!$E$60*M48</f>
        <v>175.87258360108</v>
      </c>
      <c r="N52" s="61" t="n">
        <f aca="false">N51*Assumptions!$E$60*N48</f>
        <v>188.841302193192</v>
      </c>
      <c r="O52" s="61" t="n">
        <f aca="false">O51*Assumptions!$E$60*O48</f>
        <v>202.768386524281</v>
      </c>
      <c r="P52" s="61" t="n">
        <f aca="false">P51*Assumptions!$E$60*P48</f>
        <v>217.693215110932</v>
      </c>
      <c r="Q52" s="61" t="n">
        <f aca="false">Q51*Assumptions!$E$60*Q48</f>
        <v>233.657517688702</v>
      </c>
      <c r="R52" s="61" t="n">
        <f aca="false">R51*Assumptions!$E$60*R48</f>
        <v>250.709048891885</v>
      </c>
      <c r="S52" s="61" t="n">
        <f aca="false">S51*Assumptions!$E$60*S48</f>
        <v>268.903902900527</v>
      </c>
      <c r="T52" s="61" t="n">
        <f aca="false">T51*Assumptions!$E$60*T48</f>
        <v>288.308166069654</v>
      </c>
      <c r="U52" s="61" t="n">
        <f aca="false">U51*Assumptions!$E$60*U48</f>
        <v>308.999231011123</v>
      </c>
      <c r="V52" s="61" t="n">
        <f aca="false">V51*Assumptions!$E$60*V48</f>
        <v>331.066951991595</v>
      </c>
      <c r="W52" s="61" t="n">
        <f aca="false">W51*Assumptions!$E$60*W48</f>
        <v>354.614751918968</v>
      </c>
      <c r="X52" s="61" t="n">
        <f aca="false">X51*Assumptions!$E$60*X48</f>
        <v>379.760753004679</v>
      </c>
      <c r="Y52" s="61" t="n">
        <f aca="false">Y51*Assumptions!$E$60*Y48</f>
        <v>406.638980875105</v>
      </c>
      <c r="Z52" s="61" t="n">
        <f aca="false">Z51*Assumptions!$E$60*Z48</f>
        <v>435.400678458143</v>
      </c>
      <c r="AA52" s="61" t="n">
        <f aca="false">AA51*Assumptions!$E$60*AA48</f>
        <v>466.215757817694</v>
      </c>
      <c r="AB52" s="61" t="n">
        <f aca="false">AB51*Assumptions!$E$60*AB48</f>
        <v>490.305411840878</v>
      </c>
      <c r="AC52" s="61" t="n">
        <f aca="false">AC51*Assumptions!$E$60*AC48</f>
        <v>509.748440409918</v>
      </c>
      <c r="AD52" s="61" t="n">
        <f aca="false">AD51*Assumptions!$E$60*AD48</f>
        <v>530.324367627908</v>
      </c>
      <c r="AE52" s="61" t="n">
        <f aca="false">AE51*Assumptions!$E$60*AE48</f>
        <v>552.183293190862</v>
      </c>
      <c r="AF52" s="61" t="n">
        <f aca="false">AF51*Assumptions!$E$60*AF48</f>
        <v>575.467210668821</v>
      </c>
      <c r="AG52" s="61" t="n">
        <f aca="false">AG51*Assumptions!$E$60*AG48</f>
        <v>600.323418723482</v>
      </c>
      <c r="AH52" s="61" t="n">
        <f aca="false">AH51*Assumptions!$E$60*AH48</f>
        <v>626.910507421002</v>
      </c>
      <c r="AI52" s="61" t="n">
        <f aca="false">AI51*Assumptions!$E$60*AI48</f>
        <v>655.400076799201</v>
      </c>
      <c r="AJ52" s="61" t="n">
        <f aca="false">AJ51*Assumptions!$E$60*AJ48</f>
        <v>685.977950356331</v>
      </c>
      <c r="AK52" s="61" t="n">
        <f aca="false">AK51*Assumptions!$E$60*AK48</f>
        <v>718.845410183661</v>
      </c>
      <c r="AL52" s="61" t="n">
        <f aca="false">AL51*Assumptions!$E$60*AL48</f>
        <v>754.2205361108</v>
      </c>
      <c r="AM52" s="61" t="n">
        <f aca="false">SUM(C52:AL52)</f>
        <v>11799.5471050166</v>
      </c>
    </row>
    <row r="53" customFormat="false" ht="15" hidden="false" customHeight="false" outlineLevel="0" collapsed="false">
      <c r="A53" s="10" t="s">
        <v>769</v>
      </c>
      <c r="B53" s="9" t="s">
        <v>49</v>
      </c>
      <c r="C53" s="61" t="n">
        <f aca="false">C52*Assumptions!$E$64</f>
        <v>0</v>
      </c>
      <c r="D53" s="61" t="n">
        <f aca="false">D52*Assumptions!$E$64</f>
        <v>0</v>
      </c>
      <c r="E53" s="61" t="n">
        <f aca="false">E52*Assumptions!$E$64</f>
        <v>0</v>
      </c>
      <c r="F53" s="61" t="n">
        <f aca="false">F52*Assumptions!$E$64</f>
        <v>0</v>
      </c>
      <c r="G53" s="61" t="n">
        <f aca="false">G52*Assumptions!$E$64</f>
        <v>0</v>
      </c>
      <c r="H53" s="61" t="n">
        <f aca="false">H52*Assumptions!$E$64</f>
        <v>0</v>
      </c>
      <c r="I53" s="61" t="n">
        <f aca="false">I52*Assumptions!$E$64</f>
        <v>73.8541667143055</v>
      </c>
      <c r="J53" s="61" t="n">
        <f aca="false">J52*Assumptions!$E$64</f>
        <v>79.5641805912396</v>
      </c>
      <c r="K53" s="61" t="n">
        <f aca="false">K52*Assumptions!$E$64</f>
        <v>85.461516074077</v>
      </c>
      <c r="L53" s="61" t="n">
        <f aca="false">L52*Assumptions!$E$64</f>
        <v>91.7381186510326</v>
      </c>
      <c r="M53" s="61" t="n">
        <f aca="false">M52*Assumptions!$E$64</f>
        <v>98.4886468166049</v>
      </c>
      <c r="N53" s="61" t="n">
        <f aca="false">N52*Assumptions!$E$64</f>
        <v>105.751129228188</v>
      </c>
      <c r="O53" s="61" t="n">
        <f aca="false">O52*Assumptions!$E$64</f>
        <v>113.550296453597</v>
      </c>
      <c r="P53" s="61" t="n">
        <f aca="false">P52*Assumptions!$E$64</f>
        <v>121.908200462122</v>
      </c>
      <c r="Q53" s="61" t="n">
        <f aca="false">Q52*Assumptions!$E$64</f>
        <v>130.848209905673</v>
      </c>
      <c r="R53" s="61" t="n">
        <f aca="false">R52*Assumptions!$E$64</f>
        <v>140.397067379456</v>
      </c>
      <c r="S53" s="61" t="n">
        <f aca="false">S52*Assumptions!$E$64</f>
        <v>150.586185624295</v>
      </c>
      <c r="T53" s="61" t="n">
        <f aca="false">T52*Assumptions!$E$64</f>
        <v>161.452572999006</v>
      </c>
      <c r="U53" s="61" t="n">
        <f aca="false">U52*Assumptions!$E$64</f>
        <v>173.039569366229</v>
      </c>
      <c r="V53" s="61" t="n">
        <f aca="false">V52*Assumptions!$E$64</f>
        <v>185.397493115293</v>
      </c>
      <c r="W53" s="61" t="n">
        <f aca="false">W52*Assumptions!$E$64</f>
        <v>198.584261074622</v>
      </c>
      <c r="X53" s="61" t="n">
        <f aca="false">X52*Assumptions!$E$64</f>
        <v>212.66602168262</v>
      </c>
      <c r="Y53" s="61" t="n">
        <f aca="false">Y52*Assumptions!$E$64</f>
        <v>227.717829290059</v>
      </c>
      <c r="Z53" s="61" t="n">
        <f aca="false">Z52*Assumptions!$E$64</f>
        <v>243.82437993656</v>
      </c>
      <c r="AA53" s="61" t="n">
        <f aca="false">AA52*Assumptions!$E$64</f>
        <v>261.080824377909</v>
      </c>
      <c r="AB53" s="61" t="n">
        <f aca="false">AB52*Assumptions!$E$64</f>
        <v>274.571030630892</v>
      </c>
      <c r="AC53" s="61" t="n">
        <f aca="false">AC52*Assumptions!$E$64</f>
        <v>285.459126629554</v>
      </c>
      <c r="AD53" s="61" t="n">
        <f aca="false">AD52*Assumptions!$E$64</f>
        <v>296.981645871628</v>
      </c>
      <c r="AE53" s="61" t="n">
        <f aca="false">AE52*Assumptions!$E$64</f>
        <v>309.222644186883</v>
      </c>
      <c r="AF53" s="61" t="n">
        <f aca="false">AF52*Assumptions!$E$64</f>
        <v>322.26163797454</v>
      </c>
      <c r="AG53" s="61" t="n">
        <f aca="false">AG52*Assumptions!$E$64</f>
        <v>336.18111448515</v>
      </c>
      <c r="AH53" s="61" t="n">
        <f aca="false">AH52*Assumptions!$E$64</f>
        <v>351.069884155761</v>
      </c>
      <c r="AI53" s="61" t="n">
        <f aca="false">AI52*Assumptions!$E$64</f>
        <v>367.024043007553</v>
      </c>
      <c r="AJ53" s="61" t="n">
        <f aca="false">AJ52*Assumptions!$E$64</f>
        <v>384.147652199545</v>
      </c>
      <c r="AK53" s="61" t="n">
        <f aca="false">AK52*Assumptions!$E$64</f>
        <v>402.55342970285</v>
      </c>
      <c r="AL53" s="61" t="n">
        <f aca="false">AL52*Assumptions!$E$64</f>
        <v>422.363500222048</v>
      </c>
      <c r="AM53" s="61" t="n">
        <f aca="false">SUM(C53:AL53)</f>
        <v>6607.74637880929</v>
      </c>
    </row>
    <row r="54" customFormat="false" ht="15" hidden="false" customHeight="false" outlineLevel="0" collapsed="false">
      <c r="A54" s="10" t="s">
        <v>770</v>
      </c>
      <c r="B54" s="9" t="s">
        <v>49</v>
      </c>
      <c r="C54" s="61" t="n">
        <f aca="false">C53*Assumptions!$E$65</f>
        <v>0</v>
      </c>
      <c r="D54" s="61" t="n">
        <f aca="false">D53*Assumptions!$E$65</f>
        <v>0</v>
      </c>
      <c r="E54" s="61" t="n">
        <f aca="false">E53*Assumptions!$E$65</f>
        <v>0</v>
      </c>
      <c r="F54" s="61" t="n">
        <f aca="false">F53*Assumptions!$E$65</f>
        <v>0</v>
      </c>
      <c r="G54" s="61" t="n">
        <f aca="false">G53*Assumptions!$E$65</f>
        <v>0</v>
      </c>
      <c r="H54" s="61" t="n">
        <f aca="false">H53*Assumptions!$E$65</f>
        <v>0</v>
      </c>
      <c r="I54" s="61" t="n">
        <f aca="false">I53*Assumptions!$E$65</f>
        <v>61.2989583728736</v>
      </c>
      <c r="J54" s="61" t="n">
        <f aca="false">J53*Assumptions!$E$65</f>
        <v>66.0382698907288</v>
      </c>
      <c r="K54" s="61" t="n">
        <f aca="false">K53*Assumptions!$E$65</f>
        <v>70.9330583414839</v>
      </c>
      <c r="L54" s="61" t="n">
        <f aca="false">L53*Assumptions!$E$65</f>
        <v>76.1426384803571</v>
      </c>
      <c r="M54" s="61" t="n">
        <f aca="false">M53*Assumptions!$E$65</f>
        <v>81.7455768577821</v>
      </c>
      <c r="N54" s="61" t="n">
        <f aca="false">N53*Assumptions!$E$65</f>
        <v>87.7734372593957</v>
      </c>
      <c r="O54" s="61" t="n">
        <f aca="false">O53*Assumptions!$E$65</f>
        <v>94.2467460564858</v>
      </c>
      <c r="P54" s="61" t="n">
        <f aca="false">P53*Assumptions!$E$65</f>
        <v>101.183806383561</v>
      </c>
      <c r="Q54" s="61" t="n">
        <f aca="false">Q53*Assumptions!$E$65</f>
        <v>108.604014221709</v>
      </c>
      <c r="R54" s="61" t="n">
        <f aca="false">R53*Assumptions!$E$65</f>
        <v>116.529565924948</v>
      </c>
      <c r="S54" s="61" t="n">
        <f aca="false">S53*Assumptions!$E$65</f>
        <v>124.986534068165</v>
      </c>
      <c r="T54" s="61" t="n">
        <f aca="false">T53*Assumptions!$E$65</f>
        <v>134.005635589175</v>
      </c>
      <c r="U54" s="61" t="n">
        <f aca="false">U53*Assumptions!$E$65</f>
        <v>143.62284257397</v>
      </c>
      <c r="V54" s="61" t="n">
        <f aca="false">V53*Assumptions!$E$65</f>
        <v>153.879919285694</v>
      </c>
      <c r="W54" s="61" t="n">
        <f aca="false">W53*Assumptions!$E$65</f>
        <v>164.824936691936</v>
      </c>
      <c r="X54" s="61" t="n">
        <f aca="false">X53*Assumptions!$E$65</f>
        <v>176.512797996575</v>
      </c>
      <c r="Y54" s="61" t="n">
        <f aca="false">Y53*Assumptions!$E$65</f>
        <v>189.005798310749</v>
      </c>
      <c r="Z54" s="61" t="n">
        <f aca="false">Z53*Assumptions!$E$65</f>
        <v>202.374235347345</v>
      </c>
      <c r="AA54" s="61" t="n">
        <f aca="false">AA53*Assumptions!$E$65</f>
        <v>216.697084233664</v>
      </c>
      <c r="AB54" s="61" t="n">
        <f aca="false">AB53*Assumptions!$E$65</f>
        <v>227.89395542364</v>
      </c>
      <c r="AC54" s="61" t="n">
        <f aca="false">AC53*Assumptions!$E$65</f>
        <v>236.93107510253</v>
      </c>
      <c r="AD54" s="61" t="n">
        <f aca="false">AD53*Assumptions!$E$65</f>
        <v>246.494766073452</v>
      </c>
      <c r="AE54" s="61" t="n">
        <f aca="false">AE53*Assumptions!$E$65</f>
        <v>256.654794675113</v>
      </c>
      <c r="AF54" s="61" t="n">
        <f aca="false">AF53*Assumptions!$E$65</f>
        <v>267.477159518868</v>
      </c>
      <c r="AG54" s="61" t="n">
        <f aca="false">AG53*Assumptions!$E$65</f>
        <v>279.030325022674</v>
      </c>
      <c r="AH54" s="61" t="n">
        <f aca="false">AH53*Assumptions!$E$65</f>
        <v>291.388003849282</v>
      </c>
      <c r="AI54" s="61" t="n">
        <f aca="false">AI53*Assumptions!$E$65</f>
        <v>304.629955696269</v>
      </c>
      <c r="AJ54" s="61" t="n">
        <f aca="false">AJ53*Assumptions!$E$65</f>
        <v>318.842551325623</v>
      </c>
      <c r="AK54" s="61" t="n">
        <f aca="false">AK53*Assumptions!$E$65</f>
        <v>334.119346653366</v>
      </c>
      <c r="AL54" s="61" t="n">
        <f aca="false">AL53*Assumptions!$E$65</f>
        <v>350.5617051843</v>
      </c>
      <c r="AM54" s="61" t="n">
        <f aca="false">SUM(C54:AL54)</f>
        <v>5484.42949441171</v>
      </c>
    </row>
    <row r="55" customFormat="false" ht="15" hidden="false" customHeight="false" outlineLevel="0" collapsed="false">
      <c r="A55" s="10" t="s">
        <v>771</v>
      </c>
      <c r="B55" s="9" t="s">
        <v>49</v>
      </c>
      <c r="C55" s="61" t="n">
        <f aca="false">C54*Assumptions!$E$66</f>
        <v>0</v>
      </c>
      <c r="D55" s="61" t="n">
        <f aca="false">D54*Assumptions!$E$66</f>
        <v>0</v>
      </c>
      <c r="E55" s="61" t="n">
        <f aca="false">E54*Assumptions!$E$66</f>
        <v>0</v>
      </c>
      <c r="F55" s="61" t="n">
        <f aca="false">F54*Assumptions!$E$66</f>
        <v>0</v>
      </c>
      <c r="G55" s="61" t="n">
        <f aca="false">G54*Assumptions!$E$66</f>
        <v>0</v>
      </c>
      <c r="H55" s="61" t="n">
        <f aca="false">H54*Assumptions!$E$66</f>
        <v>0</v>
      </c>
      <c r="I55" s="61" t="n">
        <f aca="false">I54*Assumptions!$E$66</f>
        <v>38.0053541911816</v>
      </c>
      <c r="J55" s="61" t="n">
        <f aca="false">J54*Assumptions!$E$66</f>
        <v>40.9437273322519</v>
      </c>
      <c r="K55" s="61" t="n">
        <f aca="false">K54*Assumptions!$E$66</f>
        <v>43.97849617172</v>
      </c>
      <c r="L55" s="61" t="n">
        <f aca="false">L54*Assumptions!$E$66</f>
        <v>47.2084358578214</v>
      </c>
      <c r="M55" s="61" t="n">
        <f aca="false">M54*Assumptions!$E$66</f>
        <v>50.6822576518249</v>
      </c>
      <c r="N55" s="61" t="n">
        <f aca="false">N54*Assumptions!$E$66</f>
        <v>54.4195311008254</v>
      </c>
      <c r="O55" s="61" t="n">
        <f aca="false">O54*Assumptions!$E$66</f>
        <v>58.4329825550212</v>
      </c>
      <c r="P55" s="61" t="n">
        <f aca="false">P54*Assumptions!$E$66</f>
        <v>62.7339599578081</v>
      </c>
      <c r="Q55" s="61" t="n">
        <f aca="false">Q54*Assumptions!$E$66</f>
        <v>67.3344888174595</v>
      </c>
      <c r="R55" s="61" t="n">
        <f aca="false">R54*Assumptions!$E$66</f>
        <v>72.2483308734679</v>
      </c>
      <c r="S55" s="61" t="n">
        <f aca="false">S54*Assumptions!$E$66</f>
        <v>77.4916511222624</v>
      </c>
      <c r="T55" s="61" t="n">
        <f aca="false">T54*Assumptions!$E$66</f>
        <v>83.0834940652887</v>
      </c>
      <c r="U55" s="61" t="n">
        <f aca="false">U54*Assumptions!$E$66</f>
        <v>89.0461623958615</v>
      </c>
      <c r="V55" s="61" t="n">
        <f aca="false">V54*Assumptions!$E$66</f>
        <v>95.40554995713</v>
      </c>
      <c r="W55" s="61" t="n">
        <f aca="false">W54*Assumptions!$E$66</f>
        <v>102.191460749</v>
      </c>
      <c r="X55" s="61" t="n">
        <f aca="false">X54*Assumptions!$E$66</f>
        <v>109.437934757876</v>
      </c>
      <c r="Y55" s="61" t="n">
        <f aca="false">Y54*Assumptions!$E$66</f>
        <v>117.183594952664</v>
      </c>
      <c r="Z55" s="61" t="n">
        <f aca="false">Z54*Assumptions!$E$66</f>
        <v>125.472025915354</v>
      </c>
      <c r="AA55" s="61" t="n">
        <f aca="false">AA54*Assumptions!$E$66</f>
        <v>134.352192224872</v>
      </c>
      <c r="AB55" s="61" t="n">
        <f aca="false">AB54*Assumptions!$E$66</f>
        <v>141.294252362657</v>
      </c>
      <c r="AC55" s="61" t="n">
        <f aca="false">AC54*Assumptions!$E$66</f>
        <v>146.897266563569</v>
      </c>
      <c r="AD55" s="61" t="n">
        <f aca="false">AD54*Assumptions!$E$66</f>
        <v>152.82675496554</v>
      </c>
      <c r="AE55" s="61" t="n">
        <f aca="false">AE54*Assumptions!$E$66</f>
        <v>159.12597269857</v>
      </c>
      <c r="AF55" s="61" t="n">
        <f aca="false">AF54*Assumptions!$E$66</f>
        <v>165.835838901698</v>
      </c>
      <c r="AG55" s="61" t="n">
        <f aca="false">AG54*Assumptions!$E$66</f>
        <v>172.998801514058</v>
      </c>
      <c r="AH55" s="61" t="n">
        <f aca="false">AH54*Assumptions!$E$66</f>
        <v>180.660562386555</v>
      </c>
      <c r="AI55" s="61" t="n">
        <f aca="false">AI54*Assumptions!$E$66</f>
        <v>188.870572531687</v>
      </c>
      <c r="AJ55" s="61" t="n">
        <f aca="false">AJ54*Assumptions!$E$66</f>
        <v>197.682381821886</v>
      </c>
      <c r="AK55" s="61" t="n">
        <f aca="false">AK54*Assumptions!$E$66</f>
        <v>207.153994925087</v>
      </c>
      <c r="AL55" s="61" t="n">
        <f aca="false">AL54*Assumptions!$E$66</f>
        <v>217.348257214266</v>
      </c>
      <c r="AM55" s="61" t="n">
        <f aca="false">SUM(C55:AL55)</f>
        <v>3400.34628653526</v>
      </c>
    </row>
    <row r="56" customFormat="false" ht="15" hidden="false" customHeight="false" outlineLevel="0" collapsed="false">
      <c r="A56" s="10" t="s">
        <v>772</v>
      </c>
      <c r="B56" s="9" t="s">
        <v>49</v>
      </c>
      <c r="C56" s="61" t="n">
        <f aca="false">C55*Assumptions!$E$67</f>
        <v>0</v>
      </c>
      <c r="D56" s="61" t="n">
        <f aca="false">D55*Assumptions!$E$67</f>
        <v>0</v>
      </c>
      <c r="E56" s="61" t="n">
        <f aca="false">E55*Assumptions!$E$67</f>
        <v>0</v>
      </c>
      <c r="F56" s="61" t="n">
        <f aca="false">F55*Assumptions!$E$67</f>
        <v>0</v>
      </c>
      <c r="G56" s="61" t="n">
        <f aca="false">G55*Assumptions!$E$67</f>
        <v>0</v>
      </c>
      <c r="H56" s="61" t="n">
        <f aca="false">H55*Assumptions!$E$67</f>
        <v>0</v>
      </c>
      <c r="I56" s="61" t="n">
        <f aca="false">I55*Assumptions!$E$67</f>
        <v>25.0835337661799</v>
      </c>
      <c r="J56" s="61" t="n">
        <f aca="false">J55*Assumptions!$E$67</f>
        <v>27.0228600392862</v>
      </c>
      <c r="K56" s="61" t="n">
        <f aca="false">K55*Assumptions!$E$67</f>
        <v>29.0258074733352</v>
      </c>
      <c r="L56" s="61" t="n">
        <f aca="false">L55*Assumptions!$E$67</f>
        <v>31.1575676661621</v>
      </c>
      <c r="M56" s="61" t="n">
        <f aca="false">M55*Assumptions!$E$67</f>
        <v>33.4502900502044</v>
      </c>
      <c r="N56" s="61" t="n">
        <f aca="false">N55*Assumptions!$E$67</f>
        <v>35.9168905265447</v>
      </c>
      <c r="O56" s="61" t="n">
        <f aca="false">O55*Assumptions!$E$67</f>
        <v>38.565768486314</v>
      </c>
      <c r="P56" s="61" t="n">
        <f aca="false">P55*Assumptions!$E$67</f>
        <v>41.4044135721533</v>
      </c>
      <c r="Q56" s="61" t="n">
        <f aca="false">Q55*Assumptions!$E$67</f>
        <v>44.4407626195233</v>
      </c>
      <c r="R56" s="61" t="n">
        <f aca="false">R55*Assumptions!$E$67</f>
        <v>47.6838983764888</v>
      </c>
      <c r="S56" s="61" t="n">
        <f aca="false">S55*Assumptions!$E$67</f>
        <v>51.1444897406932</v>
      </c>
      <c r="T56" s="61" t="n">
        <f aca="false">T55*Assumptions!$E$67</f>
        <v>54.8351060830905</v>
      </c>
      <c r="U56" s="61" t="n">
        <f aca="false">U55*Assumptions!$E$67</f>
        <v>58.7704671812686</v>
      </c>
      <c r="V56" s="61" t="n">
        <f aca="false">V55*Assumptions!$E$67</f>
        <v>62.9676629717058</v>
      </c>
      <c r="W56" s="61" t="n">
        <f aca="false">W55*Assumptions!$E$67</f>
        <v>67.4463640943403</v>
      </c>
      <c r="X56" s="61" t="n">
        <f aca="false">X55*Assumptions!$E$67</f>
        <v>72.2290369401984</v>
      </c>
      <c r="Y56" s="61" t="n">
        <f aca="false">Y55*Assumptions!$E$67</f>
        <v>77.3411726687584</v>
      </c>
      <c r="Z56" s="61" t="n">
        <f aca="false">Z55*Assumptions!$E$67</f>
        <v>82.8115371041335</v>
      </c>
      <c r="AA56" s="61" t="n">
        <f aca="false">AA55*Assumptions!$E$67</f>
        <v>88.6724468684154</v>
      </c>
      <c r="AB56" s="61" t="n">
        <f aca="false">AB55*Assumptions!$E$67</f>
        <v>93.2542065593535</v>
      </c>
      <c r="AC56" s="61" t="n">
        <f aca="false">AC55*Assumptions!$E$67</f>
        <v>96.9521959319552</v>
      </c>
      <c r="AD56" s="61" t="n">
        <f aca="false">AD55*Assumptions!$E$67</f>
        <v>100.865658277256</v>
      </c>
      <c r="AE56" s="61" t="n">
        <f aca="false">AE55*Assumptions!$E$67</f>
        <v>105.023141981056</v>
      </c>
      <c r="AF56" s="61" t="n">
        <f aca="false">AF55*Assumptions!$E$67</f>
        <v>109.451653675121</v>
      </c>
      <c r="AG56" s="61" t="n">
        <f aca="false">AG55*Assumptions!$E$67</f>
        <v>114.179208999278</v>
      </c>
      <c r="AH56" s="61" t="n">
        <f aca="false">AH55*Assumptions!$E$67</f>
        <v>119.235971175126</v>
      </c>
      <c r="AI56" s="61" t="n">
        <f aca="false">AI55*Assumptions!$E$67</f>
        <v>124.654577870913</v>
      </c>
      <c r="AJ56" s="61" t="n">
        <f aca="false">AJ55*Assumptions!$E$67</f>
        <v>130.470372002445</v>
      </c>
      <c r="AK56" s="61" t="n">
        <f aca="false">AK55*Assumptions!$E$67</f>
        <v>136.721636650557</v>
      </c>
      <c r="AL56" s="61" t="n">
        <f aca="false">AL55*Assumptions!$E$67</f>
        <v>143.449849761416</v>
      </c>
      <c r="AM56" s="61" t="n">
        <f aca="false">SUM(C56:AL56)</f>
        <v>2244.22854911327</v>
      </c>
    </row>
    <row r="57" customFormat="false" ht="15" hidden="false" customHeight="false" outlineLevel="0" collapsed="false">
      <c r="A57" s="38" t="s">
        <v>773</v>
      </c>
      <c r="B57" s="9" t="s">
        <v>49</v>
      </c>
      <c r="C57" s="71" t="n">
        <f aca="false">C56</f>
        <v>0</v>
      </c>
      <c r="D57" s="71" t="n">
        <f aca="false">C57*(1-Assumptions!$E$68)+D56</f>
        <v>0</v>
      </c>
      <c r="E57" s="71" t="n">
        <f aca="false">D57*(1-Assumptions!$E$68)+E56</f>
        <v>0</v>
      </c>
      <c r="F57" s="71" t="n">
        <f aca="false">E57*(1-Assumptions!$E$68)+F56</f>
        <v>0</v>
      </c>
      <c r="G57" s="71" t="n">
        <f aca="false">F57*(1-Assumptions!$E$68)+G56</f>
        <v>0</v>
      </c>
      <c r="H57" s="71" t="n">
        <f aca="false">G57*(1-Assumptions!$E$68)+H56</f>
        <v>0</v>
      </c>
      <c r="I57" s="71" t="n">
        <f aca="false">H57*(1-Assumptions!$E$68)+I56</f>
        <v>25.0835337661799</v>
      </c>
      <c r="J57" s="71" t="n">
        <f aca="false">I57*(1-Assumptions!$E$68)+J56</f>
        <v>49.3472050911863</v>
      </c>
      <c r="K57" s="71" t="n">
        <f aca="false">J57*(1-Assumptions!$E$68)+K56</f>
        <v>72.944820004491</v>
      </c>
      <c r="L57" s="71" t="n">
        <f aca="false">K57*(1-Assumptions!$E$68)+L56</f>
        <v>96.0784574701591</v>
      </c>
      <c r="M57" s="71" t="n">
        <f aca="false">L57*(1-Assumptions!$E$68)+M56</f>
        <v>118.960117198646</v>
      </c>
      <c r="N57" s="71" t="n">
        <f aca="false">M57*(1-Assumptions!$E$68)+N56</f>
        <v>141.79139483334</v>
      </c>
      <c r="O57" s="71" t="n">
        <f aca="false">N57*(1-Assumptions!$E$68)+O56</f>
        <v>164.760109887986</v>
      </c>
      <c r="P57" s="71" t="n">
        <f aca="false">O57*(1-Assumptions!$E$68)+P56</f>
        <v>188.040911372461</v>
      </c>
      <c r="Q57" s="71" t="n">
        <f aca="false">P57*(1-Assumptions!$E$68)+Q56</f>
        <v>211.797173741014</v>
      </c>
      <c r="R57" s="71" t="n">
        <f aca="false">Q57*(1-Assumptions!$E$68)+R56</f>
        <v>236.183383005991</v>
      </c>
      <c r="S57" s="71" t="n">
        <f aca="false">R57*(1-Assumptions!$E$68)+S56</f>
        <v>261.347700616025</v>
      </c>
      <c r="T57" s="71" t="n">
        <f aca="false">S57*(1-Assumptions!$E$68)+T56</f>
        <v>287.434559631353</v>
      </c>
      <c r="U57" s="71" t="n">
        <f aca="false">T57*(1-Assumptions!$E$68)+U56</f>
        <v>314.587225253173</v>
      </c>
      <c r="V57" s="71" t="n">
        <f aca="false">U57*(1-Assumptions!$E$68)+V56</f>
        <v>342.95029344703</v>
      </c>
      <c r="W57" s="71" t="n">
        <f aca="false">V57*(1-Assumptions!$E$68)+W56</f>
        <v>372.672125262197</v>
      </c>
      <c r="X57" s="71" t="n">
        <f aca="false">W57*(1-Assumptions!$E$68)+X56</f>
        <v>403.907228423553</v>
      </c>
      <c r="Y57" s="71" t="n">
        <f aca="false">X57*(1-Assumptions!$E$68)+Y56</f>
        <v>436.818605965721</v>
      </c>
      <c r="Z57" s="71" t="n">
        <f aca="false">Y57*(1-Assumptions!$E$68)+Z56</f>
        <v>471.580096413625</v>
      </c>
      <c r="AA57" s="71" t="n">
        <f aca="false">Z57*(1-Assumptions!$E$68)+AA56</f>
        <v>508.378732676542</v>
      </c>
      <c r="AB57" s="71" t="n">
        <f aca="false">AA57*(1-Assumptions!$E$68)+AB56</f>
        <v>545.711278641476</v>
      </c>
      <c r="AC57" s="71" t="n">
        <f aca="false">AB57*(1-Assumptions!$E$68)+AC56</f>
        <v>582.635233922869</v>
      </c>
      <c r="AD57" s="71" t="n">
        <f aca="false">AC57*(1-Assumptions!$E$68)+AD56</f>
        <v>619.411016468609</v>
      </c>
      <c r="AE57" s="71" t="n">
        <f aca="false">AD57*(1-Assumptions!$E$68)+AE56</f>
        <v>656.298946638119</v>
      </c>
      <c r="AF57" s="71" t="n">
        <f aca="false">AE57*(1-Assumptions!$E$68)+AF56</f>
        <v>693.557716183046</v>
      </c>
      <c r="AG57" s="71" t="n">
        <f aca="false">AF57*(1-Assumptions!$E$68)+AG56</f>
        <v>731.44557640219</v>
      </c>
      <c r="AH57" s="71" t="n">
        <f aca="false">AG57*(1-Assumptions!$E$68)+AH56</f>
        <v>770.222534173075</v>
      </c>
      <c r="AI57" s="71" t="n">
        <f aca="false">AH57*(1-Assumptions!$E$68)+AI56</f>
        <v>810.15263328495</v>
      </c>
      <c r="AJ57" s="71" t="n">
        <f aca="false">AI57*(1-Assumptions!$E$68)+AJ56</f>
        <v>851.50621562605</v>
      </c>
      <c r="AK57" s="71" t="n">
        <f aca="false">AJ57*(1-Assumptions!$E$68)+AK56</f>
        <v>894.562168557742</v>
      </c>
      <c r="AL57" s="71" t="n">
        <f aca="false">AK57*(1-Assumptions!$E$68)+AL56</f>
        <v>939.610179777806</v>
      </c>
      <c r="AM57" s="71" t="n">
        <f aca="false">AL57</f>
        <v>939.610179777806</v>
      </c>
    </row>
    <row r="58" customFormat="false" ht="15" hidden="false" customHeight="false" outlineLevel="0" collapsed="false">
      <c r="A58" s="10" t="s">
        <v>774</v>
      </c>
      <c r="B58" s="9" t="s">
        <v>49</v>
      </c>
      <c r="C58" s="61" t="n">
        <f aca="false">0</f>
        <v>0</v>
      </c>
      <c r="D58" s="61" t="n">
        <f aca="false">C57*Assumptions!$E$68</f>
        <v>0</v>
      </c>
      <c r="E58" s="61" t="n">
        <f aca="false">D57*Assumptions!$E$68</f>
        <v>0</v>
      </c>
      <c r="F58" s="61" t="n">
        <f aca="false">E57*Assumptions!$E$68</f>
        <v>0</v>
      </c>
      <c r="G58" s="61" t="n">
        <f aca="false">F57*Assumptions!$E$68</f>
        <v>0</v>
      </c>
      <c r="H58" s="61" t="n">
        <f aca="false">G57*Assumptions!$E$68</f>
        <v>0</v>
      </c>
      <c r="I58" s="61" t="n">
        <f aca="false">H57*Assumptions!$E$68</f>
        <v>0</v>
      </c>
      <c r="J58" s="61" t="n">
        <f aca="false">I57*Assumptions!$E$68</f>
        <v>2.75918871427978</v>
      </c>
      <c r="K58" s="61" t="n">
        <f aca="false">J57*Assumptions!$E$68</f>
        <v>5.42819256003049</v>
      </c>
      <c r="L58" s="61" t="n">
        <f aca="false">K57*Assumptions!$E$68</f>
        <v>8.02393020049401</v>
      </c>
      <c r="M58" s="61" t="n">
        <f aca="false">L57*Assumptions!$E$68</f>
        <v>10.5686303217175</v>
      </c>
      <c r="N58" s="61" t="n">
        <f aca="false">M57*Assumptions!$E$68</f>
        <v>13.0856128918511</v>
      </c>
      <c r="O58" s="61" t="n">
        <f aca="false">N57*Assumptions!$E$68</f>
        <v>15.5970534316674</v>
      </c>
      <c r="P58" s="61" t="n">
        <f aca="false">O57*Assumptions!$E$68</f>
        <v>18.1236120876785</v>
      </c>
      <c r="Q58" s="61" t="n">
        <f aca="false">P57*Assumptions!$E$68</f>
        <v>20.6845002509707</v>
      </c>
      <c r="R58" s="61" t="n">
        <f aca="false">Q57*Assumptions!$E$68</f>
        <v>23.2976891115115</v>
      </c>
      <c r="S58" s="61" t="n">
        <f aca="false">R57*Assumptions!$E$68</f>
        <v>25.980172130659</v>
      </c>
      <c r="T58" s="61" t="n">
        <f aca="false">S57*Assumptions!$E$68</f>
        <v>28.7482470677628</v>
      </c>
      <c r="U58" s="61" t="n">
        <f aca="false">T57*Assumptions!$E$68</f>
        <v>31.6178015594488</v>
      </c>
      <c r="V58" s="61" t="n">
        <f aca="false">U57*Assumptions!$E$68</f>
        <v>34.604594777849</v>
      </c>
      <c r="W58" s="61" t="n">
        <f aca="false">V57*Assumptions!$E$68</f>
        <v>37.7245322791732</v>
      </c>
      <c r="X58" s="61" t="n">
        <f aca="false">W57*Assumptions!$E$68</f>
        <v>40.9939337788416</v>
      </c>
      <c r="Y58" s="61" t="n">
        <f aca="false">X57*Assumptions!$E$68</f>
        <v>44.4297951265909</v>
      </c>
      <c r="Z58" s="61" t="n">
        <f aca="false">Y57*Assumptions!$E$68</f>
        <v>48.0500466562293</v>
      </c>
      <c r="AA58" s="61" t="n">
        <f aca="false">Z57*Assumptions!$E$68</f>
        <v>51.8738106054988</v>
      </c>
      <c r="AB58" s="61" t="n">
        <f aca="false">AA57*Assumptions!$E$68</f>
        <v>55.9216605944196</v>
      </c>
      <c r="AC58" s="61" t="n">
        <f aca="false">AB57*Assumptions!$E$68</f>
        <v>60.0282406505623</v>
      </c>
      <c r="AD58" s="61" t="n">
        <f aca="false">AC57*Assumptions!$E$68</f>
        <v>64.0898757315156</v>
      </c>
      <c r="AE58" s="61" t="n">
        <f aca="false">AD57*Assumptions!$E$68</f>
        <v>68.135211811547</v>
      </c>
      <c r="AF58" s="61" t="n">
        <f aca="false">AE57*Assumptions!$E$68</f>
        <v>72.192884130193</v>
      </c>
      <c r="AG58" s="61" t="n">
        <f aca="false">AF57*Assumptions!$E$68</f>
        <v>76.2913487801351</v>
      </c>
      <c r="AH58" s="61" t="n">
        <f aca="false">AG57*Assumptions!$E$68</f>
        <v>80.4590134042409</v>
      </c>
      <c r="AI58" s="61" t="n">
        <f aca="false">AH57*Assumptions!$E$68</f>
        <v>84.7244787590382</v>
      </c>
      <c r="AJ58" s="61" t="n">
        <f aca="false">AI57*Assumptions!$E$68</f>
        <v>89.1167896613445</v>
      </c>
      <c r="AK58" s="61" t="n">
        <f aca="false">AJ57*Assumptions!$E$68</f>
        <v>93.6656837188655</v>
      </c>
      <c r="AL58" s="61" t="n">
        <f aca="false">AK57*Assumptions!$E$68</f>
        <v>98.4018385413516</v>
      </c>
      <c r="AM58" s="61" t="n">
        <f aca="false">SUM(C58:AL58)</f>
        <v>1304.61836933547</v>
      </c>
    </row>
    <row r="59" customFormat="false" ht="15" hidden="false" customHeight="false" outlineLevel="0" collapsed="false">
      <c r="A59" s="10" t="s">
        <v>775</v>
      </c>
      <c r="B59" s="9" t="s">
        <v>95</v>
      </c>
      <c r="C59" s="70" t="n">
        <f aca="false">C57*Assumptions!$E$70</f>
        <v>0</v>
      </c>
      <c r="D59" s="70" t="n">
        <f aca="false">D57*Assumptions!$E$70</f>
        <v>0</v>
      </c>
      <c r="E59" s="70" t="n">
        <f aca="false">E57*Assumptions!$E$70</f>
        <v>0</v>
      </c>
      <c r="F59" s="70" t="n">
        <f aca="false">F57*Assumptions!$E$70</f>
        <v>0</v>
      </c>
      <c r="G59" s="70" t="n">
        <f aca="false">G57*Assumptions!$E$70</f>
        <v>0</v>
      </c>
      <c r="H59" s="70" t="n">
        <f aca="false">H57*Assumptions!$E$70</f>
        <v>0</v>
      </c>
      <c r="I59" s="70" t="n">
        <f aca="false">I57*Assumptions!$E$70</f>
        <v>6245.79990777878</v>
      </c>
      <c r="J59" s="70" t="n">
        <f aca="false">J57*Assumptions!$E$70</f>
        <v>12287.4540677054</v>
      </c>
      <c r="K59" s="70" t="n">
        <f aca="false">K57*Assumptions!$E$70</f>
        <v>18163.2601811183</v>
      </c>
      <c r="L59" s="70" t="n">
        <f aca="false">L57*Assumptions!$E$70</f>
        <v>23923.5359100696</v>
      </c>
      <c r="M59" s="70" t="n">
        <f aca="false">M57*Assumptions!$E$70</f>
        <v>29621.0691824629</v>
      </c>
      <c r="N59" s="70" t="n">
        <f aca="false">N57*Assumptions!$E$70</f>
        <v>35306.0573135016</v>
      </c>
      <c r="O59" s="70" t="n">
        <f aca="false">O57*Assumptions!$E$70</f>
        <v>41025.2673621086</v>
      </c>
      <c r="P59" s="70" t="n">
        <f aca="false">P57*Assumptions!$E$70</f>
        <v>46822.1869317428</v>
      </c>
      <c r="Q59" s="70" t="n">
        <f aca="false">Q57*Assumptions!$E$70</f>
        <v>52737.4962615124</v>
      </c>
      <c r="R59" s="70" t="n">
        <f aca="false">R57*Assumptions!$E$70</f>
        <v>58809.6623684918</v>
      </c>
      <c r="S59" s="70" t="n">
        <f aca="false">S57*Assumptions!$E$70</f>
        <v>65075.5774533903</v>
      </c>
      <c r="T59" s="70" t="n">
        <f aca="false">T57*Assumptions!$E$70</f>
        <v>71571.2053482069</v>
      </c>
      <c r="U59" s="70" t="n">
        <f aca="false">U57*Assumptions!$E$70</f>
        <v>78332.21908804</v>
      </c>
      <c r="V59" s="70" t="n">
        <f aca="false">V57*Assumptions!$E$70</f>
        <v>85394.6230683103</v>
      </c>
      <c r="W59" s="70" t="n">
        <f aca="false">W57*Assumptions!$E$70</f>
        <v>92795.359190287</v>
      </c>
      <c r="X59" s="70" t="n">
        <f aca="false">X57*Assumptions!$E$70</f>
        <v>100572.899877465</v>
      </c>
      <c r="Y59" s="70" t="n">
        <f aca="false">Y57*Assumptions!$E$70</f>
        <v>108767.832885465</v>
      </c>
      <c r="Z59" s="70" t="n">
        <f aca="false">Z57*Assumptions!$E$70</f>
        <v>117423.444006993</v>
      </c>
      <c r="AA59" s="70" t="n">
        <f aca="false">AA57*Assumptions!$E$70</f>
        <v>126586.304436459</v>
      </c>
      <c r="AB59" s="70" t="n">
        <f aca="false">AB57*Assumptions!$E$70</f>
        <v>135882.108381727</v>
      </c>
      <c r="AC59" s="70" t="n">
        <f aca="false">AC57*Assumptions!$E$70</f>
        <v>145076.173246794</v>
      </c>
      <c r="AD59" s="70" t="n">
        <f aca="false">AD57*Assumptions!$E$70</f>
        <v>154233.343100684</v>
      </c>
      <c r="AE59" s="70" t="n">
        <f aca="false">AE57*Assumptions!$E$70</f>
        <v>163418.437712892</v>
      </c>
      <c r="AF59" s="70" t="n">
        <f aca="false">AF57*Assumptions!$E$70</f>
        <v>172695.871329579</v>
      </c>
      <c r="AG59" s="70" t="n">
        <f aca="false">AG57*Assumptions!$E$70</f>
        <v>182129.948524145</v>
      </c>
      <c r="AH59" s="70" t="n">
        <f aca="false">AH57*Assumptions!$E$70</f>
        <v>191785.411009096</v>
      </c>
      <c r="AI59" s="70" t="n">
        <f aca="false">AI57*Assumptions!$E$70</f>
        <v>201728.005687952</v>
      </c>
      <c r="AJ59" s="70" t="n">
        <f aca="false">AJ57*Assumptions!$E$70</f>
        <v>212025.047690886</v>
      </c>
      <c r="AK59" s="70" t="n">
        <f aca="false">AK57*Assumptions!$E$70</f>
        <v>222745.979970878</v>
      </c>
      <c r="AL59" s="70" t="n">
        <f aca="false">AL57*Assumptions!$E$70</f>
        <v>233962.934764674</v>
      </c>
      <c r="AM59" s="70" t="n">
        <f aca="false">SUM(C59:AL59)</f>
        <v>3187144.51626041</v>
      </c>
    </row>
    <row r="60" customFormat="false" ht="15" hidden="false" customHeight="false" outlineLevel="0" collapsed="false">
      <c r="A60" s="10" t="s">
        <v>776</v>
      </c>
      <c r="B60" s="9" t="s">
        <v>95</v>
      </c>
      <c r="C60" s="70" t="n">
        <f aca="false">C53*Assumptions!$E$71</f>
        <v>0</v>
      </c>
      <c r="D60" s="70" t="n">
        <f aca="false">D53*Assumptions!$E$71</f>
        <v>0</v>
      </c>
      <c r="E60" s="70" t="n">
        <f aca="false">E53*Assumptions!$E$71</f>
        <v>0</v>
      </c>
      <c r="F60" s="70" t="n">
        <f aca="false">F53*Assumptions!$E$71</f>
        <v>0</v>
      </c>
      <c r="G60" s="70" t="n">
        <f aca="false">G53*Assumptions!$E$71</f>
        <v>0</v>
      </c>
      <c r="H60" s="70" t="n">
        <f aca="false">H53*Assumptions!$E$71</f>
        <v>0</v>
      </c>
      <c r="I60" s="70" t="n">
        <f aca="false">I53*Assumptions!$E$71</f>
        <v>4357.39583614402</v>
      </c>
      <c r="J60" s="70" t="n">
        <f aca="false">J53*Assumptions!$E$71</f>
        <v>4694.28665488313</v>
      </c>
      <c r="K60" s="70" t="n">
        <f aca="false">K53*Assumptions!$E$71</f>
        <v>5042.22944837054</v>
      </c>
      <c r="L60" s="70" t="n">
        <f aca="false">L53*Assumptions!$E$71</f>
        <v>5412.54900041092</v>
      </c>
      <c r="M60" s="70" t="n">
        <f aca="false">M53*Assumptions!$E$71</f>
        <v>5810.83016217969</v>
      </c>
      <c r="N60" s="70" t="n">
        <f aca="false">N53*Assumptions!$E$71</f>
        <v>6239.31662446307</v>
      </c>
      <c r="O60" s="70" t="n">
        <f aca="false">O53*Assumptions!$E$71</f>
        <v>6699.46749076225</v>
      </c>
      <c r="P60" s="70" t="n">
        <f aca="false">P53*Assumptions!$E$71</f>
        <v>7192.58382726521</v>
      </c>
      <c r="Q60" s="70" t="n">
        <f aca="false">Q53*Assumptions!$E$71</f>
        <v>7720.04438443472</v>
      </c>
      <c r="R60" s="70" t="n">
        <f aca="false">R53*Assumptions!$E$71</f>
        <v>8283.42697538789</v>
      </c>
      <c r="S60" s="70" t="n">
        <f aca="false">S53*Assumptions!$E$71</f>
        <v>8884.58495183342</v>
      </c>
      <c r="T60" s="70" t="n">
        <f aca="false">T53*Assumptions!$E$71</f>
        <v>9525.70180694137</v>
      </c>
      <c r="U60" s="70" t="n">
        <f aca="false">U53*Assumptions!$E$71</f>
        <v>10209.3345926075</v>
      </c>
      <c r="V60" s="70" t="n">
        <f aca="false">V53*Assumptions!$E$71</f>
        <v>10938.4520938023</v>
      </c>
      <c r="W60" s="70" t="n">
        <f aca="false">W53*Assumptions!$E$71</f>
        <v>11716.4714034027</v>
      </c>
      <c r="X60" s="70" t="n">
        <f aca="false">X53*Assumptions!$E$71</f>
        <v>12547.2952792746</v>
      </c>
      <c r="Y60" s="70" t="n">
        <f aca="false">Y53*Assumptions!$E$71</f>
        <v>13435.3519281135</v>
      </c>
      <c r="Z60" s="70" t="n">
        <f aca="false">Z53*Assumptions!$E$71</f>
        <v>14385.638416257</v>
      </c>
      <c r="AA60" s="70" t="n">
        <f aca="false">AA53*Assumptions!$E$71</f>
        <v>15403.7686382966</v>
      </c>
      <c r="AB60" s="70" t="n">
        <f aca="false">AB53*Assumptions!$E$71</f>
        <v>16199.6908072226</v>
      </c>
      <c r="AC60" s="70" t="n">
        <f aca="false">AC53*Assumptions!$E$71</f>
        <v>16842.0884711437</v>
      </c>
      <c r="AD60" s="70" t="n">
        <f aca="false">AD53*Assumptions!$E$71</f>
        <v>17521.9171064261</v>
      </c>
      <c r="AE60" s="70" t="n">
        <f aca="false">AE53*Assumptions!$E$71</f>
        <v>18244.1360070261</v>
      </c>
      <c r="AF60" s="70" t="n">
        <f aca="false">AF53*Assumptions!$E$71</f>
        <v>19013.4366404978</v>
      </c>
      <c r="AG60" s="70" t="n">
        <f aca="false">AG53*Assumptions!$E$71</f>
        <v>19834.6857546238</v>
      </c>
      <c r="AH60" s="70" t="n">
        <f aca="false">AH53*Assumptions!$E$71</f>
        <v>20713.1231651899</v>
      </c>
      <c r="AI60" s="70" t="n">
        <f aca="false">AI53*Assumptions!$E$71</f>
        <v>21654.4185374456</v>
      </c>
      <c r="AJ60" s="70" t="n">
        <f aca="false">AJ53*Assumptions!$E$71</f>
        <v>22664.7114797732</v>
      </c>
      <c r="AK60" s="70" t="n">
        <f aca="false">AK53*Assumptions!$E$71</f>
        <v>23750.6523524682</v>
      </c>
      <c r="AL60" s="70" t="n">
        <f aca="false">AL53*Assumptions!$E$71</f>
        <v>24919.4465131008</v>
      </c>
      <c r="AM60" s="70" t="n">
        <f aca="false">SUM(C60:AL60)</f>
        <v>389857.036349748</v>
      </c>
    </row>
    <row r="61" customFormat="false" ht="15" hidden="false" customHeight="false" outlineLevel="0" collapsed="false">
      <c r="A61" s="10" t="s">
        <v>777</v>
      </c>
      <c r="B61" s="9" t="s">
        <v>95</v>
      </c>
      <c r="C61" s="70" t="n">
        <f aca="false">C59+C60</f>
        <v>0</v>
      </c>
      <c r="D61" s="70" t="n">
        <f aca="false">D59+D60</f>
        <v>0</v>
      </c>
      <c r="E61" s="70" t="n">
        <f aca="false">E59+E60</f>
        <v>0</v>
      </c>
      <c r="F61" s="70" t="n">
        <f aca="false">F59+F60</f>
        <v>0</v>
      </c>
      <c r="G61" s="70" t="n">
        <f aca="false">G59+G60</f>
        <v>0</v>
      </c>
      <c r="H61" s="70" t="n">
        <f aca="false">H59+H60</f>
        <v>0</v>
      </c>
      <c r="I61" s="70" t="n">
        <f aca="false">I59+I60</f>
        <v>10603.1957439228</v>
      </c>
      <c r="J61" s="70" t="n">
        <f aca="false">J59+J60</f>
        <v>16981.7407225885</v>
      </c>
      <c r="K61" s="70" t="n">
        <f aca="false">K59+K60</f>
        <v>23205.4896294888</v>
      </c>
      <c r="L61" s="70" t="n">
        <f aca="false">L59+L60</f>
        <v>29336.0849104805</v>
      </c>
      <c r="M61" s="70" t="n">
        <f aca="false">M59+M60</f>
        <v>35431.8993446426</v>
      </c>
      <c r="N61" s="70" t="n">
        <f aca="false">N59+N60</f>
        <v>41545.3739379647</v>
      </c>
      <c r="O61" s="70" t="n">
        <f aca="false">O59+O60</f>
        <v>47724.7348528708</v>
      </c>
      <c r="P61" s="70" t="n">
        <f aca="false">P59+P60</f>
        <v>54014.770759008</v>
      </c>
      <c r="Q61" s="70" t="n">
        <f aca="false">Q59+Q60</f>
        <v>60457.5406459471</v>
      </c>
      <c r="R61" s="70" t="n">
        <f aca="false">R59+R60</f>
        <v>67093.0893438797</v>
      </c>
      <c r="S61" s="70" t="n">
        <f aca="false">S59+S60</f>
        <v>73960.1624052237</v>
      </c>
      <c r="T61" s="70" t="n">
        <f aca="false">T59+T60</f>
        <v>81096.9071551483</v>
      </c>
      <c r="U61" s="70" t="n">
        <f aca="false">U59+U60</f>
        <v>88541.5536806475</v>
      </c>
      <c r="V61" s="70" t="n">
        <f aca="false">V59+V60</f>
        <v>96333.0751621126</v>
      </c>
      <c r="W61" s="70" t="n">
        <f aca="false">W59+W60</f>
        <v>104511.83059369</v>
      </c>
      <c r="X61" s="70" t="n">
        <f aca="false">X59+X60</f>
        <v>113120.195156739</v>
      </c>
      <c r="Y61" s="70" t="n">
        <f aca="false">Y59+Y60</f>
        <v>122203.184813578</v>
      </c>
      <c r="Z61" s="70" t="n">
        <f aca="false">Z59+Z60</f>
        <v>131809.08242325</v>
      </c>
      <c r="AA61" s="70" t="n">
        <f aca="false">AA59+AA60</f>
        <v>141990.073074756</v>
      </c>
      <c r="AB61" s="70" t="n">
        <f aca="false">AB59+AB60</f>
        <v>152081.79918895</v>
      </c>
      <c r="AC61" s="70" t="n">
        <f aca="false">AC59+AC60</f>
        <v>161918.261717938</v>
      </c>
      <c r="AD61" s="70" t="n">
        <f aca="false">AD59+AD60</f>
        <v>171755.26020711</v>
      </c>
      <c r="AE61" s="70" t="n">
        <f aca="false">AE59+AE60</f>
        <v>181662.573719918</v>
      </c>
      <c r="AF61" s="70" t="n">
        <f aca="false">AF59+AF60</f>
        <v>191709.307970076</v>
      </c>
      <c r="AG61" s="70" t="n">
        <f aca="false">AG59+AG60</f>
        <v>201964.634278769</v>
      </c>
      <c r="AH61" s="70" t="n">
        <f aca="false">AH59+AH60</f>
        <v>212498.534174286</v>
      </c>
      <c r="AI61" s="70" t="n">
        <f aca="false">AI59+AI60</f>
        <v>223382.424225398</v>
      </c>
      <c r="AJ61" s="70" t="n">
        <f aca="false">AJ59+AJ60</f>
        <v>234689.75917066</v>
      </c>
      <c r="AK61" s="70" t="n">
        <f aca="false">AK59+AK60</f>
        <v>246496.632323346</v>
      </c>
      <c r="AL61" s="70" t="n">
        <f aca="false">AL59+AL60</f>
        <v>258882.381277774</v>
      </c>
      <c r="AM61" s="70" t="n">
        <f aca="false">SUM(C61:AL61)</f>
        <v>3577001.55261016</v>
      </c>
    </row>
    <row r="62" customFormat="false" ht="15" hidden="false" customHeight="false" outlineLevel="0" collapsed="false">
      <c r="A62" s="10" t="s">
        <v>778</v>
      </c>
      <c r="B62" s="9" t="s">
        <v>95</v>
      </c>
      <c r="C62" s="70" t="n">
        <f aca="false">-C61*Assumptions!$E$80</f>
        <v>-0</v>
      </c>
      <c r="D62" s="70" t="n">
        <f aca="false">-D61*Assumptions!$E$80</f>
        <v>-0</v>
      </c>
      <c r="E62" s="70" t="n">
        <f aca="false">-E61*Assumptions!$E$80</f>
        <v>-0</v>
      </c>
      <c r="F62" s="70" t="n">
        <f aca="false">-F61*Assumptions!$E$80</f>
        <v>-0</v>
      </c>
      <c r="G62" s="70" t="n">
        <f aca="false">-G61*Assumptions!$E$80</f>
        <v>-0</v>
      </c>
      <c r="H62" s="70" t="n">
        <f aca="false">-H61*Assumptions!$E$80</f>
        <v>-0</v>
      </c>
      <c r="I62" s="70" t="n">
        <f aca="false">-I61*Assumptions!$E$80</f>
        <v>-318.095872317684</v>
      </c>
      <c r="J62" s="70" t="n">
        <f aca="false">-J61*Assumptions!$E$80</f>
        <v>-509.452221677656</v>
      </c>
      <c r="K62" s="70" t="n">
        <f aca="false">-K61*Assumptions!$E$80</f>
        <v>-696.164688884664</v>
      </c>
      <c r="L62" s="70" t="n">
        <f aca="false">-L61*Assumptions!$E$80</f>
        <v>-880.082547314416</v>
      </c>
      <c r="M62" s="70" t="n">
        <f aca="false">-M61*Assumptions!$E$80</f>
        <v>-1062.95698033928</v>
      </c>
      <c r="N62" s="70" t="n">
        <f aca="false">-N61*Assumptions!$E$80</f>
        <v>-1246.36121813894</v>
      </c>
      <c r="O62" s="70" t="n">
        <f aca="false">-O61*Assumptions!$E$80</f>
        <v>-1431.74204558613</v>
      </c>
      <c r="P62" s="70" t="n">
        <f aca="false">-P61*Assumptions!$E$80</f>
        <v>-1620.44312277024</v>
      </c>
      <c r="Q62" s="70" t="n">
        <f aca="false">-Q61*Assumptions!$E$80</f>
        <v>-1813.72621937841</v>
      </c>
      <c r="R62" s="70" t="n">
        <f aca="false">-R61*Assumptions!$E$80</f>
        <v>-2012.79268031639</v>
      </c>
      <c r="S62" s="70" t="n">
        <f aca="false">-S61*Assumptions!$E$80</f>
        <v>-2218.80487215671</v>
      </c>
      <c r="T62" s="70" t="n">
        <f aca="false">-T61*Assumptions!$E$80</f>
        <v>-2432.90721465445</v>
      </c>
      <c r="U62" s="70" t="n">
        <f aca="false">-U61*Assumptions!$E$80</f>
        <v>-2656.24661041943</v>
      </c>
      <c r="V62" s="70" t="n">
        <f aca="false">-V61*Assumptions!$E$80</f>
        <v>-2889.99225486338</v>
      </c>
      <c r="W62" s="70" t="n">
        <f aca="false">-W61*Assumptions!$E$80</f>
        <v>-3135.35491781069</v>
      </c>
      <c r="X62" s="70" t="n">
        <f aca="false">-X61*Assumptions!$E$80</f>
        <v>-3393.60585470218</v>
      </c>
      <c r="Y62" s="70" t="n">
        <f aca="false">-Y61*Assumptions!$E$80</f>
        <v>-3666.09554440734</v>
      </c>
      <c r="Z62" s="70" t="n">
        <f aca="false">-Z61*Assumptions!$E$80</f>
        <v>-3954.27247269749</v>
      </c>
      <c r="AA62" s="70" t="n">
        <f aca="false">-AA61*Assumptions!$E$80</f>
        <v>-4259.70219224267</v>
      </c>
      <c r="AB62" s="70" t="n">
        <f aca="false">-AB61*Assumptions!$E$80</f>
        <v>-4562.4539756685</v>
      </c>
      <c r="AC62" s="70" t="n">
        <f aca="false">-AC61*Assumptions!$E$80</f>
        <v>-4857.54785153814</v>
      </c>
      <c r="AD62" s="70" t="n">
        <f aca="false">-AD61*Assumptions!$E$80</f>
        <v>-5152.6578062133</v>
      </c>
      <c r="AE62" s="70" t="n">
        <f aca="false">-AE61*Assumptions!$E$80</f>
        <v>-5449.87721159753</v>
      </c>
      <c r="AF62" s="70" t="n">
        <f aca="false">-AF61*Assumptions!$E$80</f>
        <v>-5751.27923910229</v>
      </c>
      <c r="AG62" s="70" t="n">
        <f aca="false">-AG61*Assumptions!$E$80</f>
        <v>-6058.93902836307</v>
      </c>
      <c r="AH62" s="70" t="n">
        <f aca="false">-AH61*Assumptions!$E$80</f>
        <v>-6374.95602522857</v>
      </c>
      <c r="AI62" s="70" t="n">
        <f aca="false">-AI61*Assumptions!$E$80</f>
        <v>-6701.47272676194</v>
      </c>
      <c r="AJ62" s="70" t="n">
        <f aca="false">-AJ61*Assumptions!$E$80</f>
        <v>-7040.69277511979</v>
      </c>
      <c r="AK62" s="70" t="n">
        <f aca="false">-AK61*Assumptions!$E$80</f>
        <v>-7394.89896970037</v>
      </c>
      <c r="AL62" s="70" t="n">
        <f aca="false">-AL61*Assumptions!$E$80</f>
        <v>-7766.47143833323</v>
      </c>
      <c r="AM62" s="70" t="n">
        <f aca="false">SUM(C62:AL62)</f>
        <v>-107310.046578305</v>
      </c>
    </row>
    <row r="63" customFormat="false" ht="15" hidden="false" customHeight="false" outlineLevel="0" collapsed="false">
      <c r="A63" s="38" t="s">
        <v>779</v>
      </c>
      <c r="B63" s="9" t="s">
        <v>95</v>
      </c>
      <c r="C63" s="53" t="n">
        <f aca="false">C61+C62</f>
        <v>0</v>
      </c>
      <c r="D63" s="53" t="n">
        <f aca="false">D61+D62</f>
        <v>0</v>
      </c>
      <c r="E63" s="53" t="n">
        <f aca="false">E61+E62</f>
        <v>0</v>
      </c>
      <c r="F63" s="53" t="n">
        <f aca="false">F61+F62</f>
        <v>0</v>
      </c>
      <c r="G63" s="53" t="n">
        <f aca="false">G61+G62</f>
        <v>0</v>
      </c>
      <c r="H63" s="53" t="n">
        <f aca="false">H61+H62</f>
        <v>0</v>
      </c>
      <c r="I63" s="53" t="n">
        <f aca="false">I61+I62</f>
        <v>10285.0998716051</v>
      </c>
      <c r="J63" s="53" t="n">
        <f aca="false">J61+J62</f>
        <v>16472.2885009109</v>
      </c>
      <c r="K63" s="53" t="n">
        <f aca="false">K61+K62</f>
        <v>22509.3249406041</v>
      </c>
      <c r="L63" s="53" t="n">
        <f aca="false">L61+L62</f>
        <v>28456.0023631661</v>
      </c>
      <c r="M63" s="53" t="n">
        <f aca="false">M61+M62</f>
        <v>34368.9423643033</v>
      </c>
      <c r="N63" s="53" t="n">
        <f aca="false">N61+N62</f>
        <v>40299.0127198257</v>
      </c>
      <c r="O63" s="53" t="n">
        <f aca="false">O61+O62</f>
        <v>46292.9928072847</v>
      </c>
      <c r="P63" s="53" t="n">
        <f aca="false">P61+P62</f>
        <v>52394.3276362378</v>
      </c>
      <c r="Q63" s="53" t="n">
        <f aca="false">Q61+Q62</f>
        <v>58643.8144265687</v>
      </c>
      <c r="R63" s="53" t="n">
        <f aca="false">R61+R62</f>
        <v>65080.2966635633</v>
      </c>
      <c r="S63" s="53" t="n">
        <f aca="false">S61+S62</f>
        <v>71741.357533067</v>
      </c>
      <c r="T63" s="53" t="n">
        <f aca="false">T61+T62</f>
        <v>78663.9999404938</v>
      </c>
      <c r="U63" s="53" t="n">
        <f aca="false">U61+U62</f>
        <v>85885.3070702281</v>
      </c>
      <c r="V63" s="53" t="n">
        <f aca="false">V61+V62</f>
        <v>93443.0829072493</v>
      </c>
      <c r="W63" s="53" t="n">
        <f aca="false">W61+W62</f>
        <v>101376.475675879</v>
      </c>
      <c r="X63" s="53" t="n">
        <f aca="false">X61+X62</f>
        <v>109726.589302037</v>
      </c>
      <c r="Y63" s="53" t="n">
        <f aca="false">Y61+Y62</f>
        <v>118537.089269171</v>
      </c>
      <c r="Z63" s="53" t="n">
        <f aca="false">Z61+Z62</f>
        <v>127854.809950552</v>
      </c>
      <c r="AA63" s="53" t="n">
        <f aca="false">AA61+AA62</f>
        <v>137730.370882513</v>
      </c>
      <c r="AB63" s="53" t="n">
        <f aca="false">AB61+AB62</f>
        <v>147519.345213282</v>
      </c>
      <c r="AC63" s="53" t="n">
        <f aca="false">AC61+AC62</f>
        <v>157060.7138664</v>
      </c>
      <c r="AD63" s="53" t="n">
        <f aca="false">AD61+AD62</f>
        <v>166602.602400897</v>
      </c>
      <c r="AE63" s="53" t="n">
        <f aca="false">AE61+AE62</f>
        <v>176212.69650832</v>
      </c>
      <c r="AF63" s="53" t="n">
        <f aca="false">AF61+AF62</f>
        <v>185958.028730974</v>
      </c>
      <c r="AG63" s="53" t="n">
        <f aca="false">AG61+AG62</f>
        <v>195905.695250406</v>
      </c>
      <c r="AH63" s="53" t="n">
        <f aca="false">AH61+AH62</f>
        <v>206123.578149057</v>
      </c>
      <c r="AI63" s="53" t="n">
        <f aca="false">AI61+AI62</f>
        <v>216680.951498636</v>
      </c>
      <c r="AJ63" s="53" t="n">
        <f aca="false">AJ61+AJ62</f>
        <v>227649.06639554</v>
      </c>
      <c r="AK63" s="53" t="n">
        <f aca="false">AK61+AK62</f>
        <v>239101.733353645</v>
      </c>
      <c r="AL63" s="53" t="n">
        <f aca="false">AL61+AL62</f>
        <v>251115.909839441</v>
      </c>
      <c r="AM63" s="53" t="n">
        <f aca="false">SUM(C63:AL63)</f>
        <v>3469691.50603186</v>
      </c>
    </row>
    <row r="64" customFormat="false" ht="15" hidden="false" customHeight="false" outlineLevel="0" collapsed="false">
      <c r="A64" s="10" t="s">
        <v>780</v>
      </c>
      <c r="B64" s="9" t="s">
        <v>95</v>
      </c>
      <c r="C64" s="70" t="n">
        <f aca="false">-C57*Assumptions!$E$73</f>
        <v>-0</v>
      </c>
      <c r="D64" s="70" t="n">
        <f aca="false">-D57*Assumptions!$E$73</f>
        <v>-0</v>
      </c>
      <c r="E64" s="70" t="n">
        <f aca="false">-E57*Assumptions!$E$73</f>
        <v>-0</v>
      </c>
      <c r="F64" s="70" t="n">
        <f aca="false">-F57*Assumptions!$E$73</f>
        <v>-0</v>
      </c>
      <c r="G64" s="70" t="n">
        <f aca="false">-G57*Assumptions!$E$73</f>
        <v>-0</v>
      </c>
      <c r="H64" s="70" t="n">
        <f aca="false">-H57*Assumptions!$E$73</f>
        <v>-0</v>
      </c>
      <c r="I64" s="70" t="n">
        <f aca="false">-I57*Assumptions!$E$73</f>
        <v>-2207.35097142383</v>
      </c>
      <c r="J64" s="70" t="n">
        <f aca="false">-J57*Assumptions!$E$73</f>
        <v>-4342.5540480244</v>
      </c>
      <c r="K64" s="70" t="n">
        <f aca="false">-K57*Assumptions!$E$73</f>
        <v>-6419.14416039521</v>
      </c>
      <c r="L64" s="70" t="n">
        <f aca="false">-L57*Assumptions!$E$73</f>
        <v>-8454.904257374</v>
      </c>
      <c r="M64" s="70" t="n">
        <f aca="false">-M57*Assumptions!$E$73</f>
        <v>-10468.4903134809</v>
      </c>
      <c r="N64" s="70" t="n">
        <f aca="false">-N57*Assumptions!$E$73</f>
        <v>-12477.6427453339</v>
      </c>
      <c r="O64" s="70" t="n">
        <f aca="false">-O57*Assumptions!$E$73</f>
        <v>-14498.8896701428</v>
      </c>
      <c r="P64" s="70" t="n">
        <f aca="false">-P57*Assumptions!$E$73</f>
        <v>-16547.6002007766</v>
      </c>
      <c r="Q64" s="70" t="n">
        <f aca="false">-Q57*Assumptions!$E$73</f>
        <v>-18638.1512892092</v>
      </c>
      <c r="R64" s="70" t="n">
        <f aca="false">-R57*Assumptions!$E$73</f>
        <v>-20784.1377045272</v>
      </c>
      <c r="S64" s="70" t="n">
        <f aca="false">-S57*Assumptions!$E$73</f>
        <v>-22998.5976542102</v>
      </c>
      <c r="T64" s="70" t="n">
        <f aca="false">-T57*Assumptions!$E$73</f>
        <v>-25294.2412475591</v>
      </c>
      <c r="U64" s="70" t="n">
        <f aca="false">-U57*Assumptions!$E$73</f>
        <v>-27683.6758222792</v>
      </c>
      <c r="V64" s="70" t="n">
        <f aca="false">-V57*Assumptions!$E$73</f>
        <v>-30179.6258233386</v>
      </c>
      <c r="W64" s="70" t="n">
        <f aca="false">-W57*Assumptions!$E$73</f>
        <v>-32795.1470230733</v>
      </c>
      <c r="X64" s="70" t="n">
        <f aca="false">-X57*Assumptions!$E$73</f>
        <v>-35543.8361012727</v>
      </c>
      <c r="Y64" s="70" t="n">
        <f aca="false">-Y57*Assumptions!$E$73</f>
        <v>-38440.0373249834</v>
      </c>
      <c r="Z64" s="70" t="n">
        <f aca="false">-Z57*Assumptions!$E$73</f>
        <v>-41499.048484399</v>
      </c>
      <c r="AA64" s="70" t="n">
        <f aca="false">-AA57*Assumptions!$E$73</f>
        <v>-44737.3284755357</v>
      </c>
      <c r="AB64" s="70" t="n">
        <f aca="false">-AB57*Assumptions!$E$73</f>
        <v>-48022.5925204499</v>
      </c>
      <c r="AC64" s="70" t="n">
        <f aca="false">-AC57*Assumptions!$E$73</f>
        <v>-51271.9005852124</v>
      </c>
      <c r="AD64" s="70" t="n">
        <f aca="false">-AD57*Assumptions!$E$73</f>
        <v>-54508.1694492376</v>
      </c>
      <c r="AE64" s="70" t="n">
        <f aca="false">-AE57*Assumptions!$E$73</f>
        <v>-57754.3073041544</v>
      </c>
      <c r="AF64" s="70" t="n">
        <f aca="false">-AF57*Assumptions!$E$73</f>
        <v>-61033.0790241081</v>
      </c>
      <c r="AG64" s="70" t="n">
        <f aca="false">-AG57*Assumptions!$E$73</f>
        <v>-64367.2107233927</v>
      </c>
      <c r="AH64" s="70" t="n">
        <f aca="false">-AH57*Assumptions!$E$73</f>
        <v>-67779.5830072306</v>
      </c>
      <c r="AI64" s="70" t="n">
        <f aca="false">-AI57*Assumptions!$E$73</f>
        <v>-71293.4317290756</v>
      </c>
      <c r="AJ64" s="70" t="n">
        <f aca="false">-AJ57*Assumptions!$E$73</f>
        <v>-74932.5469750924</v>
      </c>
      <c r="AK64" s="70" t="n">
        <f aca="false">-AK57*Assumptions!$E$73</f>
        <v>-78721.4708330813</v>
      </c>
      <c r="AL64" s="70" t="n">
        <f aca="false">-AL57*Assumptions!$E$73</f>
        <v>-82685.6958204469</v>
      </c>
      <c r="AM64" s="70" t="n">
        <f aca="false">SUM(C64:AL64)</f>
        <v>-1126380.39128882</v>
      </c>
    </row>
    <row r="65" customFormat="false" ht="15" hidden="false" customHeight="false" outlineLevel="0" collapsed="false">
      <c r="A65" s="10" t="s">
        <v>781</v>
      </c>
      <c r="B65" s="9" t="s">
        <v>95</v>
      </c>
      <c r="C65" s="70" t="n">
        <f aca="false">-C54*Assumptions!$E$74</f>
        <v>-0</v>
      </c>
      <c r="D65" s="70" t="n">
        <f aca="false">-D54*Assumptions!$E$74</f>
        <v>-0</v>
      </c>
      <c r="E65" s="70" t="n">
        <f aca="false">-E54*Assumptions!$E$74</f>
        <v>-0</v>
      </c>
      <c r="F65" s="70" t="n">
        <f aca="false">-F54*Assumptions!$E$74</f>
        <v>-0</v>
      </c>
      <c r="G65" s="70" t="n">
        <f aca="false">-G54*Assumptions!$E$74</f>
        <v>-0</v>
      </c>
      <c r="H65" s="70" t="n">
        <f aca="false">-H54*Assumptions!$E$74</f>
        <v>-0</v>
      </c>
      <c r="I65" s="70" t="n">
        <f aca="false">-I54*Assumptions!$E$74</f>
        <v>-2329.3604181692</v>
      </c>
      <c r="J65" s="70" t="n">
        <f aca="false">-J54*Assumptions!$E$74</f>
        <v>-2509.4542558477</v>
      </c>
      <c r="K65" s="70" t="n">
        <f aca="false">-K54*Assumptions!$E$74</f>
        <v>-2695.45621697639</v>
      </c>
      <c r="L65" s="70" t="n">
        <f aca="false">-L54*Assumptions!$E$74</f>
        <v>-2893.42026225357</v>
      </c>
      <c r="M65" s="70" t="n">
        <f aca="false">-M54*Assumptions!$E$74</f>
        <v>-3106.33192059572</v>
      </c>
      <c r="N65" s="70" t="n">
        <f aca="false">-N54*Assumptions!$E$74</f>
        <v>-3335.39061585704</v>
      </c>
      <c r="O65" s="70" t="n">
        <f aca="false">-O54*Assumptions!$E$74</f>
        <v>-3581.37635014646</v>
      </c>
      <c r="P65" s="70" t="n">
        <f aca="false">-P54*Assumptions!$E$74</f>
        <v>-3844.98464257533</v>
      </c>
      <c r="Q65" s="70" t="n">
        <f aca="false">-Q54*Assumptions!$E$74</f>
        <v>-4126.95254042493</v>
      </c>
      <c r="R65" s="70" t="n">
        <f aca="false">-R54*Assumptions!$E$74</f>
        <v>-4428.12350514803</v>
      </c>
      <c r="S65" s="70" t="n">
        <f aca="false">-S54*Assumptions!$E$74</f>
        <v>-4749.48829459028</v>
      </c>
      <c r="T65" s="70" t="n">
        <f aca="false">-T54*Assumptions!$E$74</f>
        <v>-5092.21415238866</v>
      </c>
      <c r="U65" s="70" t="n">
        <f aca="false">-U54*Assumptions!$E$74</f>
        <v>-5457.66801781087</v>
      </c>
      <c r="V65" s="70" t="n">
        <f aca="false">-V54*Assumptions!$E$74</f>
        <v>-5847.43693285635</v>
      </c>
      <c r="W65" s="70" t="n">
        <f aca="false">-W54*Assumptions!$E$74</f>
        <v>-6263.34759429358</v>
      </c>
      <c r="X65" s="70" t="n">
        <f aca="false">-X54*Assumptions!$E$74</f>
        <v>-6707.48632386984</v>
      </c>
      <c r="Y65" s="70" t="n">
        <f aca="false">-Y54*Assumptions!$E$74</f>
        <v>-7182.22033580846</v>
      </c>
      <c r="Z65" s="70" t="n">
        <f aca="false">-Z54*Assumptions!$E$74</f>
        <v>-7690.2209431991</v>
      </c>
      <c r="AA65" s="70" t="n">
        <f aca="false">-AA54*Assumptions!$E$74</f>
        <v>-8234.48920087924</v>
      </c>
      <c r="AB65" s="70" t="n">
        <f aca="false">-AB54*Assumptions!$E$74</f>
        <v>-8659.97030609832</v>
      </c>
      <c r="AC65" s="70" t="n">
        <f aca="false">-AC54*Assumptions!$E$74</f>
        <v>-9003.38085389613</v>
      </c>
      <c r="AD65" s="70" t="n">
        <f aca="false">-AD54*Assumptions!$E$74</f>
        <v>-9366.80111079116</v>
      </c>
      <c r="AE65" s="70" t="n">
        <f aca="false">-AE54*Assumptions!$E$74</f>
        <v>-9752.88219765429</v>
      </c>
      <c r="AF65" s="70" t="n">
        <f aca="false">-AF54*Assumptions!$E$74</f>
        <v>-10164.132061717</v>
      </c>
      <c r="AG65" s="70" t="n">
        <f aca="false">-AG54*Assumptions!$E$74</f>
        <v>-10603.1523508616</v>
      </c>
      <c r="AH65" s="70" t="n">
        <f aca="false">-AH54*Assumptions!$E$74</f>
        <v>-11072.7441462727</v>
      </c>
      <c r="AI65" s="70" t="n">
        <f aca="false">-AI54*Assumptions!$E$74</f>
        <v>-11575.9383164582</v>
      </c>
      <c r="AJ65" s="70" t="n">
        <f aca="false">-AJ54*Assumptions!$E$74</f>
        <v>-12116.0169503737</v>
      </c>
      <c r="AK65" s="70" t="n">
        <f aca="false">-AK54*Assumptions!$E$74</f>
        <v>-12696.5351728279</v>
      </c>
      <c r="AL65" s="70" t="n">
        <f aca="false">-AL54*Assumptions!$E$74</f>
        <v>-13321.3447970034</v>
      </c>
      <c r="AM65" s="70" t="n">
        <f aca="false">SUM(C65:AL65)</f>
        <v>-208408.320787645</v>
      </c>
    </row>
    <row r="66" customFormat="false" ht="15" hidden="false" customHeight="false" outlineLevel="0" collapsed="false">
      <c r="A66" s="10" t="s">
        <v>782</v>
      </c>
      <c r="B66" s="9" t="s">
        <v>95</v>
      </c>
      <c r="C66" s="70" t="n">
        <f aca="false">-C57*Assumptions!$E$75</f>
        <v>-0</v>
      </c>
      <c r="D66" s="70" t="n">
        <f aca="false">-D57*Assumptions!$E$75</f>
        <v>-0</v>
      </c>
      <c r="E66" s="70" t="n">
        <f aca="false">-E57*Assumptions!$E$75</f>
        <v>-0</v>
      </c>
      <c r="F66" s="70" t="n">
        <f aca="false">-F57*Assumptions!$E$75</f>
        <v>-0</v>
      </c>
      <c r="G66" s="70" t="n">
        <f aca="false">-G57*Assumptions!$E$75</f>
        <v>-0</v>
      </c>
      <c r="H66" s="70" t="n">
        <f aca="false">-H57*Assumptions!$E$75</f>
        <v>-0</v>
      </c>
      <c r="I66" s="70" t="n">
        <f aca="false">-I57*Assumptions!$E$75</f>
        <v>-200.668270129439</v>
      </c>
      <c r="J66" s="70" t="n">
        <f aca="false">-J57*Assumptions!$E$75</f>
        <v>-394.777640729491</v>
      </c>
      <c r="K66" s="70" t="n">
        <f aca="false">-K57*Assumptions!$E$75</f>
        <v>-583.558560035928</v>
      </c>
      <c r="L66" s="70" t="n">
        <f aca="false">-L57*Assumptions!$E$75</f>
        <v>-768.627659761273</v>
      </c>
      <c r="M66" s="70" t="n">
        <f aca="false">-M57*Assumptions!$E$75</f>
        <v>-951.680937589169</v>
      </c>
      <c r="N66" s="70" t="n">
        <f aca="false">-N57*Assumptions!$E$75</f>
        <v>-1134.33115866672</v>
      </c>
      <c r="O66" s="70" t="n">
        <f aca="false">-O57*Assumptions!$E$75</f>
        <v>-1318.08087910389</v>
      </c>
      <c r="P66" s="70" t="n">
        <f aca="false">-P57*Assumptions!$E$75</f>
        <v>-1504.32729097969</v>
      </c>
      <c r="Q66" s="70" t="n">
        <f aca="false">-Q57*Assumptions!$E$75</f>
        <v>-1694.37738992811</v>
      </c>
      <c r="R66" s="70" t="n">
        <f aca="false">-R57*Assumptions!$E$75</f>
        <v>-1889.46706404793</v>
      </c>
      <c r="S66" s="70" t="n">
        <f aca="false">-S57*Assumptions!$E$75</f>
        <v>-2090.7816049282</v>
      </c>
      <c r="T66" s="70" t="n">
        <f aca="false">-T57*Assumptions!$E$75</f>
        <v>-2299.47647705082</v>
      </c>
      <c r="U66" s="70" t="n">
        <f aca="false">-U57*Assumptions!$E$75</f>
        <v>-2516.69780202538</v>
      </c>
      <c r="V66" s="70" t="n">
        <f aca="false">-V57*Assumptions!$E$75</f>
        <v>-2743.60234757624</v>
      </c>
      <c r="W66" s="70" t="n">
        <f aca="false">-W57*Assumptions!$E$75</f>
        <v>-2981.37700209757</v>
      </c>
      <c r="X66" s="70" t="n">
        <f aca="false">-X57*Assumptions!$E$75</f>
        <v>-3231.25782738843</v>
      </c>
      <c r="Y66" s="70" t="n">
        <f aca="false">-Y57*Assumptions!$E$75</f>
        <v>-3494.54884772577</v>
      </c>
      <c r="Z66" s="70" t="n">
        <f aca="false">-Z57*Assumptions!$E$75</f>
        <v>-3772.640771309</v>
      </c>
      <c r="AA66" s="70" t="n">
        <f aca="false">-AA57*Assumptions!$E$75</f>
        <v>-4067.02986141233</v>
      </c>
      <c r="AB66" s="70" t="n">
        <f aca="false">-AB57*Assumptions!$E$75</f>
        <v>-4365.69022913181</v>
      </c>
      <c r="AC66" s="70" t="n">
        <f aca="false">-AC57*Assumptions!$E$75</f>
        <v>-4661.08187138295</v>
      </c>
      <c r="AD66" s="70" t="n">
        <f aca="false">-AD57*Assumptions!$E$75</f>
        <v>-4955.28813174888</v>
      </c>
      <c r="AE66" s="70" t="n">
        <f aca="false">-AE57*Assumptions!$E$75</f>
        <v>-5250.39157310495</v>
      </c>
      <c r="AF66" s="70" t="n">
        <f aca="false">-AF57*Assumptions!$E$75</f>
        <v>-5548.46172946437</v>
      </c>
      <c r="AG66" s="70" t="n">
        <f aca="false">-AG57*Assumptions!$E$75</f>
        <v>-5851.56461121752</v>
      </c>
      <c r="AH66" s="70" t="n">
        <f aca="false">-AH57*Assumptions!$E$75</f>
        <v>-6161.7802733846</v>
      </c>
      <c r="AI66" s="70" t="n">
        <f aca="false">-AI57*Assumptions!$E$75</f>
        <v>-6481.2210662796</v>
      </c>
      <c r="AJ66" s="70" t="n">
        <f aca="false">-AJ57*Assumptions!$E$75</f>
        <v>-6812.0497250084</v>
      </c>
      <c r="AK66" s="70" t="n">
        <f aca="false">-AK57*Assumptions!$E$75</f>
        <v>-7156.49734846193</v>
      </c>
      <c r="AL66" s="70" t="n">
        <f aca="false">-AL57*Assumptions!$E$75</f>
        <v>-7516.88143822245</v>
      </c>
      <c r="AM66" s="70" t="n">
        <f aca="false">SUM(C66:AL66)</f>
        <v>-102398.217389893</v>
      </c>
    </row>
    <row r="67" customFormat="false" ht="15" hidden="false" customHeight="false" outlineLevel="0" collapsed="false">
      <c r="A67" s="10" t="s">
        <v>783</v>
      </c>
      <c r="B67" s="9" t="s">
        <v>95</v>
      </c>
      <c r="C67" s="70" t="n">
        <f aca="false">-C57*Assumptions!$E$76</f>
        <v>-0</v>
      </c>
      <c r="D67" s="70" t="n">
        <f aca="false">-D57*Assumptions!$E$76</f>
        <v>-0</v>
      </c>
      <c r="E67" s="70" t="n">
        <f aca="false">-E57*Assumptions!$E$76</f>
        <v>-0</v>
      </c>
      <c r="F67" s="70" t="n">
        <f aca="false">-F57*Assumptions!$E$76</f>
        <v>-0</v>
      </c>
      <c r="G67" s="70" t="n">
        <f aca="false">-G57*Assumptions!$E$76</f>
        <v>-0</v>
      </c>
      <c r="H67" s="70" t="n">
        <f aca="false">-H57*Assumptions!$E$76</f>
        <v>-0</v>
      </c>
      <c r="I67" s="70" t="n">
        <f aca="false">-I57*Assumptions!$E$76</f>
        <v>-451.503607791237</v>
      </c>
      <c r="J67" s="70" t="n">
        <f aca="false">-J57*Assumptions!$E$76</f>
        <v>-888.249691641354</v>
      </c>
      <c r="K67" s="70" t="n">
        <f aca="false">-K57*Assumptions!$E$76</f>
        <v>-1313.00676008084</v>
      </c>
      <c r="L67" s="70" t="n">
        <f aca="false">-L57*Assumptions!$E$76</f>
        <v>-1729.41223446286</v>
      </c>
      <c r="M67" s="70" t="n">
        <f aca="false">-M57*Assumptions!$E$76</f>
        <v>-2141.28210957563</v>
      </c>
      <c r="N67" s="70" t="n">
        <f aca="false">-N57*Assumptions!$E$76</f>
        <v>-2552.24510700012</v>
      </c>
      <c r="O67" s="70" t="n">
        <f aca="false">-O57*Assumptions!$E$76</f>
        <v>-2965.68197798375</v>
      </c>
      <c r="P67" s="70" t="n">
        <f aca="false">-P57*Assumptions!$E$76</f>
        <v>-3384.7364047043</v>
      </c>
      <c r="Q67" s="70" t="n">
        <f aca="false">-Q57*Assumptions!$E$76</f>
        <v>-3812.34912733825</v>
      </c>
      <c r="R67" s="70" t="n">
        <f aca="false">-R57*Assumptions!$E$76</f>
        <v>-4251.30089410784</v>
      </c>
      <c r="S67" s="70" t="n">
        <f aca="false">-S57*Assumptions!$E$76</f>
        <v>-4704.25861108845</v>
      </c>
      <c r="T67" s="70" t="n">
        <f aca="false">-T57*Assumptions!$E$76</f>
        <v>-5173.82207336435</v>
      </c>
      <c r="U67" s="70" t="n">
        <f aca="false">-U57*Assumptions!$E$76</f>
        <v>-5662.57005455711</v>
      </c>
      <c r="V67" s="70" t="n">
        <f aca="false">-V57*Assumptions!$E$76</f>
        <v>-6173.10528204653</v>
      </c>
      <c r="W67" s="70" t="n">
        <f aca="false">-W57*Assumptions!$E$76</f>
        <v>-6708.09825471954</v>
      </c>
      <c r="X67" s="70" t="n">
        <f aca="false">-X57*Assumptions!$E$76</f>
        <v>-7270.33011162396</v>
      </c>
      <c r="Y67" s="70" t="n">
        <f aca="false">-Y57*Assumptions!$E$76</f>
        <v>-7862.73490738298</v>
      </c>
      <c r="Z67" s="70" t="n">
        <f aca="false">-Z57*Assumptions!$E$76</f>
        <v>-8488.44173544525</v>
      </c>
      <c r="AA67" s="70" t="n">
        <f aca="false">-AA57*Assumptions!$E$76</f>
        <v>-9150.81718817775</v>
      </c>
      <c r="AB67" s="70" t="n">
        <f aca="false">-AB57*Assumptions!$E$76</f>
        <v>-9822.80301554656</v>
      </c>
      <c r="AC67" s="70" t="n">
        <f aca="false">-AC57*Assumptions!$E$76</f>
        <v>-10487.4342106116</v>
      </c>
      <c r="AD67" s="70" t="n">
        <f aca="false">-AD57*Assumptions!$E$76</f>
        <v>-11149.398296435</v>
      </c>
      <c r="AE67" s="70" t="n">
        <f aca="false">-AE57*Assumptions!$E$76</f>
        <v>-11813.3810394861</v>
      </c>
      <c r="AF67" s="70" t="n">
        <f aca="false">-AF57*Assumptions!$E$76</f>
        <v>-12484.0388912948</v>
      </c>
      <c r="AG67" s="70" t="n">
        <f aca="false">-AG57*Assumptions!$E$76</f>
        <v>-13166.0203752394</v>
      </c>
      <c r="AH67" s="70" t="n">
        <f aca="false">-AH57*Assumptions!$E$76</f>
        <v>-13864.0056151153</v>
      </c>
      <c r="AI67" s="70" t="n">
        <f aca="false">-AI57*Assumptions!$E$76</f>
        <v>-14582.7473991291</v>
      </c>
      <c r="AJ67" s="70" t="n">
        <f aca="false">-AJ57*Assumptions!$E$76</f>
        <v>-15327.1118812689</v>
      </c>
      <c r="AK67" s="70" t="n">
        <f aca="false">-AK57*Assumptions!$E$76</f>
        <v>-16102.1190340394</v>
      </c>
      <c r="AL67" s="70" t="n">
        <f aca="false">-AL57*Assumptions!$E$76</f>
        <v>-16912.9832360005</v>
      </c>
      <c r="AM67" s="70" t="n">
        <f aca="false">SUM(C67:AL67)</f>
        <v>-230395.989127259</v>
      </c>
    </row>
    <row r="68" customFormat="false" ht="15" hidden="false" customHeight="false" outlineLevel="0" collapsed="false">
      <c r="A68" s="10" t="s">
        <v>784</v>
      </c>
      <c r="B68" s="9" t="s">
        <v>95</v>
      </c>
      <c r="C68" s="70" t="n">
        <f aca="false">-C57*Assumptions!$E$77</f>
        <v>-0</v>
      </c>
      <c r="D68" s="70" t="n">
        <f aca="false">-D57*Assumptions!$E$77</f>
        <v>-0</v>
      </c>
      <c r="E68" s="70" t="n">
        <f aca="false">-E57*Assumptions!$E$77</f>
        <v>-0</v>
      </c>
      <c r="F68" s="70" t="n">
        <f aca="false">-F57*Assumptions!$E$77</f>
        <v>-0</v>
      </c>
      <c r="G68" s="70" t="n">
        <f aca="false">-G57*Assumptions!$E$77</f>
        <v>-0</v>
      </c>
      <c r="H68" s="70" t="n">
        <f aca="false">-H57*Assumptions!$E$77</f>
        <v>-0</v>
      </c>
      <c r="I68" s="70" t="n">
        <f aca="false">-I57*Assumptions!$E$77</f>
        <v>-112.875901947809</v>
      </c>
      <c r="J68" s="70" t="n">
        <f aca="false">-J57*Assumptions!$E$77</f>
        <v>-222.062422910338</v>
      </c>
      <c r="K68" s="70" t="n">
        <f aca="false">-K57*Assumptions!$E$77</f>
        <v>-328.25169002021</v>
      </c>
      <c r="L68" s="70" t="n">
        <f aca="false">-L57*Assumptions!$E$77</f>
        <v>-432.353058615716</v>
      </c>
      <c r="M68" s="70" t="n">
        <f aca="false">-M57*Assumptions!$E$77</f>
        <v>-535.320527393907</v>
      </c>
      <c r="N68" s="70" t="n">
        <f aca="false">-N57*Assumptions!$E$77</f>
        <v>-638.061276750029</v>
      </c>
      <c r="O68" s="70" t="n">
        <f aca="false">-O57*Assumptions!$E$77</f>
        <v>-741.420494495939</v>
      </c>
      <c r="P68" s="70" t="n">
        <f aca="false">-P57*Assumptions!$E$77</f>
        <v>-846.184101176075</v>
      </c>
      <c r="Q68" s="70" t="n">
        <f aca="false">-Q57*Assumptions!$E$77</f>
        <v>-953.087281834562</v>
      </c>
      <c r="R68" s="70" t="n">
        <f aca="false">-R57*Assumptions!$E$77</f>
        <v>-1062.82522352696</v>
      </c>
      <c r="S68" s="70" t="n">
        <f aca="false">-S57*Assumptions!$E$77</f>
        <v>-1176.06465277211</v>
      </c>
      <c r="T68" s="70" t="n">
        <f aca="false">-T57*Assumptions!$E$77</f>
        <v>-1293.45551834109</v>
      </c>
      <c r="U68" s="70" t="n">
        <f aca="false">-U57*Assumptions!$E$77</f>
        <v>-1415.64251363928</v>
      </c>
      <c r="V68" s="70" t="n">
        <f aca="false">-V57*Assumptions!$E$77</f>
        <v>-1543.27632051163</v>
      </c>
      <c r="W68" s="70" t="n">
        <f aca="false">-W57*Assumptions!$E$77</f>
        <v>-1677.02456367988</v>
      </c>
      <c r="X68" s="70" t="n">
        <f aca="false">-X57*Assumptions!$E$77</f>
        <v>-1817.58252790599</v>
      </c>
      <c r="Y68" s="70" t="n">
        <f aca="false">-Y57*Assumptions!$E$77</f>
        <v>-1965.68372684574</v>
      </c>
      <c r="Z68" s="70" t="n">
        <f aca="false">-Z57*Assumptions!$E$77</f>
        <v>-2122.11043386131</v>
      </c>
      <c r="AA68" s="70" t="n">
        <f aca="false">-AA57*Assumptions!$E$77</f>
        <v>-2287.70429704444</v>
      </c>
      <c r="AB68" s="70" t="n">
        <f aca="false">-AB57*Assumptions!$E$77</f>
        <v>-2455.70075388664</v>
      </c>
      <c r="AC68" s="70" t="n">
        <f aca="false">-AC57*Assumptions!$E$77</f>
        <v>-2621.85855265291</v>
      </c>
      <c r="AD68" s="70" t="n">
        <f aca="false">-AD57*Assumptions!$E$77</f>
        <v>-2787.34957410874</v>
      </c>
      <c r="AE68" s="70" t="n">
        <f aca="false">-AE57*Assumptions!$E$77</f>
        <v>-2953.34525987153</v>
      </c>
      <c r="AF68" s="70" t="n">
        <f aca="false">-AF57*Assumptions!$E$77</f>
        <v>-3121.00972282371</v>
      </c>
      <c r="AG68" s="70" t="n">
        <f aca="false">-AG57*Assumptions!$E$77</f>
        <v>-3291.50509380985</v>
      </c>
      <c r="AH68" s="70" t="n">
        <f aca="false">-AH57*Assumptions!$E$77</f>
        <v>-3466.00140377884</v>
      </c>
      <c r="AI68" s="70" t="n">
        <f aca="false">-AI57*Assumptions!$E$77</f>
        <v>-3645.68684978227</v>
      </c>
      <c r="AJ68" s="70" t="n">
        <f aca="false">-AJ57*Assumptions!$E$77</f>
        <v>-3831.77797031723</v>
      </c>
      <c r="AK68" s="70" t="n">
        <f aca="false">-AK57*Assumptions!$E$77</f>
        <v>-4025.52975850984</v>
      </c>
      <c r="AL68" s="70" t="n">
        <f aca="false">-AL57*Assumptions!$E$77</f>
        <v>-4228.24580900013</v>
      </c>
      <c r="AM68" s="70" t="n">
        <f aca="false">SUM(C68:AL68)</f>
        <v>-57598.9972818147</v>
      </c>
    </row>
    <row r="69" customFormat="false" ht="15" hidden="false" customHeight="false" outlineLevel="0" collapsed="false">
      <c r="A69" s="10" t="s">
        <v>785</v>
      </c>
      <c r="B69" s="9" t="s">
        <v>95</v>
      </c>
      <c r="C69" s="70" t="n">
        <f aca="false">-C63*Assumptions!$E$79</f>
        <v>-0</v>
      </c>
      <c r="D69" s="70" t="n">
        <f aca="false">-D63*Assumptions!$E$79</f>
        <v>-0</v>
      </c>
      <c r="E69" s="70" t="n">
        <f aca="false">-E63*Assumptions!$E$79</f>
        <v>-0</v>
      </c>
      <c r="F69" s="70" t="n">
        <f aca="false">-F63*Assumptions!$E$79</f>
        <v>-0</v>
      </c>
      <c r="G69" s="70" t="n">
        <f aca="false">-G63*Assumptions!$E$79</f>
        <v>-0</v>
      </c>
      <c r="H69" s="70" t="n">
        <f aca="false">-H63*Assumptions!$E$79</f>
        <v>-0</v>
      </c>
      <c r="I69" s="70" t="n">
        <f aca="false">-I63*Assumptions!$E$79</f>
        <v>-298.267896276549</v>
      </c>
      <c r="J69" s="70" t="n">
        <f aca="false">-J63*Assumptions!$E$79</f>
        <v>-477.696366526415</v>
      </c>
      <c r="K69" s="70" t="n">
        <f aca="false">-K63*Assumptions!$E$79</f>
        <v>-652.77042327752</v>
      </c>
      <c r="L69" s="70" t="n">
        <f aca="false">-L63*Assumptions!$E$79</f>
        <v>-825.224068531818</v>
      </c>
      <c r="M69" s="70" t="n">
        <f aca="false">-M63*Assumptions!$E$79</f>
        <v>-996.699328564795</v>
      </c>
      <c r="N69" s="70" t="n">
        <f aca="false">-N63*Assumptions!$E$79</f>
        <v>-1168.67136887495</v>
      </c>
      <c r="O69" s="70" t="n">
        <f aca="false">-O63*Assumptions!$E$79</f>
        <v>-1342.49679141126</v>
      </c>
      <c r="P69" s="70" t="n">
        <f aca="false">-P63*Assumptions!$E$79</f>
        <v>-1519.4355014509</v>
      </c>
      <c r="Q69" s="70" t="n">
        <f aca="false">-Q63*Assumptions!$E$79</f>
        <v>-1700.67061837049</v>
      </c>
      <c r="R69" s="70" t="n">
        <f aca="false">-R63*Assumptions!$E$79</f>
        <v>-1887.32860324333</v>
      </c>
      <c r="S69" s="70" t="n">
        <f aca="false">-S63*Assumptions!$E$79</f>
        <v>-2080.49936845894</v>
      </c>
      <c r="T69" s="70" t="n">
        <f aca="false">-T63*Assumptions!$E$79</f>
        <v>-2281.25599827432</v>
      </c>
      <c r="U69" s="70" t="n">
        <f aca="false">-U63*Assumptions!$E$79</f>
        <v>-2490.67390503661</v>
      </c>
      <c r="V69" s="70" t="n">
        <f aca="false">-V63*Assumptions!$E$79</f>
        <v>-2709.84940431023</v>
      </c>
      <c r="W69" s="70" t="n">
        <f aca="false">-W63*Assumptions!$E$79</f>
        <v>-2939.91779460049</v>
      </c>
      <c r="X69" s="70" t="n">
        <f aca="false">-X63*Assumptions!$E$79</f>
        <v>-3182.07108975908</v>
      </c>
      <c r="Y69" s="70" t="n">
        <f aca="false">-Y63*Assumptions!$E$79</f>
        <v>-3437.57558880595</v>
      </c>
      <c r="Z69" s="70" t="n">
        <f aca="false">-Z63*Assumptions!$E$79</f>
        <v>-3707.78948856601</v>
      </c>
      <c r="AA69" s="70" t="n">
        <f aca="false">-AA63*Assumptions!$E$79</f>
        <v>-3994.18075559287</v>
      </c>
      <c r="AB69" s="70" t="n">
        <f aca="false">-AB63*Assumptions!$E$79</f>
        <v>-4278.06101118517</v>
      </c>
      <c r="AC69" s="70" t="n">
        <f aca="false">-AC63*Assumptions!$E$79</f>
        <v>-4554.76070212559</v>
      </c>
      <c r="AD69" s="70" t="n">
        <f aca="false">-AD63*Assumptions!$E$79</f>
        <v>-4831.475469626</v>
      </c>
      <c r="AE69" s="70" t="n">
        <f aca="false">-AE63*Assumptions!$E$79</f>
        <v>-5110.16819874128</v>
      </c>
      <c r="AF69" s="70" t="n">
        <f aca="false">-AF63*Assumptions!$E$79</f>
        <v>-5392.78283319825</v>
      </c>
      <c r="AG69" s="70" t="n">
        <f aca="false">-AG63*Assumptions!$E$79</f>
        <v>-5681.26516226177</v>
      </c>
      <c r="AH69" s="70" t="n">
        <f aca="false">-AH63*Assumptions!$E$79</f>
        <v>-5977.58376632265</v>
      </c>
      <c r="AI69" s="70" t="n">
        <f aca="false">-AI63*Assumptions!$E$79</f>
        <v>-6283.74759346045</v>
      </c>
      <c r="AJ69" s="70" t="n">
        <f aca="false">-AJ63*Assumptions!$E$79</f>
        <v>-6601.82292547066</v>
      </c>
      <c r="AK69" s="70" t="n">
        <f aca="false">-AK63*Assumptions!$E$79</f>
        <v>-6933.95026725572</v>
      </c>
      <c r="AL69" s="70" t="n">
        <f aca="false">-AL63*Assumptions!$E$79</f>
        <v>-7282.3613853438</v>
      </c>
      <c r="AM69" s="70" t="n">
        <f aca="false">SUM(C69:AL69)</f>
        <v>-100621.053674924</v>
      </c>
    </row>
    <row r="70" customFormat="false" ht="15" hidden="false" customHeight="false" outlineLevel="0" collapsed="false">
      <c r="A70" s="38" t="s">
        <v>786</v>
      </c>
      <c r="B70" s="9" t="s">
        <v>95</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4685.07280586707</v>
      </c>
      <c r="J70" s="53" t="n">
        <f aca="false">J63+J64+J65+J66+J67+J68+J69</f>
        <v>7637.49407523118</v>
      </c>
      <c r="K70" s="53" t="n">
        <f aca="false">K63+K64+K65+K66+K67+K68+K69</f>
        <v>10517.1371298181</v>
      </c>
      <c r="L70" s="53" t="n">
        <f aca="false">L63+L64+L65+L66+L67+L68+L69</f>
        <v>13352.0608221669</v>
      </c>
      <c r="M70" s="53" t="n">
        <f aca="false">M63+M64+M65+M66+M67+M68+M69</f>
        <v>16169.1372271032</v>
      </c>
      <c r="N70" s="53" t="n">
        <f aca="false">N63+N64+N65+N66+N67+N68+N69</f>
        <v>18992.670447343</v>
      </c>
      <c r="O70" s="53" t="n">
        <f aca="false">O63+O64+O65+O66+O67+O68+O69</f>
        <v>21845.0466440006</v>
      </c>
      <c r="P70" s="53" t="n">
        <f aca="false">P63+P64+P65+P66+P67+P68+P69</f>
        <v>24747.0594945749</v>
      </c>
      <c r="Q70" s="53" t="n">
        <f aca="false">Q63+Q64+Q65+Q66+Q67+Q68+Q69</f>
        <v>27718.2261794632</v>
      </c>
      <c r="R70" s="53" t="n">
        <f aca="false">R63+R64+R65+R66+R67+R68+R69</f>
        <v>30777.113668962</v>
      </c>
      <c r="S70" s="53" t="n">
        <f aca="false">S63+S64+S65+S66+S67+S68+S69</f>
        <v>33941.6673470188</v>
      </c>
      <c r="T70" s="53" t="n">
        <f aca="false">T63+T64+T65+T66+T67+T68+T69</f>
        <v>37229.5344735155</v>
      </c>
      <c r="U70" s="53" t="n">
        <f aca="false">U63+U64+U65+U66+U67+U68+U69</f>
        <v>40658.3789548796</v>
      </c>
      <c r="V70" s="53" t="n">
        <f aca="false">V63+V64+V65+V66+V67+V68+V69</f>
        <v>44246.1867966097</v>
      </c>
      <c r="W70" s="53" t="n">
        <f aca="false">W63+W64+W65+W66+W67+W68+W69</f>
        <v>48011.5634434146</v>
      </c>
      <c r="X70" s="53" t="n">
        <f aca="false">X63+X64+X65+X66+X67+X68+X69</f>
        <v>51974.0253202172</v>
      </c>
      <c r="Y70" s="53" t="n">
        <f aca="false">Y63+Y64+Y65+Y66+Y67+Y68+Y69</f>
        <v>56154.2885376183</v>
      </c>
      <c r="Z70" s="53" t="n">
        <f aca="false">Z63+Z64+Z65+Z66+Z67+Z68+Z69</f>
        <v>60574.5580937725</v>
      </c>
      <c r="AA70" s="53" t="n">
        <f aca="false">AA63+AA64+AA65+AA66+AA67+AA68+AA69</f>
        <v>65258.8211038705</v>
      </c>
      <c r="AB70" s="53" t="n">
        <f aca="false">AB63+AB64+AB65+AB66+AB67+AB68+AB69</f>
        <v>69914.5273769832</v>
      </c>
      <c r="AC70" s="53" t="n">
        <f aca="false">AC63+AC64+AC65+AC66+AC67+AC68+AC69</f>
        <v>74460.2970905182</v>
      </c>
      <c r="AD70" s="53" t="n">
        <f aca="false">AD63+AD64+AD65+AD66+AD67+AD68+AD69</f>
        <v>79004.1203689491</v>
      </c>
      <c r="AE70" s="53" t="n">
        <f aca="false">AE63+AE64+AE65+AE66+AE67+AE68+AE69</f>
        <v>83578.2209353075</v>
      </c>
      <c r="AF70" s="53" t="n">
        <f aca="false">AF63+AF64+AF65+AF66+AF67+AF68+AF69</f>
        <v>88214.5244683679</v>
      </c>
      <c r="AG70" s="53" t="n">
        <f aca="false">AG63+AG64+AG65+AG66+AG67+AG68+AG69</f>
        <v>92944.9769336231</v>
      </c>
      <c r="AH70" s="53" t="n">
        <f aca="false">AH63+AH64+AH65+AH66+AH67+AH68+AH69</f>
        <v>97801.8799369522</v>
      </c>
      <c r="AI70" s="53" t="n">
        <f aca="false">AI63+AI64+AI65+AI66+AI67+AI68+AI69</f>
        <v>102818.178544451</v>
      </c>
      <c r="AJ70" s="53" t="n">
        <f aca="false">AJ63+AJ64+AJ65+AJ66+AJ67+AJ68+AJ69</f>
        <v>108027.739968009</v>
      </c>
      <c r="AK70" s="53" t="n">
        <f aca="false">AK63+AK64+AK65+AK66+AK67+AK68+AK69</f>
        <v>113465.630939469</v>
      </c>
      <c r="AL70" s="53" t="n">
        <f aca="false">AL63+AL64+AL65+AL66+AL67+AL68+AL69</f>
        <v>119168.397353424</v>
      </c>
      <c r="AM70" s="53" t="n">
        <f aca="false">SUM(C70:AL70)</f>
        <v>1643888.5364815</v>
      </c>
    </row>
    <row r="71" customFormat="false" ht="15" hidden="false" customHeight="false" outlineLevel="0" collapsed="false">
      <c r="A71" s="10" t="s">
        <v>787</v>
      </c>
      <c r="B71" s="9" t="s">
        <v>59</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0.45552039983603</v>
      </c>
      <c r="J71" s="62" t="n">
        <f aca="false">IFERROR(J70/J63,0)</f>
        <v>0.463657133907584</v>
      </c>
      <c r="K71" s="62" t="n">
        <f aca="false">IFERROR(K70/K63,0)</f>
        <v>0.467234675298786</v>
      </c>
      <c r="L71" s="62" t="n">
        <f aca="false">IFERROR(L70/L63,0)</f>
        <v>0.46921772959402</v>
      </c>
      <c r="M71" s="62" t="n">
        <f aca="false">IFERROR(M70/M63,0)</f>
        <v>0.470457806228481</v>
      </c>
      <c r="N71" s="62" t="n">
        <f aca="false">IFERROR(N70/N63,0)</f>
        <v>0.471293690974202</v>
      </c>
      <c r="O71" s="62" t="n">
        <f aca="false">IFERROR(O70/O63,0)</f>
        <v>0.471886679155534</v>
      </c>
      <c r="P71" s="62" t="n">
        <f aca="false">IFERROR(P70/P63,0)</f>
        <v>0.472323257326409</v>
      </c>
      <c r="Q71" s="62" t="n">
        <f aca="false">IFERROR(Q70/Q63,0)</f>
        <v>0.472653875783792</v>
      </c>
      <c r="R71" s="62" t="n">
        <f aca="false">IFERROR(R70/R63,0)</f>
        <v>0.472909855160406</v>
      </c>
      <c r="S71" s="62" t="n">
        <f aca="false">IFERROR(S70/S63,0)</f>
        <v>0.473111584644526</v>
      </c>
      <c r="T71" s="62" t="n">
        <f aca="false">IFERROR(T70/T63,0)</f>
        <v>0.473272837659897</v>
      </c>
      <c r="U71" s="62" t="n">
        <f aca="false">IFERROR(U70/U63,0)</f>
        <v>0.473403197145624</v>
      </c>
      <c r="V71" s="62" t="n">
        <f aca="false">IFERROR(V70/V63,0)</f>
        <v>0.473509492837774</v>
      </c>
      <c r="W71" s="62" t="n">
        <f aca="false">IFERROR(W70/W63,0)</f>
        <v>0.473596691178309</v>
      </c>
      <c r="X71" s="62" t="n">
        <f aca="false">IFERROR(X70/X63,0)</f>
        <v>0.473668466784762</v>
      </c>
      <c r="Y71" s="62" t="n">
        <f aca="false">IFERROR(Y70/Y63,0)</f>
        <v>0.473727580825819</v>
      </c>
      <c r="Z71" s="62" t="n">
        <f aca="false">IFERROR(Z70/Z63,0)</f>
        <v>0.4737761380835</v>
      </c>
      <c r="AA71" s="62" t="n">
        <f aca="false">IFERROR(AA70/AA63,0)</f>
        <v>0.473815765438821</v>
      </c>
      <c r="AB71" s="62" t="n">
        <f aca="false">IFERROR(AB70/AB63,0)</f>
        <v>0.473934637358251</v>
      </c>
      <c r="AC71" s="62" t="n">
        <f aca="false">IFERROR(AC70/AC63,0)</f>
        <v>0.474086073197503</v>
      </c>
      <c r="AD71" s="62" t="n">
        <f aca="false">IFERROR(AD70/AD63,0)</f>
        <v>0.474207000553576</v>
      </c>
      <c r="AE71" s="62" t="n">
        <f aca="false">IFERROR(AE70/AE63,0)</f>
        <v>0.474303058697937</v>
      </c>
      <c r="AF71" s="62" t="n">
        <f aca="false">IFERROR(AF70/AF63,0)</f>
        <v>0.474378681417343</v>
      </c>
      <c r="AG71" s="62" t="n">
        <f aca="false">IFERROR(AG70/AG63,0)</f>
        <v>0.474437339939613</v>
      </c>
      <c r="AH71" s="62" t="n">
        <f aca="false">IFERROR(AH70/AH63,0)</f>
        <v>0.474481768729182</v>
      </c>
      <c r="AI71" s="62" t="n">
        <f aca="false">IFERROR(AI70/AI63,0)</f>
        <v>0.474514154720694</v>
      </c>
      <c r="AJ71" s="62" t="n">
        <f aca="false">IFERROR(AJ70/AJ63,0)</f>
        <v>0.47453627497119</v>
      </c>
      <c r="AK71" s="62" t="n">
        <f aca="false">IFERROR(AK70/AK63,0)</f>
        <v>0.474549595889575</v>
      </c>
      <c r="AL71" s="62" t="n">
        <f aca="false">IFERROR(AL70/AL63,0)</f>
        <v>0.474555345496102</v>
      </c>
      <c r="AM71" s="62" t="n">
        <f aca="false">AVERAGE(N71:AL71)</f>
        <v>0.473637321758814</v>
      </c>
    </row>
    <row r="72" customFormat="false" ht="15" hidden="false" customHeight="false" outlineLevel="0" collapsed="false">
      <c r="A72" s="38" t="s">
        <v>788</v>
      </c>
      <c r="B72" s="9" t="s">
        <v>95</v>
      </c>
      <c r="C72" s="53" t="n">
        <f aca="false">C42+C63</f>
        <v>0</v>
      </c>
      <c r="D72" s="53" t="n">
        <f aca="false">D42+D63</f>
        <v>113490</v>
      </c>
      <c r="E72" s="53" t="n">
        <f aca="false">E42+E63</f>
        <v>143583.253977099</v>
      </c>
      <c r="F72" s="53" t="n">
        <f aca="false">F42+F63</f>
        <v>167328.218131909</v>
      </c>
      <c r="G72" s="53" t="n">
        <f aca="false">G42+G63</f>
        <v>191032.050958634</v>
      </c>
      <c r="H72" s="53" t="n">
        <f aca="false">H42+H63</f>
        <v>213459.038048097</v>
      </c>
      <c r="I72" s="53" t="n">
        <f aca="false">I42+I63</f>
        <v>244084.256814944</v>
      </c>
      <c r="J72" s="53" t="n">
        <f aca="false">J42+J63</f>
        <v>270007.532816288</v>
      </c>
      <c r="K72" s="53" t="n">
        <f aca="false">K42+K63</f>
        <v>294500.827885423</v>
      </c>
      <c r="L72" s="53" t="n">
        <f aca="false">L42+L63</f>
        <v>317971.944659198</v>
      </c>
      <c r="M72" s="53" t="n">
        <f aca="false">M42+M63</f>
        <v>340700.872110981</v>
      </c>
      <c r="N72" s="53" t="n">
        <f aca="false">N42+N63</f>
        <v>362900.056147735</v>
      </c>
      <c r="O72" s="53" t="n">
        <f aca="false">O42+O63</f>
        <v>384749.651562844</v>
      </c>
      <c r="P72" s="53" t="n">
        <f aca="false">P42+P63</f>
        <v>406406.567974337</v>
      </c>
      <c r="Q72" s="53" t="n">
        <f aca="false">Q42+Q63</f>
        <v>428010.127998617</v>
      </c>
      <c r="R72" s="53" t="n">
        <f aca="false">R42+R63</f>
        <v>449686.397110832</v>
      </c>
      <c r="S72" s="53" t="n">
        <f aca="false">S42+S63</f>
        <v>471551.752034591</v>
      </c>
      <c r="T72" s="53" t="n">
        <f aca="false">T42+T63</f>
        <v>493715.895411752</v>
      </c>
      <c r="U72" s="53" t="n">
        <f aca="false">U42+U63</f>
        <v>516284.441445091</v>
      </c>
      <c r="V72" s="53" t="n">
        <f aca="false">V42+V63</f>
        <v>539361.164143618</v>
      </c>
      <c r="W72" s="53" t="n">
        <f aca="false">W42+W63</f>
        <v>563049.981353217</v>
      </c>
      <c r="X72" s="53" t="n">
        <f aca="false">X42+X63</f>
        <v>587456.735074762</v>
      </c>
      <c r="Y72" s="53" t="n">
        <f aca="false">Y42+Y63</f>
        <v>612690.81893361</v>
      </c>
      <c r="Z72" s="53" t="n">
        <f aca="false">Z42+Z63</f>
        <v>638866.696007198</v>
      </c>
      <c r="AA72" s="53" t="n">
        <f aca="false">AA42+AA63</f>
        <v>666105.344036026</v>
      </c>
      <c r="AB72" s="53" t="n">
        <f aca="false">AB42+AB63</f>
        <v>693836.195619322</v>
      </c>
      <c r="AC72" s="53" t="n">
        <f aca="false">AC42+AC63</f>
        <v>721927.254999988</v>
      </c>
      <c r="AD72" s="53" t="n">
        <f aca="false">AD42+AD63</f>
        <v>750669.73737515</v>
      </c>
      <c r="AE72" s="53" t="n">
        <f aca="false">AE42+AE63</f>
        <v>780206.24004271</v>
      </c>
      <c r="AF72" s="53" t="n">
        <f aca="false">AF42+AF63</f>
        <v>810682.361375556</v>
      </c>
      <c r="AG72" s="53" t="n">
        <f aca="false">AG42+AG63</f>
        <v>842250.771820186</v>
      </c>
      <c r="AH72" s="53" t="n">
        <f aca="false">AH42+AH63</f>
        <v>875073.299097132</v>
      </c>
      <c r="AI72" s="53" t="n">
        <f aca="false">AI42+AI63</f>
        <v>909322.187071054</v>
      </c>
      <c r="AJ72" s="53" t="n">
        <f aca="false">AJ42+AJ63</f>
        <v>945181.325887042</v>
      </c>
      <c r="AK72" s="53" t="n">
        <f aca="false">AK42+AK63</f>
        <v>982847.531934294</v>
      </c>
      <c r="AL72" s="53" t="n">
        <f aca="false">AL42+AL63</f>
        <v>1022531.89973698</v>
      </c>
      <c r="AM72" s="53" t="n">
        <f aca="false">SUM(C72:AL72)</f>
        <v>18751522.4295962</v>
      </c>
    </row>
    <row r="73" customFormat="false" ht="15" hidden="false" customHeight="false" outlineLevel="0" collapsed="false">
      <c r="A73" s="38" t="s">
        <v>789</v>
      </c>
      <c r="B73" s="9" t="s">
        <v>95</v>
      </c>
      <c r="C73" s="53" t="n">
        <f aca="false">C46+C70</f>
        <v>0</v>
      </c>
      <c r="D73" s="53" t="n">
        <f aca="false">D46+D70</f>
        <v>68528.79</v>
      </c>
      <c r="E73" s="53" t="n">
        <f aca="false">E46+E70</f>
        <v>86700.0322434863</v>
      </c>
      <c r="F73" s="53" t="n">
        <f aca="false">F46+F70</f>
        <v>101037.979746548</v>
      </c>
      <c r="G73" s="53" t="n">
        <f aca="false">G46+G70</f>
        <v>115351.090875086</v>
      </c>
      <c r="H73" s="53" t="n">
        <f aca="false">H46+H70</f>
        <v>128893.202854878</v>
      </c>
      <c r="I73" s="53" t="n">
        <f aca="false">I46+I70</f>
        <v>145860.271751564</v>
      </c>
      <c r="J73" s="53" t="n">
        <f aca="false">J46+J70</f>
        <v>160729.956100847</v>
      </c>
      <c r="K73" s="53" t="n">
        <f aca="false">K46+K70</f>
        <v>174754.061855255</v>
      </c>
      <c r="L73" s="53" t="n">
        <f aca="false">L46+L70</f>
        <v>188170.786800287</v>
      </c>
      <c r="M73" s="53" t="n">
        <f aca="false">M46+M70</f>
        <v>201141.879177097</v>
      </c>
      <c r="N73" s="53" t="n">
        <f aca="false">N46+N70</f>
        <v>213789.20898688</v>
      </c>
      <c r="O73" s="53" t="n">
        <f aca="false">O46+O70</f>
        <v>226215.698612997</v>
      </c>
      <c r="P73" s="53" t="n">
        <f aca="false">P46+P70</f>
        <v>238510.655190752</v>
      </c>
      <c r="Q73" s="53" t="n">
        <f aca="false">Q46+Q70</f>
        <v>250753.088597765</v>
      </c>
      <c r="R73" s="53" t="n">
        <f aca="false">R46+R70</f>
        <v>263014.233153232</v>
      </c>
      <c r="S73" s="53" t="n">
        <f aca="false">S46+S70</f>
        <v>275359.612228613</v>
      </c>
      <c r="T73" s="53" t="n">
        <f aca="false">T46+T70</f>
        <v>287850.77144463</v>
      </c>
      <c r="U73" s="53" t="n">
        <f aca="false">U46+U70</f>
        <v>300546.755867002</v>
      </c>
      <c r="V73" s="53" t="n">
        <f aca="false">V46+V70</f>
        <v>313505.386252509</v>
      </c>
      <c r="W73" s="53" t="n">
        <f aca="false">W46+W70</f>
        <v>326784.377956818</v>
      </c>
      <c r="X73" s="53" t="n">
        <f aca="false">X46+X70</f>
        <v>340442.338266983</v>
      </c>
      <c r="Y73" s="53" t="n">
        <f aca="false">Y46+Y70</f>
        <v>354539.671988946</v>
      </c>
      <c r="Z73" s="53" t="n">
        <f aca="false">Z46+Z70</f>
        <v>369139.42043477</v>
      </c>
      <c r="AA73" s="53" t="n">
        <f aca="false">AA46+AA70</f>
        <v>384308.05519051</v>
      </c>
      <c r="AB73" s="53" t="n">
        <f aca="false">AB46+AB70</f>
        <v>399797.624697778</v>
      </c>
      <c r="AC73" s="53" t="n">
        <f aca="false">AC46+AC70</f>
        <v>415544.274316442</v>
      </c>
      <c r="AD73" s="53" t="n">
        <f aca="false">AD46+AD70</f>
        <v>431682.013033962</v>
      </c>
      <c r="AE73" s="53" t="n">
        <f aca="false">AE46+AE70</f>
        <v>448288.298530021</v>
      </c>
      <c r="AF73" s="53" t="n">
        <f aca="false">AF46+AF70</f>
        <v>465442.496974234</v>
      </c>
      <c r="AG73" s="53" t="n">
        <f aca="false">AG46+AG70</f>
        <v>483228.226733468</v>
      </c>
      <c r="AH73" s="53" t="n">
        <f aca="false">AH46+AH70</f>
        <v>501734.516710317</v>
      </c>
      <c r="AI73" s="53" t="n">
        <f aca="false">AI46+AI70</f>
        <v>521056.488332827</v>
      </c>
      <c r="AJ73" s="53" t="n">
        <f aca="false">AJ46+AJ70</f>
        <v>541296.023772032</v>
      </c>
      <c r="AK73" s="53" t="n">
        <f aca="false">AK46+AK70</f>
        <v>562562.464531112</v>
      </c>
      <c r="AL73" s="53" t="n">
        <f aca="false">AL46+AL70</f>
        <v>584973.352629931</v>
      </c>
      <c r="AM73" s="53" t="n">
        <f aca="false">SUM(C73:AL73)</f>
        <v>10871533.1058396</v>
      </c>
    </row>
    <row r="74" customFormat="false" ht="15" hidden="false" customHeight="false" outlineLevel="0" collapsed="false">
      <c r="A74" s="38" t="s">
        <v>790</v>
      </c>
      <c r="B74" s="9" t="s">
        <v>59</v>
      </c>
      <c r="C74" s="52" t="n">
        <f aca="false">IFERROR(C73/C72,0)</f>
        <v>0</v>
      </c>
      <c r="D74" s="52" t="n">
        <f aca="false">IFERROR(D73/D72,0)</f>
        <v>0.603831086439334</v>
      </c>
      <c r="E74" s="52" t="n">
        <f aca="false">IFERROR(E73/E72,0)</f>
        <v>0.603831086439334</v>
      </c>
      <c r="F74" s="52" t="n">
        <f aca="false">IFERROR(F73/F72,0)</f>
        <v>0.603831086439334</v>
      </c>
      <c r="G74" s="52" t="n">
        <f aca="false">IFERROR(G73/G72,0)</f>
        <v>0.603831086439334</v>
      </c>
      <c r="H74" s="52" t="n">
        <f aca="false">IFERROR(H73/H72,0)</f>
        <v>0.603831086439334</v>
      </c>
      <c r="I74" s="52" t="n">
        <f aca="false">IFERROR(I73/I72,0)</f>
        <v>0.597581645186358</v>
      </c>
      <c r="J74" s="52" t="n">
        <f aca="false">IFERROR(J73/J72,0)</f>
        <v>0.595279525813109</v>
      </c>
      <c r="K74" s="52" t="n">
        <f aca="false">IFERROR(K73/K72,0)</f>
        <v>0.593390732073746</v>
      </c>
      <c r="L74" s="52" t="n">
        <f aca="false">IFERROR(L73/L72,0)</f>
        <v>0.591784243738763</v>
      </c>
      <c r="M74" s="52" t="n">
        <f aca="false">IFERROR(M73/M72,0)</f>
        <v>0.590376766372282</v>
      </c>
      <c r="N74" s="52" t="n">
        <f aca="false">IFERROR(N73/N72,0)</f>
        <v>0.589113187956762</v>
      </c>
      <c r="O74" s="52" t="n">
        <f aca="false">IFERROR(O73/O72,0)</f>
        <v>0.587955564596652</v>
      </c>
      <c r="P74" s="52" t="n">
        <f aca="false">IFERROR(P73/P72,0)</f>
        <v>0.586876969975084</v>
      </c>
      <c r="Q74" s="52" t="n">
        <f aca="false">IFERROR(Q73/Q72,0)</f>
        <v>0.585857838856035</v>
      </c>
      <c r="R74" s="52" t="n">
        <f aca="false">IFERROR(R73/R72,0)</f>
        <v>0.584883676364371</v>
      </c>
      <c r="S74" s="52" t="n">
        <f aca="false">IFERROR(S73/S72,0)</f>
        <v>0.5839435672554</v>
      </c>
      <c r="T74" s="52" t="n">
        <f aca="false">IFERROR(T73/T72,0)</f>
        <v>0.583029175523236</v>
      </c>
      <c r="U74" s="52" t="n">
        <f aca="false">IFERROR(U73/U72,0)</f>
        <v>0.582134055842871</v>
      </c>
      <c r="V74" s="52" t="n">
        <f aca="false">IFERROR(V73/V72,0)</f>
        <v>0.581253169664679</v>
      </c>
      <c r="W74" s="52" t="n">
        <f aca="false">IFERROR(W73/W72,0)</f>
        <v>0.580382539346568</v>
      </c>
      <c r="X74" s="52" t="n">
        <f aca="false">IFERROR(X73/X72,0)</f>
        <v>0.579518997639302</v>
      </c>
      <c r="Y74" s="52" t="n">
        <f aca="false">IFERROR(Y73/Y72,0)</f>
        <v>0.578660004414662</v>
      </c>
      <c r="Z74" s="52" t="n">
        <f aca="false">IFERROR(Z73/Z72,0)</f>
        <v>0.577803511658731</v>
      </c>
      <c r="AA74" s="52" t="n">
        <f aca="false">IFERROR(AA73/AA72,0)</f>
        <v>0.576947863624594</v>
      </c>
      <c r="AB74" s="52" t="n">
        <f aca="false">IFERROR(AB73/AB72,0)</f>
        <v>0.576213272270865</v>
      </c>
      <c r="AC74" s="52" t="n">
        <f aca="false">IFERROR(AC73/AC72,0)</f>
        <v>0.575604081212377</v>
      </c>
      <c r="AD74" s="52" t="n">
        <f aca="false">IFERROR(AD73/AD72,0)</f>
        <v>0.575062496249568</v>
      </c>
      <c r="AE74" s="52" t="n">
        <f aca="false">IFERROR(AE73/AE72,0)</f>
        <v>0.57457666386452</v>
      </c>
      <c r="AF74" s="52" t="n">
        <f aca="false">IFERROR(AF73/AF72,0)</f>
        <v>0.57413670156148</v>
      </c>
      <c r="AG74" s="52" t="n">
        <f aca="false">IFERROR(AG73/AG72,0)</f>
        <v>0.573734382800463</v>
      </c>
      <c r="AH74" s="52" t="n">
        <f aca="false">IFERROR(AH73/AH72,0)</f>
        <v>0.573362845407337</v>
      </c>
      <c r="AI74" s="52" t="n">
        <f aca="false">IFERROR(AI73/AI72,0)</f>
        <v>0.573016358493529</v>
      </c>
      <c r="AJ74" s="52" t="n">
        <f aca="false">IFERROR(AJ73/AJ72,0)</f>
        <v>0.572690137804016</v>
      </c>
      <c r="AK74" s="52" t="n">
        <f aca="false">IFERROR(AK73/AK72,0)</f>
        <v>0.572380197591747</v>
      </c>
      <c r="AL74" s="52" t="n">
        <f aca="false">IFERROR(AL73/AL72,0)</f>
        <v>0.572083230636031</v>
      </c>
      <c r="AM74" s="52" t="n">
        <f aca="false">AVERAGE(N74:AL74)</f>
        <v>0.578848819624435</v>
      </c>
    </row>
    <row r="75" customFormat="false" ht="15" hidden="false" customHeight="false" outlineLevel="0" collapsed="false">
      <c r="A75" s="10" t="s">
        <v>791</v>
      </c>
      <c r="B75" s="9" t="s">
        <v>95</v>
      </c>
      <c r="C75" s="70" t="n">
        <f aca="false">-Assumptions!$E$82</f>
        <v>-600</v>
      </c>
      <c r="D75" s="70" t="n">
        <f aca="false">-Assumptions!$E$82</f>
        <v>-600</v>
      </c>
      <c r="E75" s="70" t="n">
        <f aca="false">-Assumptions!$E$82</f>
        <v>-600</v>
      </c>
      <c r="F75" s="70" t="n">
        <f aca="false">-Assumptions!$E$82</f>
        <v>-600</v>
      </c>
      <c r="G75" s="70" t="n">
        <f aca="false">-Assumptions!$E$82</f>
        <v>-600</v>
      </c>
      <c r="H75" s="70" t="n">
        <f aca="false">-Assumptions!$E$82</f>
        <v>-600</v>
      </c>
      <c r="I75" s="70" t="n">
        <f aca="false">-Assumptions!$E$82</f>
        <v>-600</v>
      </c>
      <c r="J75" s="70" t="n">
        <f aca="false">-Assumptions!$E$82</f>
        <v>-600</v>
      </c>
      <c r="K75" s="70" t="n">
        <f aca="false">-Assumptions!$E$82</f>
        <v>-600</v>
      </c>
      <c r="L75" s="70" t="n">
        <f aca="false">-Assumptions!$E$82</f>
        <v>-600</v>
      </c>
      <c r="M75" s="70" t="n">
        <f aca="false">-Assumptions!$E$82</f>
        <v>-600</v>
      </c>
      <c r="N75" s="70" t="n">
        <f aca="false">-Assumptions!$E$82</f>
        <v>-600</v>
      </c>
      <c r="O75" s="70" t="n">
        <f aca="false">-Assumptions!$E$82</f>
        <v>-600</v>
      </c>
      <c r="P75" s="70" t="n">
        <f aca="false">-Assumptions!$E$82</f>
        <v>-600</v>
      </c>
      <c r="Q75" s="70" t="n">
        <f aca="false">-Assumptions!$E$82</f>
        <v>-600</v>
      </c>
      <c r="R75" s="70" t="n">
        <f aca="false">-Assumptions!$E$82</f>
        <v>-600</v>
      </c>
      <c r="S75" s="70" t="n">
        <f aca="false">-Assumptions!$E$82</f>
        <v>-600</v>
      </c>
      <c r="T75" s="70" t="n">
        <f aca="false">-Assumptions!$E$82</f>
        <v>-600</v>
      </c>
      <c r="U75" s="70" t="n">
        <f aca="false">-Assumptions!$E$82</f>
        <v>-600</v>
      </c>
      <c r="V75" s="70" t="n">
        <f aca="false">-Assumptions!$E$82</f>
        <v>-600</v>
      </c>
      <c r="W75" s="70" t="n">
        <f aca="false">-Assumptions!$E$82</f>
        <v>-600</v>
      </c>
      <c r="X75" s="70" t="n">
        <f aca="false">-Assumptions!$E$82</f>
        <v>-600</v>
      </c>
      <c r="Y75" s="70" t="n">
        <f aca="false">-Assumptions!$E$82</f>
        <v>-600</v>
      </c>
      <c r="Z75" s="70" t="n">
        <f aca="false">-Assumptions!$E$82</f>
        <v>-600</v>
      </c>
      <c r="AA75" s="70" t="n">
        <f aca="false">-Assumptions!$E$82</f>
        <v>-600</v>
      </c>
      <c r="AB75" s="70" t="n">
        <f aca="false">-Assumptions!$E$82</f>
        <v>-600</v>
      </c>
      <c r="AC75" s="70" t="n">
        <f aca="false">-Assumptions!$E$82</f>
        <v>-600</v>
      </c>
      <c r="AD75" s="70" t="n">
        <f aca="false">-Assumptions!$E$82</f>
        <v>-600</v>
      </c>
      <c r="AE75" s="70" t="n">
        <f aca="false">-Assumptions!$E$82</f>
        <v>-600</v>
      </c>
      <c r="AF75" s="70" t="n">
        <f aca="false">-Assumptions!$E$82</f>
        <v>-600</v>
      </c>
      <c r="AG75" s="70" t="n">
        <f aca="false">-Assumptions!$E$82</f>
        <v>-600</v>
      </c>
      <c r="AH75" s="70" t="n">
        <f aca="false">-Assumptions!$E$82</f>
        <v>-600</v>
      </c>
      <c r="AI75" s="70" t="n">
        <f aca="false">-Assumptions!$E$82</f>
        <v>-600</v>
      </c>
      <c r="AJ75" s="70" t="n">
        <f aca="false">-Assumptions!$E$82</f>
        <v>-600</v>
      </c>
      <c r="AK75" s="70" t="n">
        <f aca="false">-Assumptions!$E$82</f>
        <v>-600</v>
      </c>
      <c r="AL75" s="70" t="n">
        <f aca="false">-Assumptions!$E$82</f>
        <v>-600</v>
      </c>
      <c r="AM75" s="70" t="n">
        <f aca="false">SUM(C75:AL75)</f>
        <v>-21600</v>
      </c>
    </row>
    <row r="76" customFormat="false" ht="15" hidden="false" customHeight="false" outlineLevel="0" collapsed="false">
      <c r="A76" s="10" t="s">
        <v>792</v>
      </c>
      <c r="B76" s="9" t="s">
        <v>95</v>
      </c>
      <c r="C76" s="70" t="n">
        <f aca="false">-Assumptions!$E$83</f>
        <v>-280</v>
      </c>
      <c r="D76" s="70" t="n">
        <f aca="false">-Assumptions!$E$83</f>
        <v>-280</v>
      </c>
      <c r="E76" s="70" t="n">
        <f aca="false">-Assumptions!$E$83</f>
        <v>-280</v>
      </c>
      <c r="F76" s="70" t="n">
        <f aca="false">-Assumptions!$E$83</f>
        <v>-280</v>
      </c>
      <c r="G76" s="70" t="n">
        <f aca="false">-Assumptions!$E$83</f>
        <v>-280</v>
      </c>
      <c r="H76" s="70" t="n">
        <f aca="false">-Assumptions!$E$83</f>
        <v>-280</v>
      </c>
      <c r="I76" s="70" t="n">
        <f aca="false">-Assumptions!$E$83</f>
        <v>-280</v>
      </c>
      <c r="J76" s="70" t="n">
        <f aca="false">-Assumptions!$E$83</f>
        <v>-280</v>
      </c>
      <c r="K76" s="70" t="n">
        <f aca="false">-Assumptions!$E$83</f>
        <v>-280</v>
      </c>
      <c r="L76" s="70" t="n">
        <f aca="false">-Assumptions!$E$83</f>
        <v>-280</v>
      </c>
      <c r="M76" s="70" t="n">
        <f aca="false">-Assumptions!$E$83</f>
        <v>-280</v>
      </c>
      <c r="N76" s="70" t="n">
        <f aca="false">-Assumptions!$E$83</f>
        <v>-280</v>
      </c>
      <c r="O76" s="70" t="n">
        <f aca="false">-Assumptions!$E$83</f>
        <v>-280</v>
      </c>
      <c r="P76" s="70" t="n">
        <f aca="false">-Assumptions!$E$83</f>
        <v>-280</v>
      </c>
      <c r="Q76" s="70" t="n">
        <f aca="false">-Assumptions!$E$83</f>
        <v>-280</v>
      </c>
      <c r="R76" s="70" t="n">
        <f aca="false">-Assumptions!$E$83</f>
        <v>-280</v>
      </c>
      <c r="S76" s="70" t="n">
        <f aca="false">-Assumptions!$E$83</f>
        <v>-280</v>
      </c>
      <c r="T76" s="70" t="n">
        <f aca="false">-Assumptions!$E$83</f>
        <v>-280</v>
      </c>
      <c r="U76" s="70" t="n">
        <f aca="false">-Assumptions!$E$83</f>
        <v>-280</v>
      </c>
      <c r="V76" s="70" t="n">
        <f aca="false">-Assumptions!$E$83</f>
        <v>-280</v>
      </c>
      <c r="W76" s="70" t="n">
        <f aca="false">-Assumptions!$E$83</f>
        <v>-280</v>
      </c>
      <c r="X76" s="70" t="n">
        <f aca="false">-Assumptions!$E$83</f>
        <v>-280</v>
      </c>
      <c r="Y76" s="70" t="n">
        <f aca="false">-Assumptions!$E$83</f>
        <v>-280</v>
      </c>
      <c r="Z76" s="70" t="n">
        <f aca="false">-Assumptions!$E$83</f>
        <v>-280</v>
      </c>
      <c r="AA76" s="70" t="n">
        <f aca="false">-Assumptions!$E$83</f>
        <v>-280</v>
      </c>
      <c r="AB76" s="70" t="n">
        <f aca="false">-Assumptions!$E$83</f>
        <v>-280</v>
      </c>
      <c r="AC76" s="70" t="n">
        <f aca="false">-Assumptions!$E$83</f>
        <v>-280</v>
      </c>
      <c r="AD76" s="70" t="n">
        <f aca="false">-Assumptions!$E$83</f>
        <v>-280</v>
      </c>
      <c r="AE76" s="70" t="n">
        <f aca="false">-Assumptions!$E$83</f>
        <v>-280</v>
      </c>
      <c r="AF76" s="70" t="n">
        <f aca="false">-Assumptions!$E$83</f>
        <v>-280</v>
      </c>
      <c r="AG76" s="70" t="n">
        <f aca="false">-Assumptions!$E$83</f>
        <v>-280</v>
      </c>
      <c r="AH76" s="70" t="n">
        <f aca="false">-Assumptions!$E$83</f>
        <v>-280</v>
      </c>
      <c r="AI76" s="70" t="n">
        <f aca="false">-Assumptions!$E$83</f>
        <v>-280</v>
      </c>
      <c r="AJ76" s="70" t="n">
        <f aca="false">-Assumptions!$E$83</f>
        <v>-280</v>
      </c>
      <c r="AK76" s="70" t="n">
        <f aca="false">-Assumptions!$E$83</f>
        <v>-280</v>
      </c>
      <c r="AL76" s="70" t="n">
        <f aca="false">-Assumptions!$E$83</f>
        <v>-280</v>
      </c>
      <c r="AM76" s="70" t="n">
        <f aca="false">SUM(C76:AL76)</f>
        <v>-10080</v>
      </c>
    </row>
    <row r="77" customFormat="false" ht="15" hidden="false" customHeight="false" outlineLevel="0" collapsed="false">
      <c r="A77" s="10" t="s">
        <v>793</v>
      </c>
      <c r="B77" s="9" t="s">
        <v>95</v>
      </c>
      <c r="C77" s="70" t="n">
        <f aca="false">-MAX(IF(C8=0,Assumptions!$E$84,IF(C$5&lt;=12,Assumptions!$E$85,IF(C$5&lt;=24,Assumptions!$E$86,Assumptions!$E$87))))</f>
        <v>-18000</v>
      </c>
      <c r="D77" s="70" t="n">
        <f aca="false">-MAX(IF(D8=0,Assumptions!$E$84,IF(D$5&lt;=12,Assumptions!$E$85,IF(D$5&lt;=24,Assumptions!$E$86,Assumptions!$E$87))),C72*Assumptions!$E$88)</f>
        <v>-45000</v>
      </c>
      <c r="E77" s="70" t="n">
        <f aca="false">-MAX(IF(E8=0,Assumptions!$E$84,IF(E$5&lt;=12,Assumptions!$E$85,IF(E$5&lt;=24,Assumptions!$E$86,Assumptions!$E$87))),D72*Assumptions!$E$88)</f>
        <v>-45000</v>
      </c>
      <c r="F77" s="70" t="n">
        <f aca="false">-MAX(IF(F8=0,Assumptions!$E$84,IF(F$5&lt;=12,Assumptions!$E$85,IF(F$5&lt;=24,Assumptions!$E$86,Assumptions!$E$87))),E72*Assumptions!$E$88)</f>
        <v>-45000</v>
      </c>
      <c r="G77" s="70" t="n">
        <f aca="false">-MAX(IF(G8=0,Assumptions!$E$84,IF(G$5&lt;=12,Assumptions!$E$85,IF(G$5&lt;=24,Assumptions!$E$86,Assumptions!$E$87))),F72*Assumptions!$E$88)</f>
        <v>-45000</v>
      </c>
      <c r="H77" s="70" t="n">
        <f aca="false">-MAX(IF(H8=0,Assumptions!$E$84,IF(H$5&lt;=12,Assumptions!$E$85,IF(H$5&lt;=24,Assumptions!$E$86,Assumptions!$E$87))),G72*Assumptions!$E$88)</f>
        <v>-45000</v>
      </c>
      <c r="I77" s="70" t="n">
        <f aca="false">-MAX(IF(I8=0,Assumptions!$E$84,IF(I$5&lt;=12,Assumptions!$E$85,IF(I$5&lt;=24,Assumptions!$E$86,Assumptions!$E$87))),H72*Assumptions!$E$88)</f>
        <v>-45000</v>
      </c>
      <c r="J77" s="70" t="n">
        <f aca="false">-MAX(IF(J8=0,Assumptions!$E$84,IF(J$5&lt;=12,Assumptions!$E$85,IF(J$5&lt;=24,Assumptions!$E$86,Assumptions!$E$87))),I72*Assumptions!$E$88)</f>
        <v>-45000</v>
      </c>
      <c r="K77" s="70" t="n">
        <f aca="false">-MAX(IF(K8=0,Assumptions!$E$84,IF(K$5&lt;=12,Assumptions!$E$85,IF(K$5&lt;=24,Assumptions!$E$86,Assumptions!$E$87))),J72*Assumptions!$E$88)</f>
        <v>-45000</v>
      </c>
      <c r="L77" s="70" t="n">
        <f aca="false">-MAX(IF(L8=0,Assumptions!$E$84,IF(L$5&lt;=12,Assumptions!$E$85,IF(L$5&lt;=24,Assumptions!$E$86,Assumptions!$E$87))),K72*Assumptions!$E$88)</f>
        <v>-45000</v>
      </c>
      <c r="M77" s="70" t="n">
        <f aca="false">-MAX(IF(M8=0,Assumptions!$E$84,IF(M$5&lt;=12,Assumptions!$E$85,IF(M$5&lt;=24,Assumptions!$E$86,Assumptions!$E$87))),L72*Assumptions!$E$88)</f>
        <v>-45000</v>
      </c>
      <c r="N77" s="70" t="n">
        <f aca="false">-MAX(IF(N8=0,Assumptions!$E$84,IF(N$5&lt;=12,Assumptions!$E$85,IF(N$5&lt;=24,Assumptions!$E$86,Assumptions!$E$87))),M72*Assumptions!$E$88)</f>
        <v>-45000</v>
      </c>
      <c r="O77" s="70" t="n">
        <f aca="false">-MAX(IF(O8=0,Assumptions!$E$84,IF(O$5&lt;=12,Assumptions!$E$85,IF(O$5&lt;=24,Assumptions!$E$86,Assumptions!$E$87))),N72*Assumptions!$E$88)</f>
        <v>-62000</v>
      </c>
      <c r="P77" s="70" t="n">
        <f aca="false">-MAX(IF(P8=0,Assumptions!$E$84,IF(P$5&lt;=12,Assumptions!$E$85,IF(P$5&lt;=24,Assumptions!$E$86,Assumptions!$E$87))),O72*Assumptions!$E$88)</f>
        <v>-62000</v>
      </c>
      <c r="Q77" s="70" t="n">
        <f aca="false">-MAX(IF(Q8=0,Assumptions!$E$84,IF(Q$5&lt;=12,Assumptions!$E$85,IF(Q$5&lt;=24,Assumptions!$E$86,Assumptions!$E$87))),P72*Assumptions!$E$88)</f>
        <v>-62000</v>
      </c>
      <c r="R77" s="70" t="n">
        <f aca="false">-MAX(IF(R8=0,Assumptions!$E$84,IF(R$5&lt;=12,Assumptions!$E$85,IF(R$5&lt;=24,Assumptions!$E$86,Assumptions!$E$87))),Q72*Assumptions!$E$88)</f>
        <v>-62000</v>
      </c>
      <c r="S77" s="70" t="n">
        <f aca="false">-MAX(IF(S8=0,Assumptions!$E$84,IF(S$5&lt;=12,Assumptions!$E$85,IF(S$5&lt;=24,Assumptions!$E$86,Assumptions!$E$87))),R72*Assumptions!$E$88)</f>
        <v>-62000</v>
      </c>
      <c r="T77" s="70" t="n">
        <f aca="false">-MAX(IF(T8=0,Assumptions!$E$84,IF(T$5&lt;=12,Assumptions!$E$85,IF(T$5&lt;=24,Assumptions!$E$86,Assumptions!$E$87))),S72*Assumptions!$E$88)</f>
        <v>-62000</v>
      </c>
      <c r="U77" s="70" t="n">
        <f aca="false">-MAX(IF(U8=0,Assumptions!$E$84,IF(U$5&lt;=12,Assumptions!$E$85,IF(U$5&lt;=24,Assumptions!$E$86,Assumptions!$E$87))),T72*Assumptions!$E$88)</f>
        <v>-62000</v>
      </c>
      <c r="V77" s="70" t="n">
        <f aca="false">-MAX(IF(V8=0,Assumptions!$E$84,IF(V$5&lt;=12,Assumptions!$E$85,IF(V$5&lt;=24,Assumptions!$E$86,Assumptions!$E$87))),U72*Assumptions!$E$88)</f>
        <v>-62000</v>
      </c>
      <c r="W77" s="70" t="n">
        <f aca="false">-MAX(IF(W8=0,Assumptions!$E$84,IF(W$5&lt;=12,Assumptions!$E$85,IF(W$5&lt;=24,Assumptions!$E$86,Assumptions!$E$87))),V72*Assumptions!$E$88)</f>
        <v>-62000</v>
      </c>
      <c r="X77" s="70" t="n">
        <f aca="false">-MAX(IF(X8=0,Assumptions!$E$84,IF(X$5&lt;=12,Assumptions!$E$85,IF(X$5&lt;=24,Assumptions!$E$86,Assumptions!$E$87))),W72*Assumptions!$E$88)</f>
        <v>-62000</v>
      </c>
      <c r="Y77" s="70" t="n">
        <f aca="false">-MAX(IF(Y8=0,Assumptions!$E$84,IF(Y$5&lt;=12,Assumptions!$E$85,IF(Y$5&lt;=24,Assumptions!$E$86,Assumptions!$E$87))),X72*Assumptions!$E$88)</f>
        <v>-62000</v>
      </c>
      <c r="Z77" s="70" t="n">
        <f aca="false">-MAX(IF(Z8=0,Assumptions!$E$84,IF(Z$5&lt;=12,Assumptions!$E$85,IF(Z$5&lt;=24,Assumptions!$E$86,Assumptions!$E$87))),Y72*Assumptions!$E$88)</f>
        <v>-62000</v>
      </c>
      <c r="AA77" s="70" t="n">
        <f aca="false">-MAX(IF(AA8=0,Assumptions!$E$84,IF(AA$5&lt;=12,Assumptions!$E$85,IF(AA$5&lt;=24,Assumptions!$E$86,Assumptions!$E$87))),Z72*Assumptions!$E$88)</f>
        <v>-92000</v>
      </c>
      <c r="AB77" s="70" t="n">
        <f aca="false">-MAX(IF(AB8=0,Assumptions!$E$84,IF(AB$5&lt;=12,Assumptions!$E$85,IF(AB$5&lt;=24,Assumptions!$E$86,Assumptions!$E$87))),AA72*Assumptions!$E$88)</f>
        <v>-92000</v>
      </c>
      <c r="AC77" s="70" t="n">
        <f aca="false">-MAX(IF(AC8=0,Assumptions!$E$84,IF(AC$5&lt;=12,Assumptions!$E$85,IF(AC$5&lt;=24,Assumptions!$E$86,Assumptions!$E$87))),AB72*Assumptions!$E$88)</f>
        <v>-92000</v>
      </c>
      <c r="AD77" s="70" t="n">
        <f aca="false">-MAX(IF(AD8=0,Assumptions!$E$84,IF(AD$5&lt;=12,Assumptions!$E$85,IF(AD$5&lt;=24,Assumptions!$E$86,Assumptions!$E$87))),AC72*Assumptions!$E$88)</f>
        <v>-92000</v>
      </c>
      <c r="AE77" s="70" t="n">
        <f aca="false">-MAX(IF(AE8=0,Assumptions!$E$84,IF(AE$5&lt;=12,Assumptions!$E$85,IF(AE$5&lt;=24,Assumptions!$E$86,Assumptions!$E$87))),AD72*Assumptions!$E$88)</f>
        <v>-92000</v>
      </c>
      <c r="AF77" s="70" t="n">
        <f aca="false">-MAX(IF(AF8=0,Assumptions!$E$84,IF(AF$5&lt;=12,Assumptions!$E$85,IF(AF$5&lt;=24,Assumptions!$E$86,Assumptions!$E$87))),AE72*Assumptions!$E$88)</f>
        <v>-92000</v>
      </c>
      <c r="AG77" s="70" t="n">
        <f aca="false">-MAX(IF(AG8=0,Assumptions!$E$84,IF(AG$5&lt;=12,Assumptions!$E$85,IF(AG$5&lt;=24,Assumptions!$E$86,Assumptions!$E$87))),AF72*Assumptions!$E$88)</f>
        <v>-92000</v>
      </c>
      <c r="AH77" s="70" t="n">
        <f aca="false">-MAX(IF(AH8=0,Assumptions!$E$84,IF(AH$5&lt;=12,Assumptions!$E$85,IF(AH$5&lt;=24,Assumptions!$E$86,Assumptions!$E$87))),AG72*Assumptions!$E$88)</f>
        <v>-92000</v>
      </c>
      <c r="AI77" s="70" t="n">
        <f aca="false">-MAX(IF(AI8=0,Assumptions!$E$84,IF(AI$5&lt;=12,Assumptions!$E$85,IF(AI$5&lt;=24,Assumptions!$E$86,Assumptions!$E$87))),AH72*Assumptions!$E$88)</f>
        <v>-92000</v>
      </c>
      <c r="AJ77" s="70" t="n">
        <f aca="false">-MAX(IF(AJ8=0,Assumptions!$E$84,IF(AJ$5&lt;=12,Assumptions!$E$85,IF(AJ$5&lt;=24,Assumptions!$E$86,Assumptions!$E$87))),AI72*Assumptions!$E$88)</f>
        <v>-92000</v>
      </c>
      <c r="AK77" s="70" t="n">
        <f aca="false">-MAX(IF(AK8=0,Assumptions!$E$84,IF(AK$5&lt;=12,Assumptions!$E$85,IF(AK$5&lt;=24,Assumptions!$E$86,Assumptions!$E$87))),AJ72*Assumptions!$E$88)</f>
        <v>-92000</v>
      </c>
      <c r="AL77" s="70" t="n">
        <f aca="false">-MAX(IF(AL8=0,Assumptions!$E$84,IF(AL$5&lt;=12,Assumptions!$E$85,IF(AL$5&lt;=24,Assumptions!$E$86,Assumptions!$E$87))),AK72*Assumptions!$E$88)</f>
        <v>-92000</v>
      </c>
      <c r="AM77" s="70" t="n">
        <f aca="false">SUM(C77:AL77)</f>
        <v>-2361000</v>
      </c>
    </row>
    <row r="78" customFormat="false" ht="15" hidden="false" customHeight="false" outlineLevel="0" collapsed="false">
      <c r="A78" s="10" t="s">
        <v>794</v>
      </c>
      <c r="B78" s="9" t="s">
        <v>95</v>
      </c>
      <c r="C78" s="70" t="n">
        <f aca="false">-IF(C$5&gt;=Assumptions!$E$7-2,Assumptions!$E$91,0)</f>
        <v>-0</v>
      </c>
      <c r="D78" s="70" t="n">
        <f aca="false">-IF(D$5&gt;=Assumptions!$E$7-2,Assumptions!$E$91,0)</f>
        <v>-0</v>
      </c>
      <c r="E78" s="70" t="n">
        <f aca="false">-IF(E$5&gt;=Assumptions!$E$7-2,Assumptions!$E$91,0)</f>
        <v>-0</v>
      </c>
      <c r="F78" s="70" t="n">
        <f aca="false">-IF(F$5&gt;=Assumptions!$E$7-2,Assumptions!$E$91,0)</f>
        <v>-0</v>
      </c>
      <c r="G78" s="70" t="n">
        <f aca="false">-IF(G$5&gt;=Assumptions!$E$7-2,Assumptions!$E$91,0)</f>
        <v>-9000</v>
      </c>
      <c r="H78" s="70" t="n">
        <f aca="false">-IF(H$5&gt;=Assumptions!$E$7-2,Assumptions!$E$91,0)</f>
        <v>-9000</v>
      </c>
      <c r="I78" s="70" t="n">
        <f aca="false">-IF(I$5&gt;=Assumptions!$E$7-2,Assumptions!$E$91,0)</f>
        <v>-9000</v>
      </c>
      <c r="J78" s="70" t="n">
        <f aca="false">-IF(J$5&gt;=Assumptions!$E$7-2,Assumptions!$E$91,0)</f>
        <v>-9000</v>
      </c>
      <c r="K78" s="70" t="n">
        <f aca="false">-IF(K$5&gt;=Assumptions!$E$7-2,Assumptions!$E$91,0)</f>
        <v>-9000</v>
      </c>
      <c r="L78" s="70" t="n">
        <f aca="false">-IF(L$5&gt;=Assumptions!$E$7-2,Assumptions!$E$91,0)</f>
        <v>-9000</v>
      </c>
      <c r="M78" s="70" t="n">
        <f aca="false">-IF(M$5&gt;=Assumptions!$E$7-2,Assumptions!$E$91,0)</f>
        <v>-9000</v>
      </c>
      <c r="N78" s="70" t="n">
        <f aca="false">-IF(N$5&gt;=Assumptions!$E$7-2,Assumptions!$E$91,0)</f>
        <v>-9000</v>
      </c>
      <c r="O78" s="70" t="n">
        <f aca="false">-IF(O$5&gt;=Assumptions!$E$7-2,Assumptions!$E$91,0)</f>
        <v>-9000</v>
      </c>
      <c r="P78" s="70" t="n">
        <f aca="false">-IF(P$5&gt;=Assumptions!$E$7-2,Assumptions!$E$91,0)</f>
        <v>-9000</v>
      </c>
      <c r="Q78" s="70" t="n">
        <f aca="false">-IF(Q$5&gt;=Assumptions!$E$7-2,Assumptions!$E$91,0)</f>
        <v>-9000</v>
      </c>
      <c r="R78" s="70" t="n">
        <f aca="false">-IF(R$5&gt;=Assumptions!$E$7-2,Assumptions!$E$91,0)</f>
        <v>-9000</v>
      </c>
      <c r="S78" s="70" t="n">
        <f aca="false">-IF(S$5&gt;=Assumptions!$E$7-2,Assumptions!$E$91,0)</f>
        <v>-9000</v>
      </c>
      <c r="T78" s="70" t="n">
        <f aca="false">-IF(T$5&gt;=Assumptions!$E$7-2,Assumptions!$E$91,0)</f>
        <v>-9000</v>
      </c>
      <c r="U78" s="70" t="n">
        <f aca="false">-IF(U$5&gt;=Assumptions!$E$7-2,Assumptions!$E$91,0)</f>
        <v>-9000</v>
      </c>
      <c r="V78" s="70" t="n">
        <f aca="false">-IF(V$5&gt;=Assumptions!$E$7-2,Assumptions!$E$91,0)</f>
        <v>-9000</v>
      </c>
      <c r="W78" s="70" t="n">
        <f aca="false">-IF(W$5&gt;=Assumptions!$E$7-2,Assumptions!$E$91,0)</f>
        <v>-9000</v>
      </c>
      <c r="X78" s="70" t="n">
        <f aca="false">-IF(X$5&gt;=Assumptions!$E$7-2,Assumptions!$E$91,0)</f>
        <v>-9000</v>
      </c>
      <c r="Y78" s="70" t="n">
        <f aca="false">-IF(Y$5&gt;=Assumptions!$E$7-2,Assumptions!$E$91,0)</f>
        <v>-9000</v>
      </c>
      <c r="Z78" s="70" t="n">
        <f aca="false">-IF(Z$5&gt;=Assumptions!$E$7-2,Assumptions!$E$91,0)</f>
        <v>-9000</v>
      </c>
      <c r="AA78" s="70" t="n">
        <f aca="false">-IF(AA$5&gt;=Assumptions!$E$7-2,Assumptions!$E$91,0)</f>
        <v>-9000</v>
      </c>
      <c r="AB78" s="70" t="n">
        <f aca="false">-IF(AB$5&gt;=Assumptions!$E$7-2,Assumptions!$E$91,0)</f>
        <v>-9000</v>
      </c>
      <c r="AC78" s="70" t="n">
        <f aca="false">-IF(AC$5&gt;=Assumptions!$E$7-2,Assumptions!$E$91,0)</f>
        <v>-9000</v>
      </c>
      <c r="AD78" s="70" t="n">
        <f aca="false">-IF(AD$5&gt;=Assumptions!$E$7-2,Assumptions!$E$91,0)</f>
        <v>-9000</v>
      </c>
      <c r="AE78" s="70" t="n">
        <f aca="false">-IF(AE$5&gt;=Assumptions!$E$7-2,Assumptions!$E$91,0)</f>
        <v>-9000</v>
      </c>
      <c r="AF78" s="70" t="n">
        <f aca="false">-IF(AF$5&gt;=Assumptions!$E$7-2,Assumptions!$E$91,0)</f>
        <v>-9000</v>
      </c>
      <c r="AG78" s="70" t="n">
        <f aca="false">-IF(AG$5&gt;=Assumptions!$E$7-2,Assumptions!$E$91,0)</f>
        <v>-9000</v>
      </c>
      <c r="AH78" s="70" t="n">
        <f aca="false">-IF(AH$5&gt;=Assumptions!$E$7-2,Assumptions!$E$91,0)</f>
        <v>-9000</v>
      </c>
      <c r="AI78" s="70" t="n">
        <f aca="false">-IF(AI$5&gt;=Assumptions!$E$7-2,Assumptions!$E$91,0)</f>
        <v>-9000</v>
      </c>
      <c r="AJ78" s="70" t="n">
        <f aca="false">-IF(AJ$5&gt;=Assumptions!$E$7-2,Assumptions!$E$91,0)</f>
        <v>-9000</v>
      </c>
      <c r="AK78" s="70" t="n">
        <f aca="false">-IF(AK$5&gt;=Assumptions!$E$7-2,Assumptions!$E$91,0)</f>
        <v>-9000</v>
      </c>
      <c r="AL78" s="70" t="n">
        <f aca="false">-IF(AL$5&gt;=Assumptions!$E$7-2,Assumptions!$E$91,0)</f>
        <v>-9000</v>
      </c>
      <c r="AM78" s="70" t="n">
        <f aca="false">SUM(C78:AL78)</f>
        <v>-288000</v>
      </c>
    </row>
    <row r="79" customFormat="false" ht="15" hidden="false" customHeight="false" outlineLevel="0" collapsed="false">
      <c r="A79" s="10" t="s">
        <v>795</v>
      </c>
      <c r="B79" s="9" t="s">
        <v>95</v>
      </c>
      <c r="C79" s="70" t="n">
        <f aca="false">-Assumptions!$E$92</f>
        <v>-2500</v>
      </c>
      <c r="D79" s="70" t="n">
        <f aca="false">-MAX(Assumptions!$E$92,C72*Assumptions!$E$90)</f>
        <v>-2500</v>
      </c>
      <c r="E79" s="70" t="n">
        <f aca="false">-MAX(Assumptions!$E$92,D72*Assumptions!$E$90)</f>
        <v>-2500</v>
      </c>
      <c r="F79" s="70" t="n">
        <f aca="false">-MAX(Assumptions!$E$92,E72*Assumptions!$E$90)</f>
        <v>-2500</v>
      </c>
      <c r="G79" s="70" t="n">
        <f aca="false">-MAX(Assumptions!$E$92,F72*Assumptions!$E$90)</f>
        <v>-2500</v>
      </c>
      <c r="H79" s="70" t="n">
        <f aca="false">-MAX(Assumptions!$E$92,G72*Assumptions!$E$90)</f>
        <v>-2500</v>
      </c>
      <c r="I79" s="70" t="n">
        <f aca="false">-MAX(Assumptions!$E$92,H72*Assumptions!$E$90)</f>
        <v>-2500</v>
      </c>
      <c r="J79" s="70" t="n">
        <f aca="false">-MAX(Assumptions!$E$92,I72*Assumptions!$E$90)</f>
        <v>-2500</v>
      </c>
      <c r="K79" s="70" t="n">
        <f aca="false">-MAX(Assumptions!$E$92,J72*Assumptions!$E$90)</f>
        <v>-2500</v>
      </c>
      <c r="L79" s="70" t="n">
        <f aca="false">-MAX(Assumptions!$E$92,K72*Assumptions!$E$90)</f>
        <v>-2500</v>
      </c>
      <c r="M79" s="70" t="n">
        <f aca="false">-MAX(Assumptions!$E$92,L72*Assumptions!$E$90)</f>
        <v>-2543.77555727358</v>
      </c>
      <c r="N79" s="70" t="n">
        <f aca="false">-MAX(Assumptions!$E$92,M72*Assumptions!$E$90)</f>
        <v>-2725.60697688785</v>
      </c>
      <c r="O79" s="70" t="n">
        <f aca="false">-MAX(Assumptions!$E$92,N72*Assumptions!$E$90)</f>
        <v>-2903.20044918188</v>
      </c>
      <c r="P79" s="70" t="n">
        <f aca="false">-MAX(Assumptions!$E$92,O72*Assumptions!$E$90)</f>
        <v>-3077.99721250276</v>
      </c>
      <c r="Q79" s="70" t="n">
        <f aca="false">-MAX(Assumptions!$E$92,P72*Assumptions!$E$90)</f>
        <v>-3251.2525437947</v>
      </c>
      <c r="R79" s="70" t="n">
        <f aca="false">-MAX(Assumptions!$E$92,Q72*Assumptions!$E$90)</f>
        <v>-3424.08102398893</v>
      </c>
      <c r="S79" s="70" t="n">
        <f aca="false">-MAX(Assumptions!$E$92,R72*Assumptions!$E$90)</f>
        <v>-3597.49117688666</v>
      </c>
      <c r="T79" s="70" t="n">
        <f aca="false">-MAX(Assumptions!$E$92,S72*Assumptions!$E$90)</f>
        <v>-3772.41401627673</v>
      </c>
      <c r="U79" s="70" t="n">
        <f aca="false">-MAX(Assumptions!$E$92,T72*Assumptions!$E$90)</f>
        <v>-3949.72716329402</v>
      </c>
      <c r="V79" s="70" t="n">
        <f aca="false">-MAX(Assumptions!$E$92,U72*Assumptions!$E$90)</f>
        <v>-4130.27553156073</v>
      </c>
      <c r="W79" s="70" t="n">
        <f aca="false">-MAX(Assumptions!$E$92,V72*Assumptions!$E$90)</f>
        <v>-4314.88931314894</v>
      </c>
      <c r="X79" s="70" t="n">
        <f aca="false">-MAX(Assumptions!$E$92,W72*Assumptions!$E$90)</f>
        <v>-4504.39985082574</v>
      </c>
      <c r="Y79" s="70" t="n">
        <f aca="false">-MAX(Assumptions!$E$92,X72*Assumptions!$E$90)</f>
        <v>-4699.65388059809</v>
      </c>
      <c r="Z79" s="70" t="n">
        <f aca="false">-MAX(Assumptions!$E$92,Y72*Assumptions!$E$90)</f>
        <v>-4901.52655146888</v>
      </c>
      <c r="AA79" s="70" t="n">
        <f aca="false">-MAX(Assumptions!$E$92,Z72*Assumptions!$E$90)</f>
        <v>-5110.93356805758</v>
      </c>
      <c r="AB79" s="70" t="n">
        <f aca="false">-MAX(Assumptions!$E$92,AA72*Assumptions!$E$90)</f>
        <v>-5328.84275228821</v>
      </c>
      <c r="AC79" s="70" t="n">
        <f aca="false">-MAX(Assumptions!$E$92,AB72*Assumptions!$E$90)</f>
        <v>-5550.68956495457</v>
      </c>
      <c r="AD79" s="70" t="n">
        <f aca="false">-MAX(Assumptions!$E$92,AC72*Assumptions!$E$90)</f>
        <v>-5775.41803999991</v>
      </c>
      <c r="AE79" s="70" t="n">
        <f aca="false">-MAX(Assumptions!$E$92,AD72*Assumptions!$E$90)</f>
        <v>-6005.3578990012</v>
      </c>
      <c r="AF79" s="70" t="n">
        <f aca="false">-MAX(Assumptions!$E$92,AE72*Assumptions!$E$90)</f>
        <v>-6241.64992034168</v>
      </c>
      <c r="AG79" s="70" t="n">
        <f aca="false">-MAX(Assumptions!$E$92,AF72*Assumptions!$E$90)</f>
        <v>-6485.45889100445</v>
      </c>
      <c r="AH79" s="70" t="n">
        <f aca="false">-MAX(Assumptions!$E$92,AG72*Assumptions!$E$90)</f>
        <v>-6738.00617456149</v>
      </c>
      <c r="AI79" s="70" t="n">
        <f aca="false">-MAX(Assumptions!$E$92,AH72*Assumptions!$E$90)</f>
        <v>-7000.58639277705</v>
      </c>
      <c r="AJ79" s="70" t="n">
        <f aca="false">-MAX(Assumptions!$E$92,AI72*Assumptions!$E$90)</f>
        <v>-7274.57749656843</v>
      </c>
      <c r="AK79" s="70" t="n">
        <f aca="false">-MAX(Assumptions!$E$92,AJ72*Assumptions!$E$90)</f>
        <v>-7561.45060709634</v>
      </c>
      <c r="AL79" s="70" t="n">
        <f aca="false">-MAX(Assumptions!$E$92,AK72*Assumptions!$E$90)</f>
        <v>-7862.78025547435</v>
      </c>
      <c r="AM79" s="70" t="n">
        <f aca="false">SUM(C79:AL79)</f>
        <v>-153732.042809815</v>
      </c>
    </row>
    <row r="80" customFormat="false" ht="15" hidden="false" customHeight="false" outlineLevel="0" collapsed="false">
      <c r="A80" s="10" t="s">
        <v>796</v>
      </c>
      <c r="B80" s="9" t="s">
        <v>95</v>
      </c>
      <c r="C80" s="70" t="n">
        <f aca="false">-IF(C$5&lt;=4,Assumptions!$E$93,Assumptions!$E$94)</f>
        <v>-25000</v>
      </c>
      <c r="D80" s="70" t="n">
        <f aca="false">-IF(D$5&lt;=4,Assumptions!$E$93,Assumptions!$E$94)</f>
        <v>-25000</v>
      </c>
      <c r="E80" s="70" t="n">
        <f aca="false">-IF(E$5&lt;=4,Assumptions!$E$93,Assumptions!$E$94)</f>
        <v>-25000</v>
      </c>
      <c r="F80" s="70" t="n">
        <f aca="false">-IF(F$5&lt;=4,Assumptions!$E$93,Assumptions!$E$94)</f>
        <v>-25000</v>
      </c>
      <c r="G80" s="70" t="n">
        <f aca="false">-IF(G$5&lt;=4,Assumptions!$E$93,Assumptions!$E$94)</f>
        <v>-9000</v>
      </c>
      <c r="H80" s="70" t="n">
        <f aca="false">-IF(H$5&lt;=4,Assumptions!$E$93,Assumptions!$E$94)</f>
        <v>-9000</v>
      </c>
      <c r="I80" s="70" t="n">
        <f aca="false">-IF(I$5&lt;=4,Assumptions!$E$93,Assumptions!$E$94)</f>
        <v>-9000</v>
      </c>
      <c r="J80" s="70" t="n">
        <f aca="false">-IF(J$5&lt;=4,Assumptions!$E$93,Assumptions!$E$94)</f>
        <v>-9000</v>
      </c>
      <c r="K80" s="70" t="n">
        <f aca="false">-IF(K$5&lt;=4,Assumptions!$E$93,Assumptions!$E$94)</f>
        <v>-9000</v>
      </c>
      <c r="L80" s="70" t="n">
        <f aca="false">-IF(L$5&lt;=4,Assumptions!$E$93,Assumptions!$E$94)</f>
        <v>-9000</v>
      </c>
      <c r="M80" s="70" t="n">
        <f aca="false">-IF(M$5&lt;=4,Assumptions!$E$93,Assumptions!$E$94)</f>
        <v>-9000</v>
      </c>
      <c r="N80" s="70" t="n">
        <f aca="false">-IF(N$5&lt;=4,Assumptions!$E$93,Assumptions!$E$94)</f>
        <v>-9000</v>
      </c>
      <c r="O80" s="70" t="n">
        <f aca="false">-IF(O$5&lt;=4,Assumptions!$E$93,Assumptions!$E$94)</f>
        <v>-9000</v>
      </c>
      <c r="P80" s="70" t="n">
        <f aca="false">-IF(P$5&lt;=4,Assumptions!$E$93,Assumptions!$E$94)</f>
        <v>-9000</v>
      </c>
      <c r="Q80" s="70" t="n">
        <f aca="false">-IF(Q$5&lt;=4,Assumptions!$E$93,Assumptions!$E$94)</f>
        <v>-9000</v>
      </c>
      <c r="R80" s="70" t="n">
        <f aca="false">-IF(R$5&lt;=4,Assumptions!$E$93,Assumptions!$E$94)</f>
        <v>-9000</v>
      </c>
      <c r="S80" s="70" t="n">
        <f aca="false">-IF(S$5&lt;=4,Assumptions!$E$93,Assumptions!$E$94)</f>
        <v>-9000</v>
      </c>
      <c r="T80" s="70" t="n">
        <f aca="false">-IF(T$5&lt;=4,Assumptions!$E$93,Assumptions!$E$94)</f>
        <v>-9000</v>
      </c>
      <c r="U80" s="70" t="n">
        <f aca="false">-IF(U$5&lt;=4,Assumptions!$E$93,Assumptions!$E$94)</f>
        <v>-9000</v>
      </c>
      <c r="V80" s="70" t="n">
        <f aca="false">-IF(V$5&lt;=4,Assumptions!$E$93,Assumptions!$E$94)</f>
        <v>-9000</v>
      </c>
      <c r="W80" s="70" t="n">
        <f aca="false">-IF(W$5&lt;=4,Assumptions!$E$93,Assumptions!$E$94)</f>
        <v>-9000</v>
      </c>
      <c r="X80" s="70" t="n">
        <f aca="false">-IF(X$5&lt;=4,Assumptions!$E$93,Assumptions!$E$94)</f>
        <v>-9000</v>
      </c>
      <c r="Y80" s="70" t="n">
        <f aca="false">-IF(Y$5&lt;=4,Assumptions!$E$93,Assumptions!$E$94)</f>
        <v>-9000</v>
      </c>
      <c r="Z80" s="70" t="n">
        <f aca="false">-IF(Z$5&lt;=4,Assumptions!$E$93,Assumptions!$E$94)</f>
        <v>-9000</v>
      </c>
      <c r="AA80" s="70" t="n">
        <f aca="false">-IF(AA$5&lt;=4,Assumptions!$E$93,Assumptions!$E$94)</f>
        <v>-9000</v>
      </c>
      <c r="AB80" s="70" t="n">
        <f aca="false">-IF(AB$5&lt;=4,Assumptions!$E$93,Assumptions!$E$94)</f>
        <v>-9000</v>
      </c>
      <c r="AC80" s="70" t="n">
        <f aca="false">-IF(AC$5&lt;=4,Assumptions!$E$93,Assumptions!$E$94)</f>
        <v>-9000</v>
      </c>
      <c r="AD80" s="70" t="n">
        <f aca="false">-IF(AD$5&lt;=4,Assumptions!$E$93,Assumptions!$E$94)</f>
        <v>-9000</v>
      </c>
      <c r="AE80" s="70" t="n">
        <f aca="false">-IF(AE$5&lt;=4,Assumptions!$E$93,Assumptions!$E$94)</f>
        <v>-9000</v>
      </c>
      <c r="AF80" s="70" t="n">
        <f aca="false">-IF(AF$5&lt;=4,Assumptions!$E$93,Assumptions!$E$94)</f>
        <v>-9000</v>
      </c>
      <c r="AG80" s="70" t="n">
        <f aca="false">-IF(AG$5&lt;=4,Assumptions!$E$93,Assumptions!$E$94)</f>
        <v>-9000</v>
      </c>
      <c r="AH80" s="70" t="n">
        <f aca="false">-IF(AH$5&lt;=4,Assumptions!$E$93,Assumptions!$E$94)</f>
        <v>-9000</v>
      </c>
      <c r="AI80" s="70" t="n">
        <f aca="false">-IF(AI$5&lt;=4,Assumptions!$E$93,Assumptions!$E$94)</f>
        <v>-9000</v>
      </c>
      <c r="AJ80" s="70" t="n">
        <f aca="false">-IF(AJ$5&lt;=4,Assumptions!$E$93,Assumptions!$E$94)</f>
        <v>-9000</v>
      </c>
      <c r="AK80" s="70" t="n">
        <f aca="false">-IF(AK$5&lt;=4,Assumptions!$E$93,Assumptions!$E$94)</f>
        <v>-9000</v>
      </c>
      <c r="AL80" s="70" t="n">
        <f aca="false">-IF(AL$5&lt;=4,Assumptions!$E$93,Assumptions!$E$94)</f>
        <v>-9000</v>
      </c>
      <c r="AM80" s="70" t="n">
        <f aca="false">SUM(C80:AL80)</f>
        <v>-388000</v>
      </c>
    </row>
    <row r="81" customFormat="false" ht="15" hidden="false" customHeight="false" outlineLevel="0" collapsed="false">
      <c r="A81" s="10" t="s">
        <v>797</v>
      </c>
      <c r="B81" s="9" t="s">
        <v>95</v>
      </c>
      <c r="C81" s="70" t="n">
        <f aca="false">-C8*Assumptions!$E$95</f>
        <v>-0</v>
      </c>
      <c r="D81" s="70" t="n">
        <f aca="false">-D8*Assumptions!$E$95</f>
        <v>-3500</v>
      </c>
      <c r="E81" s="70" t="n">
        <f aca="false">-E8*Assumptions!$E$95</f>
        <v>-3500</v>
      </c>
      <c r="F81" s="70" t="n">
        <f aca="false">-F8*Assumptions!$E$95</f>
        <v>-3500</v>
      </c>
      <c r="G81" s="70" t="n">
        <f aca="false">-G8*Assumptions!$E$95</f>
        <v>-3500</v>
      </c>
      <c r="H81" s="70" t="n">
        <f aca="false">-H8*Assumptions!$E$95</f>
        <v>-3500</v>
      </c>
      <c r="I81" s="70" t="n">
        <f aca="false">-I8*Assumptions!$E$95</f>
        <v>-3500</v>
      </c>
      <c r="J81" s="70" t="n">
        <f aca="false">-J8*Assumptions!$E$95</f>
        <v>-3500</v>
      </c>
      <c r="K81" s="70" t="n">
        <f aca="false">-K8*Assumptions!$E$95</f>
        <v>-3500</v>
      </c>
      <c r="L81" s="70" t="n">
        <f aca="false">-L8*Assumptions!$E$95</f>
        <v>-3500</v>
      </c>
      <c r="M81" s="70" t="n">
        <f aca="false">-M8*Assumptions!$E$95</f>
        <v>-3500</v>
      </c>
      <c r="N81" s="70" t="n">
        <f aca="false">-N8*Assumptions!$E$95</f>
        <v>-3500</v>
      </c>
      <c r="O81" s="70" t="n">
        <f aca="false">-O8*Assumptions!$E$95</f>
        <v>-3500</v>
      </c>
      <c r="P81" s="70" t="n">
        <f aca="false">-P8*Assumptions!$E$95</f>
        <v>-3500</v>
      </c>
      <c r="Q81" s="70" t="n">
        <f aca="false">-Q8*Assumptions!$E$95</f>
        <v>-3500</v>
      </c>
      <c r="R81" s="70" t="n">
        <f aca="false">-R8*Assumptions!$E$95</f>
        <v>-3500</v>
      </c>
      <c r="S81" s="70" t="n">
        <f aca="false">-S8*Assumptions!$E$95</f>
        <v>-3500</v>
      </c>
      <c r="T81" s="70" t="n">
        <f aca="false">-T8*Assumptions!$E$95</f>
        <v>-3500</v>
      </c>
      <c r="U81" s="70" t="n">
        <f aca="false">-U8*Assumptions!$E$95</f>
        <v>-3500</v>
      </c>
      <c r="V81" s="70" t="n">
        <f aca="false">-V8*Assumptions!$E$95</f>
        <v>-3500</v>
      </c>
      <c r="W81" s="70" t="n">
        <f aca="false">-W8*Assumptions!$E$95</f>
        <v>-3500</v>
      </c>
      <c r="X81" s="70" t="n">
        <f aca="false">-X8*Assumptions!$E$95</f>
        <v>-3500</v>
      </c>
      <c r="Y81" s="70" t="n">
        <f aca="false">-Y8*Assumptions!$E$95</f>
        <v>-3500</v>
      </c>
      <c r="Z81" s="70" t="n">
        <f aca="false">-Z8*Assumptions!$E$95</f>
        <v>-3500</v>
      </c>
      <c r="AA81" s="70" t="n">
        <f aca="false">-AA8*Assumptions!$E$95</f>
        <v>-3500</v>
      </c>
      <c r="AB81" s="70" t="n">
        <f aca="false">-AB8*Assumptions!$E$95</f>
        <v>-3500</v>
      </c>
      <c r="AC81" s="70" t="n">
        <f aca="false">-AC8*Assumptions!$E$95</f>
        <v>-3500</v>
      </c>
      <c r="AD81" s="70" t="n">
        <f aca="false">-AD8*Assumptions!$E$95</f>
        <v>-3500</v>
      </c>
      <c r="AE81" s="70" t="n">
        <f aca="false">-AE8*Assumptions!$E$95</f>
        <v>-3500</v>
      </c>
      <c r="AF81" s="70" t="n">
        <f aca="false">-AF8*Assumptions!$E$95</f>
        <v>-3500</v>
      </c>
      <c r="AG81" s="70" t="n">
        <f aca="false">-AG8*Assumptions!$E$95</f>
        <v>-3500</v>
      </c>
      <c r="AH81" s="70" t="n">
        <f aca="false">-AH8*Assumptions!$E$95</f>
        <v>-3500</v>
      </c>
      <c r="AI81" s="70" t="n">
        <f aca="false">-AI8*Assumptions!$E$95</f>
        <v>-3500</v>
      </c>
      <c r="AJ81" s="70" t="n">
        <f aca="false">-AJ8*Assumptions!$E$95</f>
        <v>-3500</v>
      </c>
      <c r="AK81" s="70" t="n">
        <f aca="false">-AK8*Assumptions!$E$95</f>
        <v>-3500</v>
      </c>
      <c r="AL81" s="70" t="n">
        <f aca="false">-AL8*Assumptions!$E$95</f>
        <v>-3500</v>
      </c>
      <c r="AM81" s="70" t="n">
        <f aca="false">SUM(C81:AL81)</f>
        <v>-122500</v>
      </c>
    </row>
    <row r="82" customFormat="false" ht="15" hidden="false" customHeight="false" outlineLevel="0" collapsed="false">
      <c r="A82" s="10" t="s">
        <v>798</v>
      </c>
      <c r="B82" s="9" t="s">
        <v>95</v>
      </c>
      <c r="C82" s="70" t="n">
        <f aca="false">-Assumptions!$E$96</f>
        <v>-12000</v>
      </c>
      <c r="D82" s="70" t="n">
        <f aca="false">-MAX(Assumptions!$E$96,C72*Assumptions!$E$89)</f>
        <v>-12000</v>
      </c>
      <c r="E82" s="70" t="n">
        <f aca="false">-MAX(Assumptions!$E$96,D72*Assumptions!$E$89)</f>
        <v>-12000</v>
      </c>
      <c r="F82" s="70" t="n">
        <f aca="false">-MAX(Assumptions!$E$96,E72*Assumptions!$E$89)</f>
        <v>-12000</v>
      </c>
      <c r="G82" s="70" t="n">
        <f aca="false">-MAX(Assumptions!$E$96,F72*Assumptions!$E$89)</f>
        <v>-12000</v>
      </c>
      <c r="H82" s="70" t="n">
        <f aca="false">-MAX(Assumptions!$E$96,G72*Assumptions!$E$89)</f>
        <v>-12000</v>
      </c>
      <c r="I82" s="70" t="n">
        <f aca="false">-MAX(Assumptions!$E$96,H72*Assumptions!$E$89)</f>
        <v>-12000</v>
      </c>
      <c r="J82" s="70" t="n">
        <f aca="false">-MAX(Assumptions!$E$96,I72*Assumptions!$E$89)</f>
        <v>-12000</v>
      </c>
      <c r="K82" s="70" t="n">
        <f aca="false">-MAX(Assumptions!$E$96,J72*Assumptions!$E$89)</f>
        <v>-12000</v>
      </c>
      <c r="L82" s="70" t="n">
        <f aca="false">-MAX(Assumptions!$E$96,K72*Assumptions!$E$89)</f>
        <v>-12000</v>
      </c>
      <c r="M82" s="70" t="n">
        <f aca="false">-MAX(Assumptions!$E$96,L72*Assumptions!$E$89)</f>
        <v>-12000</v>
      </c>
      <c r="N82" s="70" t="n">
        <f aca="false">-MAX(Assumptions!$E$96,M72*Assumptions!$E$89)</f>
        <v>-12000</v>
      </c>
      <c r="O82" s="70" t="n">
        <f aca="false">-MAX(Assumptions!$E$96,N72*Assumptions!$E$89)</f>
        <v>-12000</v>
      </c>
      <c r="P82" s="70" t="n">
        <f aca="false">-MAX(Assumptions!$E$96,O72*Assumptions!$E$89)</f>
        <v>-12000</v>
      </c>
      <c r="Q82" s="70" t="n">
        <f aca="false">-MAX(Assumptions!$E$96,P72*Assumptions!$E$89)</f>
        <v>-12000</v>
      </c>
      <c r="R82" s="70" t="n">
        <f aca="false">-MAX(Assumptions!$E$96,Q72*Assumptions!$E$89)</f>
        <v>-12000</v>
      </c>
      <c r="S82" s="70" t="n">
        <f aca="false">-MAX(Assumptions!$E$96,R72*Assumptions!$E$89)</f>
        <v>-12000</v>
      </c>
      <c r="T82" s="70" t="n">
        <f aca="false">-MAX(Assumptions!$E$96,S72*Assumptions!$E$89)</f>
        <v>-12000</v>
      </c>
      <c r="U82" s="70" t="n">
        <f aca="false">-MAX(Assumptions!$E$96,T72*Assumptions!$E$89)</f>
        <v>-12342.8973852938</v>
      </c>
      <c r="V82" s="70" t="n">
        <f aca="false">-MAX(Assumptions!$E$96,U72*Assumptions!$E$89)</f>
        <v>-12907.1110361273</v>
      </c>
      <c r="W82" s="70" t="n">
        <f aca="false">-MAX(Assumptions!$E$96,V72*Assumptions!$E$89)</f>
        <v>-13484.0291035904</v>
      </c>
      <c r="X82" s="70" t="n">
        <f aca="false">-MAX(Assumptions!$E$96,W72*Assumptions!$E$89)</f>
        <v>-14076.2495338304</v>
      </c>
      <c r="Y82" s="70" t="n">
        <f aca="false">-MAX(Assumptions!$E$96,X72*Assumptions!$E$89)</f>
        <v>-14686.418376869</v>
      </c>
      <c r="Z82" s="70" t="n">
        <f aca="false">-MAX(Assumptions!$E$96,Y72*Assumptions!$E$89)</f>
        <v>-15317.2704733403</v>
      </c>
      <c r="AA82" s="70" t="n">
        <f aca="false">-MAX(Assumptions!$E$96,Z72*Assumptions!$E$89)</f>
        <v>-15971.6674001799</v>
      </c>
      <c r="AB82" s="70" t="n">
        <f aca="false">-MAX(Assumptions!$E$96,AA72*Assumptions!$E$89)</f>
        <v>-16652.6336009006</v>
      </c>
      <c r="AC82" s="70" t="n">
        <f aca="false">-MAX(Assumptions!$E$96,AB72*Assumptions!$E$89)</f>
        <v>-17345.904890483</v>
      </c>
      <c r="AD82" s="70" t="n">
        <f aca="false">-MAX(Assumptions!$E$96,AC72*Assumptions!$E$89)</f>
        <v>-18048.1813749997</v>
      </c>
      <c r="AE82" s="70" t="n">
        <f aca="false">-MAX(Assumptions!$E$96,AD72*Assumptions!$E$89)</f>
        <v>-18766.7434343788</v>
      </c>
      <c r="AF82" s="70" t="n">
        <f aca="false">-MAX(Assumptions!$E$96,AE72*Assumptions!$E$89)</f>
        <v>-19505.1560010677</v>
      </c>
      <c r="AG82" s="70" t="n">
        <f aca="false">-MAX(Assumptions!$E$96,AF72*Assumptions!$E$89)</f>
        <v>-20267.0590343889</v>
      </c>
      <c r="AH82" s="70" t="n">
        <f aca="false">-MAX(Assumptions!$E$96,AG72*Assumptions!$E$89)</f>
        <v>-21056.2692955047</v>
      </c>
      <c r="AI82" s="70" t="n">
        <f aca="false">-MAX(Assumptions!$E$96,AH72*Assumptions!$E$89)</f>
        <v>-21876.8324774283</v>
      </c>
      <c r="AJ82" s="70" t="n">
        <f aca="false">-MAX(Assumptions!$E$96,AI72*Assumptions!$E$89)</f>
        <v>-22733.0546767764</v>
      </c>
      <c r="AK82" s="70" t="n">
        <f aca="false">-MAX(Assumptions!$E$96,AJ72*Assumptions!$E$89)</f>
        <v>-23629.5331471761</v>
      </c>
      <c r="AL82" s="70" t="n">
        <f aca="false">-MAX(Assumptions!$E$96,AK72*Assumptions!$E$89)</f>
        <v>-24571.1882983573</v>
      </c>
      <c r="AM82" s="70" t="n">
        <f aca="false">SUM(C82:AL82)</f>
        <v>-539238.199540693</v>
      </c>
    </row>
    <row r="83" customFormat="false" ht="15" hidden="false" customHeight="false" outlineLevel="0" collapsed="false">
      <c r="A83" s="10" t="s">
        <v>799</v>
      </c>
      <c r="B83" s="9" t="s">
        <v>95</v>
      </c>
      <c r="C83" s="70" t="n">
        <f aca="false">-C26</f>
        <v>-8000</v>
      </c>
      <c r="D83" s="70" t="n">
        <f aca="false">-D26</f>
        <v>-30000</v>
      </c>
      <c r="E83" s="70" t="n">
        <f aca="false">-E26</f>
        <v>-30000</v>
      </c>
      <c r="F83" s="70" t="n">
        <f aca="false">-F26</f>
        <v>-34459.9809545037</v>
      </c>
      <c r="G83" s="70" t="n">
        <f aca="false">-G26</f>
        <v>-40158.7723516581</v>
      </c>
      <c r="H83" s="70" t="n">
        <f aca="false">-H26</f>
        <v>-45847.6922300722</v>
      </c>
      <c r="I83" s="70" t="n">
        <f aca="false">-I26</f>
        <v>-51230.1691315433</v>
      </c>
      <c r="J83" s="70" t="n">
        <f aca="false">-J26</f>
        <v>-58580.2216355866</v>
      </c>
      <c r="K83" s="70" t="n">
        <f aca="false">-K26</f>
        <v>-64801.807875909</v>
      </c>
      <c r="L83" s="70" t="n">
        <f aca="false">-L26</f>
        <v>-70680.1986925016</v>
      </c>
      <c r="M83" s="70" t="n">
        <f aca="false">-M26</f>
        <v>-76313.2667182075</v>
      </c>
      <c r="N83" s="70" t="n">
        <f aca="false">-N26</f>
        <v>-81768.2093066355</v>
      </c>
      <c r="O83" s="70" t="n">
        <f aca="false">-O26</f>
        <v>-87096.0134754563</v>
      </c>
      <c r="P83" s="70" t="n">
        <f aca="false">-P26</f>
        <v>-92339.9163750827</v>
      </c>
      <c r="Q83" s="70" t="n">
        <f aca="false">-Q26</f>
        <v>-97537.576313841</v>
      </c>
      <c r="R83" s="70" t="n">
        <f aca="false">-R26</f>
        <v>-102722.430719668</v>
      </c>
      <c r="S83" s="70" t="n">
        <f aca="false">-S26</f>
        <v>-107924.7353066</v>
      </c>
      <c r="T83" s="70" t="n">
        <f aca="false">-T26</f>
        <v>-113172.420488302</v>
      </c>
      <c r="U83" s="70" t="n">
        <f aca="false">-U26</f>
        <v>-118491.814898821</v>
      </c>
      <c r="V83" s="70" t="n">
        <f aca="false">-V26</f>
        <v>-123908.265946822</v>
      </c>
      <c r="W83" s="70" t="n">
        <f aca="false">-W26</f>
        <v>-129446.679394468</v>
      </c>
      <c r="X83" s="70" t="n">
        <f aca="false">-X26</f>
        <v>-135131.995524772</v>
      </c>
      <c r="Y83" s="70" t="n">
        <f aca="false">-Y26</f>
        <v>-140989.616417943</v>
      </c>
      <c r="Z83" s="70" t="n">
        <f aca="false">-Z26</f>
        <v>-147045.796544066</v>
      </c>
      <c r="AA83" s="70" t="n">
        <f aca="false">-AA26</f>
        <v>-153328.007041727</v>
      </c>
      <c r="AB83" s="70" t="n">
        <f aca="false">-AB26</f>
        <v>-159865.282568646</v>
      </c>
      <c r="AC83" s="70" t="n">
        <f aca="false">-AC26</f>
        <v>-166520.686948637</v>
      </c>
      <c r="AD83" s="70" t="n">
        <f aca="false">-AD26</f>
        <v>-173262.541199997</v>
      </c>
      <c r="AE83" s="70" t="n">
        <f aca="false">-AE26</f>
        <v>-180160.736970036</v>
      </c>
      <c r="AF83" s="70" t="n">
        <f aca="false">-AF26</f>
        <v>-187249.49761025</v>
      </c>
      <c r="AG83" s="70" t="n">
        <f aca="false">-AG26</f>
        <v>-194563.766730133</v>
      </c>
      <c r="AH83" s="70" t="n">
        <f aca="false">-AH26</f>
        <v>-202140.185236845</v>
      </c>
      <c r="AI83" s="70" t="n">
        <f aca="false">-AI26</f>
        <v>-210017.591783312</v>
      </c>
      <c r="AJ83" s="70" t="n">
        <f aca="false">-AJ26</f>
        <v>-218237.324897053</v>
      </c>
      <c r="AK83" s="70" t="n">
        <f aca="false">-AK26</f>
        <v>-226843.51821289</v>
      </c>
      <c r="AL83" s="70" t="n">
        <f aca="false">-AL26</f>
        <v>-235883.40766423</v>
      </c>
      <c r="AM83" s="70" t="n">
        <f aca="false">SUM(C83:AL83)</f>
        <v>-4295720.12716622</v>
      </c>
    </row>
    <row r="84" customFormat="false" ht="15" hidden="false" customHeight="false" outlineLevel="0" collapsed="false">
      <c r="A84" s="10" t="s">
        <v>800</v>
      </c>
      <c r="B84" s="9" t="s">
        <v>95</v>
      </c>
      <c r="C84" s="70" t="n">
        <f aca="false">-IF(C$5=Assumptions!$E$6,Assumptions!$E$23,0)</f>
        <v>-0</v>
      </c>
      <c r="D84" s="70" t="n">
        <f aca="false">-IF(D$5=Assumptions!$E$6,Assumptions!$E$23,0)</f>
        <v>-150000</v>
      </c>
      <c r="E84" s="70" t="n">
        <f aca="false">-IF(E$5=Assumptions!$E$6,Assumptions!$E$23,0)</f>
        <v>-0</v>
      </c>
      <c r="F84" s="70" t="n">
        <f aca="false">-IF(F$5=Assumptions!$E$6,Assumptions!$E$23,0)</f>
        <v>-0</v>
      </c>
      <c r="G84" s="70" t="n">
        <f aca="false">-IF(G$5=Assumptions!$E$6,Assumptions!$E$23,0)</f>
        <v>-0</v>
      </c>
      <c r="H84" s="70" t="n">
        <f aca="false">-IF(H$5=Assumptions!$E$6,Assumptions!$E$23,0)</f>
        <v>-0</v>
      </c>
      <c r="I84" s="70" t="n">
        <f aca="false">-IF(I$5=Assumptions!$E$6,Assumptions!$E$23,0)</f>
        <v>-0</v>
      </c>
      <c r="J84" s="70" t="n">
        <f aca="false">-IF(J$5=Assumptions!$E$6,Assumptions!$E$23,0)</f>
        <v>-0</v>
      </c>
      <c r="K84" s="70" t="n">
        <f aca="false">-IF(K$5=Assumptions!$E$6,Assumptions!$E$23,0)</f>
        <v>-0</v>
      </c>
      <c r="L84" s="70" t="n">
        <f aca="false">-IF(L$5=Assumptions!$E$6,Assumptions!$E$23,0)</f>
        <v>-0</v>
      </c>
      <c r="M84" s="70" t="n">
        <f aca="false">-IF(M$5=Assumptions!$E$6,Assumptions!$E$23,0)</f>
        <v>-0</v>
      </c>
      <c r="N84" s="70" t="n">
        <f aca="false">-IF(N$5=Assumptions!$E$6,Assumptions!$E$23,0)</f>
        <v>-0</v>
      </c>
      <c r="O84" s="70" t="n">
        <f aca="false">-IF(O$5=Assumptions!$E$6,Assumptions!$E$23,0)</f>
        <v>-0</v>
      </c>
      <c r="P84" s="70" t="n">
        <f aca="false">-IF(P$5=Assumptions!$E$6,Assumptions!$E$23,0)</f>
        <v>-0</v>
      </c>
      <c r="Q84" s="70" t="n">
        <f aca="false">-IF(Q$5=Assumptions!$E$6,Assumptions!$E$23,0)</f>
        <v>-0</v>
      </c>
      <c r="R84" s="70" t="n">
        <f aca="false">-IF(R$5=Assumptions!$E$6,Assumptions!$E$23,0)</f>
        <v>-0</v>
      </c>
      <c r="S84" s="70" t="n">
        <f aca="false">-IF(S$5=Assumptions!$E$6,Assumptions!$E$23,0)</f>
        <v>-0</v>
      </c>
      <c r="T84" s="70" t="n">
        <f aca="false">-IF(T$5=Assumptions!$E$6,Assumptions!$E$23,0)</f>
        <v>-0</v>
      </c>
      <c r="U84" s="70" t="n">
        <f aca="false">-IF(U$5=Assumptions!$E$6,Assumptions!$E$23,0)</f>
        <v>-0</v>
      </c>
      <c r="V84" s="70" t="n">
        <f aca="false">-IF(V$5=Assumptions!$E$6,Assumptions!$E$23,0)</f>
        <v>-0</v>
      </c>
      <c r="W84" s="70" t="n">
        <f aca="false">-IF(W$5=Assumptions!$E$6,Assumptions!$E$23,0)</f>
        <v>-0</v>
      </c>
      <c r="X84" s="70" t="n">
        <f aca="false">-IF(X$5=Assumptions!$E$6,Assumptions!$E$23,0)</f>
        <v>-0</v>
      </c>
      <c r="Y84" s="70" t="n">
        <f aca="false">-IF(Y$5=Assumptions!$E$6,Assumptions!$E$23,0)</f>
        <v>-0</v>
      </c>
      <c r="Z84" s="70" t="n">
        <f aca="false">-IF(Z$5=Assumptions!$E$6,Assumptions!$E$23,0)</f>
        <v>-0</v>
      </c>
      <c r="AA84" s="70" t="n">
        <f aca="false">-IF(AA$5=Assumptions!$E$6,Assumptions!$E$23,0)</f>
        <v>-0</v>
      </c>
      <c r="AB84" s="70" t="n">
        <f aca="false">-IF(AB$5=Assumptions!$E$6,Assumptions!$E$23,0)</f>
        <v>-0</v>
      </c>
      <c r="AC84" s="70" t="n">
        <f aca="false">-IF(AC$5=Assumptions!$E$6,Assumptions!$E$23,0)</f>
        <v>-0</v>
      </c>
      <c r="AD84" s="70" t="n">
        <f aca="false">-IF(AD$5=Assumptions!$E$6,Assumptions!$E$23,0)</f>
        <v>-0</v>
      </c>
      <c r="AE84" s="70" t="n">
        <f aca="false">-IF(AE$5=Assumptions!$E$6,Assumptions!$E$23,0)</f>
        <v>-0</v>
      </c>
      <c r="AF84" s="70" t="n">
        <f aca="false">-IF(AF$5=Assumptions!$E$6,Assumptions!$E$23,0)</f>
        <v>-0</v>
      </c>
      <c r="AG84" s="70" t="n">
        <f aca="false">-IF(AG$5=Assumptions!$E$6,Assumptions!$E$23,0)</f>
        <v>-0</v>
      </c>
      <c r="AH84" s="70" t="n">
        <f aca="false">-IF(AH$5=Assumptions!$E$6,Assumptions!$E$23,0)</f>
        <v>-0</v>
      </c>
      <c r="AI84" s="70" t="n">
        <f aca="false">-IF(AI$5=Assumptions!$E$6,Assumptions!$E$23,0)</f>
        <v>-0</v>
      </c>
      <c r="AJ84" s="70" t="n">
        <f aca="false">-IF(AJ$5=Assumptions!$E$6,Assumptions!$E$23,0)</f>
        <v>-0</v>
      </c>
      <c r="AK84" s="70" t="n">
        <f aca="false">-IF(AK$5=Assumptions!$E$6,Assumptions!$E$23,0)</f>
        <v>-0</v>
      </c>
      <c r="AL84" s="70" t="n">
        <f aca="false">-IF(AL$5=Assumptions!$E$6,Assumptions!$E$23,0)</f>
        <v>-0</v>
      </c>
      <c r="AM84" s="70" t="n">
        <f aca="false">SUM(C84:AL84)</f>
        <v>-150000</v>
      </c>
    </row>
    <row r="85" customFormat="false" ht="15" hidden="false" customHeight="false" outlineLevel="0" collapsed="false">
      <c r="A85" s="10" t="s">
        <v>801</v>
      </c>
      <c r="B85" s="9" t="s">
        <v>95</v>
      </c>
      <c r="C85" s="70" t="n">
        <f aca="false">-C8*Assumptions!$E$98</f>
        <v>-0</v>
      </c>
      <c r="D85" s="70" t="n">
        <f aca="false">-D8*Assumptions!$E$98</f>
        <v>-15000</v>
      </c>
      <c r="E85" s="70" t="n">
        <f aca="false">-E8*Assumptions!$E$98</f>
        <v>-15000</v>
      </c>
      <c r="F85" s="70" t="n">
        <f aca="false">-F8*Assumptions!$E$98</f>
        <v>-15000</v>
      </c>
      <c r="G85" s="70" t="n">
        <f aca="false">-G8*Assumptions!$E$98</f>
        <v>-15000</v>
      </c>
      <c r="H85" s="70" t="n">
        <f aca="false">-H8*Assumptions!$E$98</f>
        <v>-15000</v>
      </c>
      <c r="I85" s="70" t="n">
        <f aca="false">-I8*Assumptions!$E$98</f>
        <v>-15000</v>
      </c>
      <c r="J85" s="70" t="n">
        <f aca="false">-J8*Assumptions!$E$98</f>
        <v>-15000</v>
      </c>
      <c r="K85" s="70" t="n">
        <f aca="false">-K8*Assumptions!$E$98</f>
        <v>-15000</v>
      </c>
      <c r="L85" s="70" t="n">
        <f aca="false">-L8*Assumptions!$E$98</f>
        <v>-15000</v>
      </c>
      <c r="M85" s="70" t="n">
        <f aca="false">-M8*Assumptions!$E$98</f>
        <v>-15000</v>
      </c>
      <c r="N85" s="70" t="n">
        <f aca="false">-N8*Assumptions!$E$98</f>
        <v>-15000</v>
      </c>
      <c r="O85" s="70" t="n">
        <f aca="false">-O8*Assumptions!$E$98</f>
        <v>-15000</v>
      </c>
      <c r="P85" s="70" t="n">
        <f aca="false">-P8*Assumptions!$E$98</f>
        <v>-15000</v>
      </c>
      <c r="Q85" s="70" t="n">
        <f aca="false">-Q8*Assumptions!$E$98</f>
        <v>-15000</v>
      </c>
      <c r="R85" s="70" t="n">
        <f aca="false">-R8*Assumptions!$E$98</f>
        <v>-15000</v>
      </c>
      <c r="S85" s="70" t="n">
        <f aca="false">-S8*Assumptions!$E$98</f>
        <v>-15000</v>
      </c>
      <c r="T85" s="70" t="n">
        <f aca="false">-T8*Assumptions!$E$98</f>
        <v>-15000</v>
      </c>
      <c r="U85" s="70" t="n">
        <f aca="false">-U8*Assumptions!$E$98</f>
        <v>-15000</v>
      </c>
      <c r="V85" s="70" t="n">
        <f aca="false">-V8*Assumptions!$E$98</f>
        <v>-15000</v>
      </c>
      <c r="W85" s="70" t="n">
        <f aca="false">-W8*Assumptions!$E$98</f>
        <v>-15000</v>
      </c>
      <c r="X85" s="70" t="n">
        <f aca="false">-X8*Assumptions!$E$98</f>
        <v>-15000</v>
      </c>
      <c r="Y85" s="70" t="n">
        <f aca="false">-Y8*Assumptions!$E$98</f>
        <v>-15000</v>
      </c>
      <c r="Z85" s="70" t="n">
        <f aca="false">-Z8*Assumptions!$E$98</f>
        <v>-15000</v>
      </c>
      <c r="AA85" s="70" t="n">
        <f aca="false">-AA8*Assumptions!$E$98</f>
        <v>-15000</v>
      </c>
      <c r="AB85" s="70" t="n">
        <f aca="false">-AB8*Assumptions!$E$98</f>
        <v>-15000</v>
      </c>
      <c r="AC85" s="70" t="n">
        <f aca="false">-AC8*Assumptions!$E$98</f>
        <v>-15000</v>
      </c>
      <c r="AD85" s="70" t="n">
        <f aca="false">-AD8*Assumptions!$E$98</f>
        <v>-15000</v>
      </c>
      <c r="AE85" s="70" t="n">
        <f aca="false">-AE8*Assumptions!$E$98</f>
        <v>-15000</v>
      </c>
      <c r="AF85" s="70" t="n">
        <f aca="false">-AF8*Assumptions!$E$98</f>
        <v>-15000</v>
      </c>
      <c r="AG85" s="70" t="n">
        <f aca="false">-AG8*Assumptions!$E$98</f>
        <v>-15000</v>
      </c>
      <c r="AH85" s="70" t="n">
        <f aca="false">-AH8*Assumptions!$E$98</f>
        <v>-15000</v>
      </c>
      <c r="AI85" s="70" t="n">
        <f aca="false">-AI8*Assumptions!$E$98</f>
        <v>-15000</v>
      </c>
      <c r="AJ85" s="70" t="n">
        <f aca="false">-AJ8*Assumptions!$E$98</f>
        <v>-15000</v>
      </c>
      <c r="AK85" s="70" t="n">
        <f aca="false">-AK8*Assumptions!$E$98</f>
        <v>-15000</v>
      </c>
      <c r="AL85" s="70" t="n">
        <f aca="false">-AL8*Assumptions!$E$98</f>
        <v>-15000</v>
      </c>
      <c r="AM85" s="70" t="n">
        <f aca="false">SUM(C85:AL85)</f>
        <v>-525000</v>
      </c>
    </row>
    <row r="86" customFormat="false" ht="15" hidden="false" customHeight="false" outlineLevel="0" collapsed="false">
      <c r="A86" s="10" t="s">
        <v>360</v>
      </c>
      <c r="B86" s="9" t="s">
        <v>95</v>
      </c>
      <c r="C86" s="70" t="n">
        <f aca="false">-C72*Assumptions!$E$99</f>
        <v>-0</v>
      </c>
      <c r="D86" s="70" t="n">
        <f aca="false">-D72*Assumptions!$E$99</f>
        <v>-5674.5</v>
      </c>
      <c r="E86" s="70" t="n">
        <f aca="false">-E72*Assumptions!$E$99</f>
        <v>-7179.16269885493</v>
      </c>
      <c r="F86" s="70" t="n">
        <f aca="false">-F72*Assumptions!$E$99</f>
        <v>-8366.41090659544</v>
      </c>
      <c r="G86" s="70" t="n">
        <f aca="false">-G72*Assumptions!$E$99</f>
        <v>-9551.60254793171</v>
      </c>
      <c r="H86" s="70" t="n">
        <f aca="false">-H72*Assumptions!$E$99</f>
        <v>-10672.9519024049</v>
      </c>
      <c r="I86" s="70" t="n">
        <f aca="false">-I72*Assumptions!$E$99</f>
        <v>-12204.2128407472</v>
      </c>
      <c r="J86" s="70" t="n">
        <f aca="false">-J72*Assumptions!$E$99</f>
        <v>-13500.3766408144</v>
      </c>
      <c r="K86" s="70" t="n">
        <f aca="false">-K72*Assumptions!$E$99</f>
        <v>-14725.0413942712</v>
      </c>
      <c r="L86" s="70" t="n">
        <f aca="false">-L72*Assumptions!$E$99</f>
        <v>-15898.5972329599</v>
      </c>
      <c r="M86" s="70" t="n">
        <f aca="false">-M72*Assumptions!$E$99</f>
        <v>-17035.0436055491</v>
      </c>
      <c r="N86" s="70" t="n">
        <f aca="false">-N72*Assumptions!$E$99</f>
        <v>-18145.0028073867</v>
      </c>
      <c r="O86" s="70" t="n">
        <f aca="false">-O72*Assumptions!$E$99</f>
        <v>-19237.4825781422</v>
      </c>
      <c r="P86" s="70" t="n">
        <f aca="false">-P72*Assumptions!$E$99</f>
        <v>-20320.3283987169</v>
      </c>
      <c r="Q86" s="70" t="n">
        <f aca="false">-Q72*Assumptions!$E$99</f>
        <v>-21400.5063999308</v>
      </c>
      <c r="R86" s="70" t="n">
        <f aca="false">-R72*Assumptions!$E$99</f>
        <v>-22484.3198555416</v>
      </c>
      <c r="S86" s="70" t="n">
        <f aca="false">-S72*Assumptions!$E$99</f>
        <v>-23577.5876017296</v>
      </c>
      <c r="T86" s="70" t="n">
        <f aca="false">-T72*Assumptions!$E$99</f>
        <v>-24685.7947705876</v>
      </c>
      <c r="U86" s="70" t="n">
        <f aca="false">-U72*Assumptions!$E$99</f>
        <v>-25814.2220722545</v>
      </c>
      <c r="V86" s="70" t="n">
        <f aca="false">-V72*Assumptions!$E$99</f>
        <v>-26968.0582071809</v>
      </c>
      <c r="W86" s="70" t="n">
        <f aca="false">-W72*Assumptions!$E$99</f>
        <v>-28152.4990676609</v>
      </c>
      <c r="X86" s="70" t="n">
        <f aca="false">-X72*Assumptions!$E$99</f>
        <v>-29372.8367537381</v>
      </c>
      <c r="Y86" s="70" t="n">
        <f aca="false">-Y72*Assumptions!$E$99</f>
        <v>-30634.5409466805</v>
      </c>
      <c r="Z86" s="70" t="n">
        <f aca="false">-Z72*Assumptions!$E$99</f>
        <v>-31943.3348003599</v>
      </c>
      <c r="AA86" s="70" t="n">
        <f aca="false">-AA72*Assumptions!$E$99</f>
        <v>-33305.2672018013</v>
      </c>
      <c r="AB86" s="70" t="n">
        <f aca="false">-AB72*Assumptions!$E$99</f>
        <v>-34691.8097809661</v>
      </c>
      <c r="AC86" s="70" t="n">
        <f aca="false">-AC72*Assumptions!$E$99</f>
        <v>-36096.3627499994</v>
      </c>
      <c r="AD86" s="70" t="n">
        <f aca="false">-AD72*Assumptions!$E$99</f>
        <v>-37533.4868687575</v>
      </c>
      <c r="AE86" s="70" t="n">
        <f aca="false">-AE72*Assumptions!$E$99</f>
        <v>-39010.3120021355</v>
      </c>
      <c r="AF86" s="70" t="n">
        <f aca="false">-AF72*Assumptions!$E$99</f>
        <v>-40534.1180687778</v>
      </c>
      <c r="AG86" s="70" t="n">
        <f aca="false">-AG72*Assumptions!$E$99</f>
        <v>-42112.5385910093</v>
      </c>
      <c r="AH86" s="70" t="n">
        <f aca="false">-AH72*Assumptions!$E$99</f>
        <v>-43753.6649548566</v>
      </c>
      <c r="AI86" s="70" t="n">
        <f aca="false">-AI72*Assumptions!$E$99</f>
        <v>-45466.1093535527</v>
      </c>
      <c r="AJ86" s="70" t="n">
        <f aca="false">-AJ72*Assumptions!$E$99</f>
        <v>-47259.0662943521</v>
      </c>
      <c r="AK86" s="70" t="n">
        <f aca="false">-AK72*Assumptions!$E$99</f>
        <v>-49142.3765967147</v>
      </c>
      <c r="AL86" s="70" t="n">
        <f aca="false">-AL72*Assumptions!$E$99</f>
        <v>-51126.5949868491</v>
      </c>
      <c r="AM86" s="70" t="n">
        <f aca="false">SUM(C86:AL86)</f>
        <v>-937576.121479811</v>
      </c>
    </row>
    <row r="87" customFormat="false" ht="15" hidden="false" customHeight="false" outlineLevel="0" collapsed="false">
      <c r="A87" s="38" t="s">
        <v>802</v>
      </c>
      <c r="B87" s="9" t="s">
        <v>95</v>
      </c>
      <c r="C87" s="53" t="n">
        <f aca="false">C75+C76+C77+C78+C79+C80+C81+C82+C83+C84+C85+C86</f>
        <v>-66380</v>
      </c>
      <c r="D87" s="53" t="n">
        <f aca="false">D75+D76+D77+D78+D79+D80+D81+D82+D83+D84+D85+D86</f>
        <v>-289554.5</v>
      </c>
      <c r="E87" s="53" t="n">
        <f aca="false">E75+E76+E77+E78+E79+E80+E81+E82+E83+E84+E85+E86</f>
        <v>-141059.162698855</v>
      </c>
      <c r="F87" s="53" t="n">
        <f aca="false">F75+F76+F77+F78+F79+F80+F81+F82+F83+F84+F85+F86</f>
        <v>-146706.391861099</v>
      </c>
      <c r="G87" s="53" t="n">
        <f aca="false">G75+G76+G77+G78+G79+G80+G81+G82+G83+G84+G85+G86</f>
        <v>-146590.37489959</v>
      </c>
      <c r="H87" s="53" t="n">
        <f aca="false">H75+H76+H77+H78+H79+H80+H81+H82+H83+H84+H85+H86</f>
        <v>-153400.644132477</v>
      </c>
      <c r="I87" s="53" t="n">
        <f aca="false">I75+I76+I77+I78+I79+I80+I81+I82+I83+I84+I85+I86</f>
        <v>-160314.381972291</v>
      </c>
      <c r="J87" s="53" t="n">
        <f aca="false">J75+J76+J77+J78+J79+J80+J81+J82+J83+J84+J85+J86</f>
        <v>-168960.598276401</v>
      </c>
      <c r="K87" s="53" t="n">
        <f aca="false">K75+K76+K77+K78+K79+K80+K81+K82+K83+K84+K85+K86</f>
        <v>-176406.84927018</v>
      </c>
      <c r="L87" s="53" t="n">
        <f aca="false">L75+L76+L77+L78+L79+L80+L81+L82+L83+L84+L85+L86</f>
        <v>-183458.795925461</v>
      </c>
      <c r="M87" s="53" t="n">
        <f aca="false">M75+M76+M77+M78+M79+M80+M81+M82+M83+M84+M85+M86</f>
        <v>-190272.08588103</v>
      </c>
      <c r="N87" s="53" t="n">
        <f aca="false">N75+N76+N77+N78+N79+N80+N81+N82+N83+N84+N85+N86</f>
        <v>-197018.81909091</v>
      </c>
      <c r="O87" s="53" t="n">
        <f aca="false">O75+O76+O77+O78+O79+O80+O81+O82+O83+O84+O85+O86</f>
        <v>-220616.69650278</v>
      </c>
      <c r="P87" s="53" t="n">
        <f aca="false">P75+P76+P77+P78+P79+P80+P81+P82+P83+P84+P85+P86</f>
        <v>-227118.241986302</v>
      </c>
      <c r="Q87" s="53" t="n">
        <f aca="false">Q75+Q76+Q77+Q78+Q79+Q80+Q81+Q82+Q83+Q84+Q85+Q86</f>
        <v>-233569.335257567</v>
      </c>
      <c r="R87" s="53" t="n">
        <f aca="false">R75+R76+R77+R78+R79+R80+R81+R82+R83+R84+R85+R86</f>
        <v>-240010.831599199</v>
      </c>
      <c r="S87" s="53" t="n">
        <f aca="false">S75+S76+S77+S78+S79+S80+S81+S82+S83+S84+S85+S86</f>
        <v>-246479.814085216</v>
      </c>
      <c r="T87" s="53" t="n">
        <f aca="false">T75+T76+T77+T78+T79+T80+T81+T82+T83+T84+T85+T86</f>
        <v>-253010.629275166</v>
      </c>
      <c r="U87" s="53" t="n">
        <f aca="false">U75+U76+U77+U78+U79+U80+U81+U82+U83+U84+U85+U86</f>
        <v>-259978.661519663</v>
      </c>
      <c r="V87" s="53" t="n">
        <f aca="false">V75+V76+V77+V78+V79+V80+V81+V82+V83+V84+V85+V86</f>
        <v>-267293.710721691</v>
      </c>
      <c r="W87" s="53" t="n">
        <f aca="false">W75+W76+W77+W78+W79+W80+W81+W82+W83+W84+W85+W86</f>
        <v>-274778.096878869</v>
      </c>
      <c r="X87" s="53" t="n">
        <f aca="false">X75+X76+X77+X78+X79+X80+X81+X82+X83+X84+X85+X86</f>
        <v>-282465.481663166</v>
      </c>
      <c r="Y87" s="53" t="n">
        <f aca="false">Y75+Y76+Y77+Y78+Y79+Y80+Y81+Y82+Y83+Y84+Y85+Y86</f>
        <v>-290390.22962209</v>
      </c>
      <c r="Z87" s="53" t="n">
        <f aca="false">Z75+Z76+Z77+Z78+Z79+Z80+Z81+Z82+Z83+Z84+Z85+Z86</f>
        <v>-298587.928369236</v>
      </c>
      <c r="AA87" s="53" t="n">
        <f aca="false">AA75+AA76+AA77+AA78+AA79+AA80+AA81+AA82+AA83+AA84+AA85+AA86</f>
        <v>-337095.875211766</v>
      </c>
      <c r="AB87" s="53" t="n">
        <f aca="false">AB75+AB76+AB77+AB78+AB79+AB80+AB81+AB82+AB83+AB84+AB85+AB86</f>
        <v>-345918.568702801</v>
      </c>
      <c r="AC87" s="53" t="n">
        <f aca="false">AC75+AC76+AC77+AC78+AC79+AC80+AC81+AC82+AC83+AC84+AC85+AC86</f>
        <v>-354893.644154074</v>
      </c>
      <c r="AD87" s="53" t="n">
        <f aca="false">AD75+AD76+AD77+AD78+AD79+AD80+AD81+AD82+AD83+AD84+AD85+AD86</f>
        <v>-363999.627483754</v>
      </c>
      <c r="AE87" s="53" t="n">
        <f aca="false">AE75+AE76+AE77+AE78+AE79+AE80+AE81+AE82+AE83+AE84+AE85+AE86</f>
        <v>-373323.150305551</v>
      </c>
      <c r="AF87" s="53" t="n">
        <f aca="false">AF75+AF76+AF77+AF78+AF79+AF80+AF81+AF82+AF83+AF84+AF85+AF86</f>
        <v>-382910.421600438</v>
      </c>
      <c r="AG87" s="53" t="n">
        <f aca="false">AG75+AG76+AG77+AG78+AG79+AG80+AG81+AG82+AG83+AG84+AG85+AG86</f>
        <v>-392808.823246536</v>
      </c>
      <c r="AH87" s="53" t="n">
        <f aca="false">AH75+AH76+AH77+AH78+AH79+AH80+AH81+AH82+AH83+AH84+AH85+AH86</f>
        <v>-403068.125661767</v>
      </c>
      <c r="AI87" s="53" t="n">
        <f aca="false">AI75+AI76+AI77+AI78+AI79+AI80+AI81+AI82+AI83+AI84+AI85+AI86</f>
        <v>-413741.12000707</v>
      </c>
      <c r="AJ87" s="53" t="n">
        <f aca="false">AJ75+AJ76+AJ77+AJ78+AJ79+AJ80+AJ81+AJ82+AJ83+AJ84+AJ85+AJ86</f>
        <v>-424884.02336475</v>
      </c>
      <c r="AK87" s="53" t="n">
        <f aca="false">AK75+AK76+AK77+AK78+AK79+AK80+AK81+AK82+AK83+AK84+AK85+AK86</f>
        <v>-436556.878563877</v>
      </c>
      <c r="AL87" s="53" t="n">
        <f aca="false">AL75+AL76+AL77+AL78+AL79+AL80+AL81+AL82+AL83+AL84+AL85+AL86</f>
        <v>-448823.971204911</v>
      </c>
      <c r="AM87" s="53" t="n">
        <f aca="false">SUM(C87:AL87)</f>
        <v>-9792446.49099653</v>
      </c>
    </row>
    <row r="88" customFormat="false" ht="15" hidden="false" customHeight="false" outlineLevel="0" collapsed="false">
      <c r="A88" s="38" t="s">
        <v>803</v>
      </c>
      <c r="B88" s="9" t="s">
        <v>95</v>
      </c>
      <c r="C88" s="53" t="n">
        <f aca="false">C73+C87</f>
        <v>-66380</v>
      </c>
      <c r="D88" s="53" t="n">
        <f aca="false">D73+D87</f>
        <v>-221025.71</v>
      </c>
      <c r="E88" s="53" t="n">
        <f aca="false">E73+E87</f>
        <v>-54359.1304553687</v>
      </c>
      <c r="F88" s="53" t="n">
        <f aca="false">F73+F87</f>
        <v>-45668.4121145508</v>
      </c>
      <c r="G88" s="53" t="n">
        <f aca="false">G73+G87</f>
        <v>-31239.2840245036</v>
      </c>
      <c r="H88" s="53" t="n">
        <f aca="false">H73+H87</f>
        <v>-24507.4412775994</v>
      </c>
      <c r="I88" s="53" t="n">
        <f aca="false">I73+I87</f>
        <v>-14454.1102207267</v>
      </c>
      <c r="J88" s="53" t="n">
        <f aca="false">J73+J87</f>
        <v>-8230.64217555401</v>
      </c>
      <c r="K88" s="53" t="n">
        <f aca="false">K73+K87</f>
        <v>-1652.78741492479</v>
      </c>
      <c r="L88" s="53" t="n">
        <f aca="false">L73+L87</f>
        <v>4711.99087482577</v>
      </c>
      <c r="M88" s="53" t="n">
        <f aca="false">M73+M87</f>
        <v>10869.7932960673</v>
      </c>
      <c r="N88" s="53" t="n">
        <f aca="false">N73+N87</f>
        <v>16770.3898959698</v>
      </c>
      <c r="O88" s="53" t="n">
        <f aca="false">O73+O87</f>
        <v>5599.00211021674</v>
      </c>
      <c r="P88" s="53" t="n">
        <f aca="false">P73+P87</f>
        <v>11392.4132044499</v>
      </c>
      <c r="Q88" s="53" t="n">
        <f aca="false">Q73+Q87</f>
        <v>17183.753340198</v>
      </c>
      <c r="R88" s="53" t="n">
        <f aca="false">R73+R87</f>
        <v>23003.4015540334</v>
      </c>
      <c r="S88" s="53" t="n">
        <f aca="false">S73+S87</f>
        <v>28879.7981433968</v>
      </c>
      <c r="T88" s="53" t="n">
        <f aca="false">T73+T87</f>
        <v>34840.1421694641</v>
      </c>
      <c r="U88" s="53" t="n">
        <f aca="false">U73+U87</f>
        <v>40568.0943473388</v>
      </c>
      <c r="V88" s="53" t="n">
        <f aca="false">V73+V87</f>
        <v>46211.6755308186</v>
      </c>
      <c r="W88" s="53" t="n">
        <f aca="false">W73+W87</f>
        <v>52006.281077949</v>
      </c>
      <c r="X88" s="53" t="n">
        <f aca="false">X73+X87</f>
        <v>57976.8566038164</v>
      </c>
      <c r="Y88" s="53" t="n">
        <f aca="false">Y73+Y87</f>
        <v>64149.4423668554</v>
      </c>
      <c r="Z88" s="53" t="n">
        <f aca="false">Z73+Z87</f>
        <v>70551.4920655343</v>
      </c>
      <c r="AA88" s="53" t="n">
        <f aca="false">AA73+AA87</f>
        <v>47212.1799787439</v>
      </c>
      <c r="AB88" s="53" t="n">
        <f aca="false">AB73+AB87</f>
        <v>53879.0559949763</v>
      </c>
      <c r="AC88" s="53" t="n">
        <f aca="false">AC73+AC87</f>
        <v>60650.6301623673</v>
      </c>
      <c r="AD88" s="53" t="n">
        <f aca="false">AD73+AD87</f>
        <v>67682.3855502076</v>
      </c>
      <c r="AE88" s="53" t="n">
        <f aca="false">AE73+AE87</f>
        <v>74965.1482244695</v>
      </c>
      <c r="AF88" s="53" t="n">
        <f aca="false">AF73+AF87</f>
        <v>82532.0753737962</v>
      </c>
      <c r="AG88" s="53" t="n">
        <f aca="false">AG73+AG87</f>
        <v>90419.4034869318</v>
      </c>
      <c r="AH88" s="53" t="n">
        <f aca="false">AH73+AH87</f>
        <v>98666.3910485501</v>
      </c>
      <c r="AI88" s="53" t="n">
        <f aca="false">AI73+AI87</f>
        <v>107315.368325757</v>
      </c>
      <c r="AJ88" s="53" t="n">
        <f aca="false">AJ73+AJ87</f>
        <v>116412.000407282</v>
      </c>
      <c r="AK88" s="53" t="n">
        <f aca="false">AK73+AK87</f>
        <v>126005.585967235</v>
      </c>
      <c r="AL88" s="53" t="n">
        <f aca="false">AL73+AL87</f>
        <v>136149.381425019</v>
      </c>
      <c r="AM88" s="53" t="n">
        <f aca="false">SUM(C88:AL88)</f>
        <v>1079086.61484304</v>
      </c>
    </row>
    <row r="89" customFormat="false" ht="15" hidden="false" customHeight="false" outlineLevel="0" collapsed="false">
      <c r="A89" s="38" t="s">
        <v>804</v>
      </c>
      <c r="B89" s="9" t="s">
        <v>59</v>
      </c>
      <c r="C89" s="52" t="n">
        <f aca="false">IFERROR(C88/C72,0)</f>
        <v>0</v>
      </c>
      <c r="D89" s="52" t="n">
        <f aca="false">IFERROR(D88/D72,0)</f>
        <v>-1.94753467265838</v>
      </c>
      <c r="E89" s="52" t="n">
        <f aca="false">IFERROR(E88/E72,0)</f>
        <v>-0.378589626225067</v>
      </c>
      <c r="F89" s="52" t="n">
        <f aca="false">IFERROR(F88/F72,0)</f>
        <v>-0.27292714058874</v>
      </c>
      <c r="G89" s="52" t="n">
        <f aca="false">IFERROR(G88/G72,0)</f>
        <v>-0.163529019699779</v>
      </c>
      <c r="H89" s="52" t="n">
        <f aca="false">IFERROR(H88/H72,0)</f>
        <v>-0.114810979669445</v>
      </c>
      <c r="I89" s="52" t="n">
        <f aca="false">IFERROR(I88/I72,0)</f>
        <v>-0.0592177078904573</v>
      </c>
      <c r="J89" s="52" t="n">
        <f aca="false">IFERROR(J88/J72,0)</f>
        <v>-0.0304830094542367</v>
      </c>
      <c r="K89" s="52" t="n">
        <f aca="false">IFERROR(K88/K72,0)</f>
        <v>-0.00561216559828422</v>
      </c>
      <c r="L89" s="52" t="n">
        <f aca="false">IFERROR(L88/L72,0)</f>
        <v>0.0148188887540883</v>
      </c>
      <c r="M89" s="52" t="n">
        <f aca="false">IFERROR(M88/M72,0)</f>
        <v>0.0319042133021795</v>
      </c>
      <c r="N89" s="52" t="n">
        <f aca="false">IFERROR(N88/N72,0)</f>
        <v>0.0462121446714318</v>
      </c>
      <c r="O89" s="52" t="n">
        <f aca="false">IFERROR(O88/O72,0)</f>
        <v>0.0145523253561731</v>
      </c>
      <c r="P89" s="52" t="n">
        <f aca="false">IFERROR(P88/P72,0)</f>
        <v>0.0280320597701789</v>
      </c>
      <c r="Q89" s="52" t="n">
        <f aca="false">IFERROR(Q88/Q72,0)</f>
        <v>0.0401480063580494</v>
      </c>
      <c r="R89" s="52" t="n">
        <f aca="false">IFERROR(R88/R72,0)</f>
        <v>0.0511543193252604</v>
      </c>
      <c r="S89" s="52" t="n">
        <f aca="false">IFERROR(S88/S72,0)</f>
        <v>0.0612441752549745</v>
      </c>
      <c r="T89" s="52" t="n">
        <f aca="false">IFERROR(T88/T72,0)</f>
        <v>0.0705671875125834</v>
      </c>
      <c r="U89" s="52" t="n">
        <f aca="false">IFERROR(U88/U72,0)</f>
        <v>0.0785770228399444</v>
      </c>
      <c r="V89" s="52" t="n">
        <f aca="false">IFERROR(V88/V72,0)</f>
        <v>0.0856785371341895</v>
      </c>
      <c r="W89" s="52" t="n">
        <f aca="false">IFERROR(W88/W72,0)</f>
        <v>0.0923653011282564</v>
      </c>
      <c r="X89" s="52" t="n">
        <f aca="false">IFERROR(X88/X72,0)</f>
        <v>0.0986912791057508</v>
      </c>
      <c r="Y89" s="52" t="n">
        <f aca="false">IFERROR(Y88/Y72,0)</f>
        <v>0.104701164738371</v>
      </c>
      <c r="Z89" s="52" t="n">
        <f aca="false">IFERROR(Z88/Z72,0)</f>
        <v>0.110432258413952</v>
      </c>
      <c r="AA89" s="52" t="n">
        <f aca="false">IFERROR(AA88/AA72,0)</f>
        <v>0.0708779480625071</v>
      </c>
      <c r="AB89" s="52" t="n">
        <f aca="false">IFERROR(AB88/AB72,0)</f>
        <v>0.0776538559607482</v>
      </c>
      <c r="AC89" s="52" t="n">
        <f aca="false">IFERROR(AC88/AC72,0)</f>
        <v>0.0840121075112592</v>
      </c>
      <c r="AD89" s="52" t="n">
        <f aca="false">IFERROR(AD88/AD72,0)</f>
        <v>0.0901626669897085</v>
      </c>
      <c r="AE89" s="52" t="n">
        <f aca="false">IFERROR(AE88/AE72,0)</f>
        <v>0.0960837588537689</v>
      </c>
      <c r="AF89" s="52" t="n">
        <f aca="false">IFERROR(AF88/AF72,0)</f>
        <v>0.101805687783507</v>
      </c>
      <c r="AG89" s="52" t="n">
        <f aca="false">IFERROR(AG88/AG72,0)</f>
        <v>0.107354491693165</v>
      </c>
      <c r="AH89" s="52" t="n">
        <f aca="false">IFERROR(AH88/AH72,0)</f>
        <v>0.112752144477897</v>
      </c>
      <c r="AI89" s="52" t="n">
        <f aca="false">IFERROR(AI88/AI72,0)</f>
        <v>0.118016880981891</v>
      </c>
      <c r="AJ89" s="52" t="n">
        <f aca="false">IFERROR(AJ88/AJ72,0)</f>
        <v>0.123163669466312</v>
      </c>
      <c r="AK89" s="52" t="n">
        <f aca="false">IFERROR(AK88/AK72,0)</f>
        <v>0.128204611471374</v>
      </c>
      <c r="AL89" s="52" t="n">
        <f aca="false">IFERROR(AL88/AL72,0)</f>
        <v>0.133149275303822</v>
      </c>
      <c r="AM89" s="52" t="n">
        <f aca="false">AVERAGE(N89:AL89)</f>
        <v>0.085023715206603</v>
      </c>
    </row>
    <row r="90" customFormat="false" ht="15" hidden="false" customHeight="false" outlineLevel="0" collapsed="false">
      <c r="A90" s="10" t="s">
        <v>805</v>
      </c>
      <c r="B90" s="9" t="s">
        <v>95</v>
      </c>
      <c r="C90" s="70" t="n">
        <f aca="false">-C43*Assumptions!$E$102</f>
        <v>0</v>
      </c>
      <c r="D90" s="70" t="n">
        <f aca="false">-D43*Assumptions!$E$102</f>
        <v>60840</v>
      </c>
      <c r="E90" s="70" t="n">
        <f aca="false">-E43*Assumptions!$E$102</f>
        <v>76972.4660495786</v>
      </c>
      <c r="F90" s="70" t="n">
        <f aca="false">-F43*Assumptions!$E$102</f>
        <v>89701.725184116</v>
      </c>
      <c r="G90" s="70" t="n">
        <f aca="false">-G43*Assumptions!$E$102</f>
        <v>102408.934534526</v>
      </c>
      <c r="H90" s="70" t="n">
        <f aca="false">-H43*Assumptions!$E$102</f>
        <v>114431.649262898</v>
      </c>
      <c r="I90" s="70" t="n">
        <f aca="false">-I43*Assumptions!$E$102</f>
        <v>125335.630526326</v>
      </c>
      <c r="J90" s="70" t="n">
        <f aca="false">-J43*Assumptions!$E$102</f>
        <v>135915.801076284</v>
      </c>
      <c r="K90" s="70" t="n">
        <f aca="false">-K43*Assumptions!$E$102</f>
        <v>145809.877867326</v>
      </c>
      <c r="L90" s="70" t="n">
        <f aca="false">-L43*Assumptions!$E$102</f>
        <v>155204.422674161</v>
      </c>
      <c r="M90" s="70" t="n">
        <f aca="false">-M43*Assumptions!$E$102</f>
        <v>164219.178833271</v>
      </c>
      <c r="N90" s="70" t="n">
        <f aca="false">-N43*Assumptions!$E$102</f>
        <v>172940.765548982</v>
      </c>
      <c r="O90" s="70" t="n">
        <f aca="false">-O43*Assumptions!$E$102</f>
        <v>181440.683044218</v>
      </c>
      <c r="P90" s="70" t="n">
        <f aca="false">-P43*Assumptions!$E$102</f>
        <v>189779.757707022</v>
      </c>
      <c r="Q90" s="70" t="n">
        <f aca="false">-Q43*Assumptions!$E$102</f>
        <v>198010.807275737</v>
      </c>
      <c r="R90" s="70" t="n">
        <f aca="false">-R43*Assumptions!$E$102</f>
        <v>206180.589930495</v>
      </c>
      <c r="S90" s="70" t="n">
        <f aca="false">-S43*Assumptions!$E$102</f>
        <v>214331.345505972</v>
      </c>
      <c r="T90" s="70" t="n">
        <f aca="false">-T43*Assumptions!$E$102</f>
        <v>222502.047056757</v>
      </c>
      <c r="U90" s="70" t="n">
        <f aca="false">-U43*Assumptions!$E$102</f>
        <v>230729.432860751</v>
      </c>
      <c r="V90" s="70" t="n">
        <f aca="false">-V43*Assumptions!$E$102</f>
        <v>239048.868291662</v>
      </c>
      <c r="W90" s="70" t="n">
        <f aca="false">-W43*Assumptions!$E$102</f>
        <v>247495.07520847</v>
      </c>
      <c r="X90" s="70" t="n">
        <f aca="false">-X43*Assumptions!$E$102</f>
        <v>256102.758558574</v>
      </c>
      <c r="Y90" s="70" t="n">
        <f aca="false">-Y43*Assumptions!$E$102</f>
        <v>264907.154046916</v>
      </c>
      <c r="Z90" s="70" t="n">
        <f aca="false">-Z43*Assumptions!$E$102</f>
        <v>273944.516236552</v>
      </c>
      <c r="AA90" s="70" t="n">
        <f aca="false">-AA43*Assumptions!$E$102</f>
        <v>283252.562927656</v>
      </c>
      <c r="AB90" s="70" t="n">
        <f aca="false">-AB43*Assumptions!$E$102</f>
        <v>292870.888877465</v>
      </c>
      <c r="AC90" s="70" t="n">
        <f aca="false">-AC43*Assumptions!$E$102</f>
        <v>302815.052978831</v>
      </c>
      <c r="AD90" s="70" t="n">
        <f aca="false">-AD43*Assumptions!$E$102</f>
        <v>313108.154831559</v>
      </c>
      <c r="AE90" s="70" t="n">
        <f aca="false">-AE43*Assumptions!$E$102</f>
        <v>323790.35323493</v>
      </c>
      <c r="AF90" s="70" t="n">
        <f aca="false">-AF43*Assumptions!$E$102</f>
        <v>334903.765953797</v>
      </c>
      <c r="AG90" s="70" t="n">
        <f aca="false">-AG43*Assumptions!$E$102</f>
        <v>346494.267851841</v>
      </c>
      <c r="AH90" s="70" t="n">
        <f aca="false">-AH43*Assumptions!$E$102</f>
        <v>358612.221539174</v>
      </c>
      <c r="AI90" s="70" t="n">
        <f aca="false">-AI43*Assumptions!$E$102</f>
        <v>371312.827317173</v>
      </c>
      <c r="AJ90" s="70" t="n">
        <f aca="false">-AJ43*Assumptions!$E$102</f>
        <v>384656.469005754</v>
      </c>
      <c r="AK90" s="70" t="n">
        <f aca="false">-AK43*Assumptions!$E$102</f>
        <v>398709.087898904</v>
      </c>
      <c r="AL90" s="70" t="n">
        <f aca="false">-AL43*Assumptions!$E$102</f>
        <v>413542.592522393</v>
      </c>
      <c r="AM90" s="70" t="n">
        <f aca="false">AL90</f>
        <v>413542.592522393</v>
      </c>
    </row>
    <row r="91" customFormat="false" ht="15" hidden="false" customHeight="false" outlineLevel="0" collapsed="false">
      <c r="A91" s="10" t="s">
        <v>806</v>
      </c>
      <c r="B91" s="9" t="s">
        <v>95</v>
      </c>
      <c r="C91" s="70" t="n">
        <f aca="false">-C90</f>
        <v>-0</v>
      </c>
      <c r="D91" s="70" t="n">
        <f aca="false">-(D90-C90)</f>
        <v>-60840</v>
      </c>
      <c r="E91" s="70" t="n">
        <f aca="false">-(E90-D90)</f>
        <v>-16132.4660495786</v>
      </c>
      <c r="F91" s="70" t="n">
        <f aca="false">-(F90-E90)</f>
        <v>-12729.2591345374</v>
      </c>
      <c r="G91" s="70" t="n">
        <f aca="false">-(G90-F90)</f>
        <v>-12707.2093504095</v>
      </c>
      <c r="H91" s="70" t="n">
        <f aca="false">-(H90-G90)</f>
        <v>-12022.714728372</v>
      </c>
      <c r="I91" s="70" t="n">
        <f aca="false">-(I90-H90)</f>
        <v>-10903.9812634286</v>
      </c>
      <c r="J91" s="70" t="n">
        <f aca="false">-(J90-I90)</f>
        <v>-10580.1705499583</v>
      </c>
      <c r="K91" s="70" t="n">
        <f aca="false">-(K90-J90)</f>
        <v>-9894.07679104124</v>
      </c>
      <c r="L91" s="70" t="n">
        <f aca="false">-(L90-K90)</f>
        <v>-9394.54480683577</v>
      </c>
      <c r="M91" s="70" t="n">
        <f aca="false">-(M90-L90)</f>
        <v>-9014.75615910927</v>
      </c>
      <c r="N91" s="70" t="n">
        <f aca="false">-(N90-M90)</f>
        <v>-8721.58671571134</v>
      </c>
      <c r="O91" s="70" t="n">
        <f aca="false">-(O90-N90)</f>
        <v>-8499.91749523557</v>
      </c>
      <c r="P91" s="70" t="n">
        <f aca="false">-(P90-O90)</f>
        <v>-8339.0746628049</v>
      </c>
      <c r="Q91" s="70" t="n">
        <f aca="false">-(Q90-P90)</f>
        <v>-8231.04956871457</v>
      </c>
      <c r="R91" s="70" t="n">
        <f aca="false">-(R90-Q90)</f>
        <v>-8169.78265475761</v>
      </c>
      <c r="S91" s="70" t="n">
        <f aca="false">-(S90-R90)</f>
        <v>-8150.755575477</v>
      </c>
      <c r="T91" s="70" t="n">
        <f aca="false">-(T90-S90)</f>
        <v>-8170.70155078539</v>
      </c>
      <c r="U91" s="70" t="n">
        <f aca="false">-(U90-T90)</f>
        <v>-8227.38580399405</v>
      </c>
      <c r="V91" s="70" t="n">
        <f aca="false">-(V90-U90)</f>
        <v>-8319.43543091041</v>
      </c>
      <c r="W91" s="70" t="n">
        <f aca="false">-(W90-V90)</f>
        <v>-8446.20691680841</v>
      </c>
      <c r="X91" s="70" t="n">
        <f aca="false">-(X90-W90)</f>
        <v>-8607.68335010408</v>
      </c>
      <c r="Y91" s="70" t="n">
        <f aca="false">-(Y90-X90)</f>
        <v>-8804.39548834215</v>
      </c>
      <c r="Z91" s="70" t="n">
        <f aca="false">-(Z90-Y90)</f>
        <v>-9037.36218963604</v>
      </c>
      <c r="AA91" s="70" t="n">
        <f aca="false">-(AA90-Z90)</f>
        <v>-9308.04669110425</v>
      </c>
      <c r="AB91" s="70" t="n">
        <f aca="false">-(AB90-AA90)</f>
        <v>-9618.32594980841</v>
      </c>
      <c r="AC91" s="70" t="n">
        <f aca="false">-(AC90-AB90)</f>
        <v>-9944.16410136595</v>
      </c>
      <c r="AD91" s="70" t="n">
        <f aca="false">-(AD90-AC90)</f>
        <v>-10293.1018527279</v>
      </c>
      <c r="AE91" s="70" t="n">
        <f aca="false">-(AE90-AD90)</f>
        <v>-10682.1984033717</v>
      </c>
      <c r="AF91" s="70" t="n">
        <f aca="false">-(AF90-AE90)</f>
        <v>-11113.4127188662</v>
      </c>
      <c r="AG91" s="70" t="n">
        <f aca="false">-(AG90-AF90)</f>
        <v>-11590.5018980443</v>
      </c>
      <c r="AH91" s="70" t="n">
        <f aca="false">-(AH90-AG90)</f>
        <v>-12117.9536873332</v>
      </c>
      <c r="AI91" s="70" t="n">
        <f aca="false">-(AI90-AH90)</f>
        <v>-12700.6057779986</v>
      </c>
      <c r="AJ91" s="70" t="n">
        <f aca="false">-(AJ90-AI90)</f>
        <v>-13343.6416885811</v>
      </c>
      <c r="AK91" s="70" t="n">
        <f aca="false">-(AK90-AJ90)</f>
        <v>-14052.6188931504</v>
      </c>
      <c r="AL91" s="70" t="n">
        <f aca="false">-(AL90-AK90)</f>
        <v>-14833.5046234891</v>
      </c>
      <c r="AM91" s="70" t="n">
        <f aca="false">SUM(C91:AL91)</f>
        <v>-413542.592522393</v>
      </c>
    </row>
    <row r="92" customFormat="false" ht="15" hidden="false" customHeight="false" outlineLevel="0" collapsed="false">
      <c r="A92" s="10" t="s">
        <v>807</v>
      </c>
      <c r="B92" s="9" t="s">
        <v>95</v>
      </c>
      <c r="C92" s="70" t="n">
        <f aca="false">C88+C91</f>
        <v>-66380</v>
      </c>
      <c r="D92" s="70" t="n">
        <f aca="false">D88+D91</f>
        <v>-281865.71</v>
      </c>
      <c r="E92" s="70" t="n">
        <f aca="false">E88+E91</f>
        <v>-70491.5965049473</v>
      </c>
      <c r="F92" s="70" t="n">
        <f aca="false">F88+F91</f>
        <v>-58397.6712490882</v>
      </c>
      <c r="G92" s="70" t="n">
        <f aca="false">G88+G91</f>
        <v>-43946.4933749131</v>
      </c>
      <c r="H92" s="70" t="n">
        <f aca="false">H88+H91</f>
        <v>-36530.1560059714</v>
      </c>
      <c r="I92" s="70" t="n">
        <f aca="false">I88+I91</f>
        <v>-25358.0914841553</v>
      </c>
      <c r="J92" s="70" t="n">
        <f aca="false">J88+J91</f>
        <v>-18810.8127255123</v>
      </c>
      <c r="K92" s="70" t="n">
        <f aca="false">K88+K91</f>
        <v>-11546.864205966</v>
      </c>
      <c r="L92" s="70" t="n">
        <f aca="false">L88+L91</f>
        <v>-4682.55393200999</v>
      </c>
      <c r="M92" s="70" t="n">
        <f aca="false">M88+M91</f>
        <v>1855.03713695807</v>
      </c>
      <c r="N92" s="70" t="n">
        <f aca="false">N88+N91</f>
        <v>8048.80318025849</v>
      </c>
      <c r="O92" s="70" t="n">
        <f aca="false">O88+O91</f>
        <v>-2900.91538501883</v>
      </c>
      <c r="P92" s="70" t="n">
        <f aca="false">P88+P91</f>
        <v>3053.338541645</v>
      </c>
      <c r="Q92" s="70" t="n">
        <f aca="false">Q88+Q91</f>
        <v>8952.70377148344</v>
      </c>
      <c r="R92" s="70" t="n">
        <f aca="false">R88+R91</f>
        <v>14833.6188992758</v>
      </c>
      <c r="S92" s="70" t="n">
        <f aca="false">S88+S91</f>
        <v>20729.0425679198</v>
      </c>
      <c r="T92" s="70" t="n">
        <f aca="false">T88+T91</f>
        <v>26669.4406186787</v>
      </c>
      <c r="U92" s="70" t="n">
        <f aca="false">U88+U91</f>
        <v>32340.7085433448</v>
      </c>
      <c r="V92" s="70" t="n">
        <f aca="false">V88+V91</f>
        <v>37892.2400999082</v>
      </c>
      <c r="W92" s="70" t="n">
        <f aca="false">W88+W91</f>
        <v>43560.0741611406</v>
      </c>
      <c r="X92" s="70" t="n">
        <f aca="false">X88+X91</f>
        <v>49369.1732537124</v>
      </c>
      <c r="Y92" s="70" t="n">
        <f aca="false">Y88+Y91</f>
        <v>55345.0468785132</v>
      </c>
      <c r="Z92" s="70" t="n">
        <f aca="false">Z88+Z91</f>
        <v>61514.1298758983</v>
      </c>
      <c r="AA92" s="70" t="n">
        <f aca="false">AA88+AA91</f>
        <v>37904.1332876397</v>
      </c>
      <c r="AB92" s="70" t="n">
        <f aca="false">AB88+AB91</f>
        <v>44260.7300451679</v>
      </c>
      <c r="AC92" s="70" t="n">
        <f aca="false">AC88+AC91</f>
        <v>50706.4660610013</v>
      </c>
      <c r="AD92" s="70" t="n">
        <f aca="false">AD88+AD91</f>
        <v>57389.2836974797</v>
      </c>
      <c r="AE92" s="70" t="n">
        <f aca="false">AE88+AE91</f>
        <v>64282.9498210978</v>
      </c>
      <c r="AF92" s="70" t="n">
        <f aca="false">AF88+AF91</f>
        <v>71418.66265493</v>
      </c>
      <c r="AG92" s="70" t="n">
        <f aca="false">AG88+AG91</f>
        <v>78828.9015888875</v>
      </c>
      <c r="AH92" s="70" t="n">
        <f aca="false">AH88+AH91</f>
        <v>86548.4373612169</v>
      </c>
      <c r="AI92" s="70" t="n">
        <f aca="false">AI88+AI91</f>
        <v>94614.7625477586</v>
      </c>
      <c r="AJ92" s="70" t="n">
        <f aca="false">AJ88+AJ91</f>
        <v>103068.358718701</v>
      </c>
      <c r="AK92" s="70" t="n">
        <f aca="false">AK88+AK91</f>
        <v>111952.967074085</v>
      </c>
      <c r="AL92" s="70" t="n">
        <f aca="false">AL88+AL91</f>
        <v>121315.87680153</v>
      </c>
      <c r="AM92" s="70" t="n">
        <f aca="false">SUM(C92:AL92)</f>
        <v>665544.02232065</v>
      </c>
    </row>
    <row r="93" customFormat="false" ht="15" hidden="false" customHeight="false" outlineLevel="0" collapsed="false">
      <c r="A93" s="38" t="s">
        <v>808</v>
      </c>
      <c r="B93" s="9" t="s">
        <v>95</v>
      </c>
      <c r="C93" s="53" t="n">
        <f aca="false">C92</f>
        <v>-66380</v>
      </c>
      <c r="D93" s="53" t="n">
        <f aca="false">C93+D92</f>
        <v>-348245.71</v>
      </c>
      <c r="E93" s="53" t="n">
        <f aca="false">D93+E92</f>
        <v>-418737.306504947</v>
      </c>
      <c r="F93" s="53" t="n">
        <f aca="false">E93+F92</f>
        <v>-477134.977754036</v>
      </c>
      <c r="G93" s="53" t="n">
        <f aca="false">F93+G92</f>
        <v>-521081.471128949</v>
      </c>
      <c r="H93" s="53" t="n">
        <f aca="false">G93+H92</f>
        <v>-557611.62713492</v>
      </c>
      <c r="I93" s="53" t="n">
        <f aca="false">H93+I92</f>
        <v>-582969.718619075</v>
      </c>
      <c r="J93" s="53" t="n">
        <f aca="false">I93+J92</f>
        <v>-601780.531344588</v>
      </c>
      <c r="K93" s="53" t="n">
        <f aca="false">J93+K92</f>
        <v>-613327.395550554</v>
      </c>
      <c r="L93" s="53" t="n">
        <f aca="false">K93+L92</f>
        <v>-618009.949482564</v>
      </c>
      <c r="M93" s="53" t="n">
        <f aca="false">L93+M92</f>
        <v>-616154.912345606</v>
      </c>
      <c r="N93" s="53" t="n">
        <f aca="false">M93+N92</f>
        <v>-608106.109165347</v>
      </c>
      <c r="O93" s="53" t="n">
        <f aca="false">N93+O92</f>
        <v>-611007.024550366</v>
      </c>
      <c r="P93" s="53" t="n">
        <f aca="false">O93+P92</f>
        <v>-607953.686008721</v>
      </c>
      <c r="Q93" s="53" t="n">
        <f aca="false">P93+Q92</f>
        <v>-599000.982237238</v>
      </c>
      <c r="R93" s="53" t="n">
        <f aca="false">Q93+R92</f>
        <v>-584167.363337962</v>
      </c>
      <c r="S93" s="53" t="n">
        <f aca="false">R93+S92</f>
        <v>-563438.320770042</v>
      </c>
      <c r="T93" s="53" t="n">
        <f aca="false">S93+T92</f>
        <v>-536768.880151363</v>
      </c>
      <c r="U93" s="53" t="n">
        <f aca="false">T93+U92</f>
        <v>-504428.171608019</v>
      </c>
      <c r="V93" s="53" t="n">
        <f aca="false">U93+V92</f>
        <v>-466535.93150811</v>
      </c>
      <c r="W93" s="53" t="n">
        <f aca="false">V93+W92</f>
        <v>-422975.85734697</v>
      </c>
      <c r="X93" s="53" t="n">
        <f aca="false">W93+X92</f>
        <v>-373606.684093257</v>
      </c>
      <c r="Y93" s="53" t="n">
        <f aca="false">X93+Y92</f>
        <v>-318261.637214744</v>
      </c>
      <c r="Z93" s="53" t="n">
        <f aca="false">Y93+Z92</f>
        <v>-256747.507338846</v>
      </c>
      <c r="AA93" s="53" t="n">
        <f aca="false">Z93+AA92</f>
        <v>-218843.374051206</v>
      </c>
      <c r="AB93" s="53" t="n">
        <f aca="false">AA93+AB92</f>
        <v>-174582.644006038</v>
      </c>
      <c r="AC93" s="53" t="n">
        <f aca="false">AB93+AC92</f>
        <v>-123876.177945037</v>
      </c>
      <c r="AD93" s="53" t="n">
        <f aca="false">AC93+AD92</f>
        <v>-66486.8942475573</v>
      </c>
      <c r="AE93" s="53" t="n">
        <f aca="false">AD93+AE92</f>
        <v>-2203.94442645955</v>
      </c>
      <c r="AF93" s="53" t="n">
        <f aca="false">AE93+AF92</f>
        <v>69214.7182284704</v>
      </c>
      <c r="AG93" s="53" t="n">
        <f aca="false">AF93+AG92</f>
        <v>148043.619817358</v>
      </c>
      <c r="AH93" s="53" t="n">
        <f aca="false">AG93+AH92</f>
        <v>234592.057178575</v>
      </c>
      <c r="AI93" s="53" t="n">
        <f aca="false">AH93+AI92</f>
        <v>329206.819726333</v>
      </c>
      <c r="AJ93" s="53" t="n">
        <f aca="false">AI93+AJ92</f>
        <v>432275.178445035</v>
      </c>
      <c r="AK93" s="53" t="n">
        <f aca="false">AJ93+AK92</f>
        <v>544228.145519119</v>
      </c>
      <c r="AL93" s="53" t="n">
        <f aca="false">AK93+AL92</f>
        <v>665544.022320649</v>
      </c>
      <c r="AM93" s="53" t="n">
        <f aca="false">AL93</f>
        <v>665544.022320649</v>
      </c>
    </row>
    <row r="94" customFormat="false" ht="15" hidden="false" customHeight="false" outlineLevel="0" collapsed="false">
      <c r="A94" s="10" t="s">
        <v>809</v>
      </c>
      <c r="B94" s="9" t="s">
        <v>49</v>
      </c>
      <c r="C94" s="69" t="n">
        <f aca="false">IF(C88&gt;0,C$5,999)</f>
        <v>999</v>
      </c>
      <c r="D94" s="69" t="n">
        <f aca="false">IF(D88&gt;0,D$5,999)</f>
        <v>999</v>
      </c>
      <c r="E94" s="69" t="n">
        <f aca="false">IF(E88&gt;0,E$5,999)</f>
        <v>999</v>
      </c>
      <c r="F94" s="69" t="n">
        <f aca="false">IF(F88&gt;0,F$5,999)</f>
        <v>999</v>
      </c>
      <c r="G94" s="69" t="n">
        <f aca="false">IF(G88&gt;0,G$5,999)</f>
        <v>999</v>
      </c>
      <c r="H94" s="69" t="n">
        <f aca="false">IF(H88&gt;0,H$5,999)</f>
        <v>999</v>
      </c>
      <c r="I94" s="69" t="n">
        <f aca="false">IF(I88&gt;0,I$5,999)</f>
        <v>999</v>
      </c>
      <c r="J94" s="69" t="n">
        <f aca="false">IF(J88&gt;0,J$5,999)</f>
        <v>999</v>
      </c>
      <c r="K94" s="69" t="n">
        <f aca="false">IF(K88&gt;0,K$5,999)</f>
        <v>999</v>
      </c>
      <c r="L94" s="69" t="n">
        <f aca="false">IF(L88&gt;0,L$5,999)</f>
        <v>10</v>
      </c>
      <c r="M94" s="69" t="n">
        <f aca="false">IF(M88&gt;0,M$5,999)</f>
        <v>11</v>
      </c>
      <c r="N94" s="69" t="n">
        <f aca="false">IF(N88&gt;0,N$5,999)</f>
        <v>12</v>
      </c>
      <c r="O94" s="69" t="n">
        <f aca="false">IF(O88&gt;0,O$5,999)</f>
        <v>13</v>
      </c>
      <c r="P94" s="69" t="n">
        <f aca="false">IF(P88&gt;0,P$5,999)</f>
        <v>14</v>
      </c>
      <c r="Q94" s="69" t="n">
        <f aca="false">IF(Q88&gt;0,Q$5,999)</f>
        <v>15</v>
      </c>
      <c r="R94" s="69" t="n">
        <f aca="false">IF(R88&gt;0,R$5,999)</f>
        <v>16</v>
      </c>
      <c r="S94" s="69" t="n">
        <f aca="false">IF(S88&gt;0,S$5,999)</f>
        <v>17</v>
      </c>
      <c r="T94" s="69" t="n">
        <f aca="false">IF(T88&gt;0,T$5,999)</f>
        <v>18</v>
      </c>
      <c r="U94" s="69" t="n">
        <f aca="false">IF(U88&gt;0,U$5,999)</f>
        <v>19</v>
      </c>
      <c r="V94" s="69" t="n">
        <f aca="false">IF(V88&gt;0,V$5,999)</f>
        <v>20</v>
      </c>
      <c r="W94" s="69" t="n">
        <f aca="false">IF(W88&gt;0,W$5,999)</f>
        <v>21</v>
      </c>
      <c r="X94" s="69" t="n">
        <f aca="false">IF(X88&gt;0,X$5,999)</f>
        <v>22</v>
      </c>
      <c r="Y94" s="69" t="n">
        <f aca="false">IF(Y88&gt;0,Y$5,999)</f>
        <v>23</v>
      </c>
      <c r="Z94" s="69" t="n">
        <f aca="false">IF(Z88&gt;0,Z$5,999)</f>
        <v>24</v>
      </c>
      <c r="AA94" s="69" t="n">
        <f aca="false">IF(AA88&gt;0,AA$5,999)</f>
        <v>25</v>
      </c>
      <c r="AB94" s="69" t="n">
        <f aca="false">IF(AB88&gt;0,AB$5,999)</f>
        <v>26</v>
      </c>
      <c r="AC94" s="69" t="n">
        <f aca="false">IF(AC88&gt;0,AC$5,999)</f>
        <v>27</v>
      </c>
      <c r="AD94" s="69" t="n">
        <f aca="false">IF(AD88&gt;0,AD$5,999)</f>
        <v>28</v>
      </c>
      <c r="AE94" s="69" t="n">
        <f aca="false">IF(AE88&gt;0,AE$5,999)</f>
        <v>29</v>
      </c>
      <c r="AF94" s="69" t="n">
        <f aca="false">IF(AF88&gt;0,AF$5,999)</f>
        <v>30</v>
      </c>
      <c r="AG94" s="69" t="n">
        <f aca="false">IF(AG88&gt;0,AG$5,999)</f>
        <v>31</v>
      </c>
      <c r="AH94" s="69" t="n">
        <f aca="false">IF(AH88&gt;0,AH$5,999)</f>
        <v>32</v>
      </c>
      <c r="AI94" s="69" t="n">
        <f aca="false">IF(AI88&gt;0,AI$5,999)</f>
        <v>33</v>
      </c>
      <c r="AJ94" s="69" t="n">
        <f aca="false">IF(AJ88&gt;0,AJ$5,999)</f>
        <v>34</v>
      </c>
      <c r="AK94" s="69" t="n">
        <f aca="false">IF(AK88&gt;0,AK$5,999)</f>
        <v>35</v>
      </c>
      <c r="AL94" s="69" t="n">
        <f aca="false">IF(AL88&gt;0,AL$5,999)</f>
        <v>36</v>
      </c>
      <c r="AM94" s="69"/>
    </row>
    <row r="95" customFormat="false" ht="15" hidden="false" customHeight="false" outlineLevel="0" collapsed="false">
      <c r="A95" s="10" t="s">
        <v>810</v>
      </c>
      <c r="B95" s="9" t="s">
        <v>49</v>
      </c>
      <c r="C95" s="61" t="n">
        <f aca="false">C32+C56</f>
        <v>0</v>
      </c>
      <c r="D95" s="61" t="n">
        <f aca="false">D32+D56</f>
        <v>1500</v>
      </c>
      <c r="E95" s="61" t="n">
        <f aca="false">E32+E56</f>
        <v>1240.74324579829</v>
      </c>
      <c r="F95" s="61" t="n">
        <f aca="false">F32+F56</f>
        <v>1149.19545400396</v>
      </c>
      <c r="G95" s="61" t="n">
        <f aca="false">G32+G56</f>
        <v>1109.66576962786</v>
      </c>
      <c r="H95" s="61" t="n">
        <f aca="false">H32+H56</f>
        <v>1089.65244943503</v>
      </c>
      <c r="I95" s="61" t="n">
        <f aca="false">I32+I56</f>
        <v>1095.630172739</v>
      </c>
      <c r="J95" s="61" t="n">
        <f aca="false">J32+J56</f>
        <v>1097.77603191608</v>
      </c>
      <c r="K95" s="61" t="n">
        <f aca="false">K32+K56</f>
        <v>1100.05201547013</v>
      </c>
      <c r="L95" s="61" t="n">
        <f aca="false">L32+L56</f>
        <v>1107.09048541693</v>
      </c>
      <c r="M95" s="61" t="n">
        <f aca="false">M32+M56</f>
        <v>1118.66390742324</v>
      </c>
      <c r="N95" s="61" t="n">
        <f aca="false">N32+N56</f>
        <v>1134.32775360488</v>
      </c>
      <c r="O95" s="61" t="n">
        <f aca="false">O32+O56</f>
        <v>1153.6261564065</v>
      </c>
      <c r="P95" s="61" t="n">
        <f aca="false">P32+P56</f>
        <v>1176.17034444477</v>
      </c>
      <c r="Q95" s="61" t="n">
        <f aca="false">Q32+Q56</f>
        <v>1201.65232201738</v>
      </c>
      <c r="R95" s="61" t="n">
        <f aca="false">R32+R56</f>
        <v>1229.84316804418</v>
      </c>
      <c r="S95" s="61" t="n">
        <f aca="false">S32+S56</f>
        <v>1260.58635960689</v>
      </c>
      <c r="T95" s="61" t="n">
        <f aca="false">T32+T56</f>
        <v>1293.78995623566</v>
      </c>
      <c r="U95" s="61" t="n">
        <f aca="false">U32+U56</f>
        <v>1329.41915977702</v>
      </c>
      <c r="V95" s="61" t="n">
        <f aca="false">V32+V56</f>
        <v>1367.48983813441</v>
      </c>
      <c r="W95" s="61" t="n">
        <f aca="false">W32+W56</f>
        <v>1408.0631904644</v>
      </c>
      <c r="X95" s="61" t="n">
        <f aca="false">X32+X56</f>
        <v>1451.24154754037</v>
      </c>
      <c r="Y95" s="61" t="n">
        <f aca="false">Y32+Y56</f>
        <v>1497.16522368275</v>
      </c>
      <c r="Z95" s="61" t="n">
        <f aca="false">Z32+Z56</f>
        <v>1546.01031069045</v>
      </c>
      <c r="AA95" s="61" t="n">
        <f aca="false">AA32+AA56</f>
        <v>1597.98730278879</v>
      </c>
      <c r="AB95" s="61" t="n">
        <f aca="false">AB32+AB56</f>
        <v>1651.63458170912</v>
      </c>
      <c r="AC95" s="61" t="n">
        <f aca="false">AC32+AC56</f>
        <v>1706.93657163788</v>
      </c>
      <c r="AD95" s="61" t="n">
        <f aca="false">AD32+AD56</f>
        <v>1765.01586449915</v>
      </c>
      <c r="AE95" s="61" t="n">
        <f aca="false">AE32+AE56</f>
        <v>1826.34772962968</v>
      </c>
      <c r="AF95" s="61" t="n">
        <f aca="false">AF32+AF56</f>
        <v>1891.29799906836</v>
      </c>
      <c r="AG95" s="61" t="n">
        <f aca="false">AG32+AG56</f>
        <v>1960.25412937928</v>
      </c>
      <c r="AH95" s="61" t="n">
        <f aca="false">AH32+AH56</f>
        <v>2033.63374305318</v>
      </c>
      <c r="AI95" s="61" t="n">
        <f aca="false">AI32+AI56</f>
        <v>2111.88836038938</v>
      </c>
      <c r="AJ95" s="61" t="n">
        <f aca="false">AJ32+AJ56</f>
        <v>2195.50626238101</v>
      </c>
      <c r="AK95" s="61" t="n">
        <f aca="false">AK32+AK56</f>
        <v>2285.01551995725</v>
      </c>
      <c r="AL95" s="61" t="n">
        <f aca="false">AL32+AL56</f>
        <v>2380.9873131324</v>
      </c>
      <c r="AM95" s="61" t="n">
        <f aca="false">SUM(C95:AL95)</f>
        <v>52064.3602401057</v>
      </c>
    </row>
    <row r="96" customFormat="false" ht="15" hidden="false" customHeight="false" outlineLevel="0" collapsed="false">
      <c r="A96" s="38" t="s">
        <v>811</v>
      </c>
      <c r="B96" s="9" t="s">
        <v>95</v>
      </c>
      <c r="C96" s="51" t="n">
        <f aca="false">IFERROR((C26-C82)/C95,0)</f>
        <v>0</v>
      </c>
      <c r="D96" s="51" t="n">
        <f aca="false">IFERROR((D26-D82)/D95,0)</f>
        <v>28</v>
      </c>
      <c r="E96" s="51" t="n">
        <f aca="false">IFERROR((E26-E82)/E95,0)</f>
        <v>33.8506779240836</v>
      </c>
      <c r="F96" s="51" t="n">
        <f aca="false">IFERROR((F26-F82)/F95,0)</f>
        <v>40.4282672652685</v>
      </c>
      <c r="G96" s="51" t="n">
        <f aca="false">IFERROR((G26-G82)/G95,0)</f>
        <v>47.0040383143028</v>
      </c>
      <c r="H96" s="51" t="n">
        <f aca="false">IFERROR((H26-H82)/H95,0)</f>
        <v>53.0882046473309</v>
      </c>
      <c r="I96" s="51" t="n">
        <f aca="false">IFERROR((I26-I82)/I95,0)</f>
        <v>57.711233867786</v>
      </c>
      <c r="J96" s="51" t="n">
        <f aca="false">IFERROR((J26-J82)/J95,0)</f>
        <v>64.2938264122913</v>
      </c>
      <c r="K96" s="51" t="n">
        <f aca="false">IFERROR((K26-K82)/K95,0)</f>
        <v>69.8165239423573</v>
      </c>
      <c r="L96" s="51" t="n">
        <f aca="false">IFERROR((L26-L82)/L95,0)</f>
        <v>74.6824218811387</v>
      </c>
      <c r="M96" s="51" t="n">
        <f aca="false">IFERROR((M26-M82)/M95,0)</f>
        <v>78.9453079983877</v>
      </c>
      <c r="N96" s="51" t="n">
        <f aca="false">IFERROR((N26-N82)/N95,0)</f>
        <v>82.664123317658</v>
      </c>
      <c r="O96" s="51" t="n">
        <f aca="false">IFERROR((O26-O82)/O95,0)</f>
        <v>85.8995896765521</v>
      </c>
      <c r="P96" s="51" t="n">
        <f aca="false">IFERROR((P26-P82)/P95,0)</f>
        <v>88.7115687518355</v>
      </c>
      <c r="Q96" s="51" t="n">
        <f aca="false">IFERROR((Q26-Q82)/Q95,0)</f>
        <v>91.1557979848493</v>
      </c>
      <c r="R96" s="51" t="n">
        <f aca="false">IFERROR((R26-R82)/R95,0)</f>
        <v>93.2821628810699</v>
      </c>
      <c r="S96" s="51" t="n">
        <f aca="false">IFERROR((S26-S82)/S95,0)</f>
        <v>95.1340893011072</v>
      </c>
      <c r="T96" s="51" t="n">
        <f aca="false">IFERROR((T26-T82)/T95,0)</f>
        <v>96.748641373362</v>
      </c>
      <c r="U96" s="51" t="n">
        <f aca="false">IFERROR((U26-U82)/U95,0)</f>
        <v>98.4149440918684</v>
      </c>
      <c r="V96" s="51" t="n">
        <f aca="false">IFERROR((V26-V82)/V95,0)</f>
        <v>100.048551124591</v>
      </c>
      <c r="W96" s="51" t="n">
        <f aca="false">IFERROR((W26-W82)/W95,0)</f>
        <v>101.508731615176</v>
      </c>
      <c r="X96" s="51" t="n">
        <f aca="false">IFERROR((X26-X82)/X95,0)</f>
        <v>102.814204369691</v>
      </c>
      <c r="Y96" s="51" t="n">
        <f aca="false">IFERROR((Y26-Y82)/Y95,0)</f>
        <v>103.980530894164</v>
      </c>
      <c r="Z96" s="51" t="n">
        <f aca="false">IFERROR((Z26-Z82)/Z95,0)</f>
        <v>105.020688345148</v>
      </c>
      <c r="AA96" s="51" t="n">
        <f aca="false">IFERROR((AA26-AA82)/AA95,0)</f>
        <v>105.945569246043</v>
      </c>
      <c r="AB96" s="51" t="n">
        <f aca="false">IFERROR((AB26-AB82)/AB95,0)</f>
        <v>106.874679256767</v>
      </c>
      <c r="AC96" s="51" t="n">
        <f aca="false">IFERROR((AC26-AC82)/AC95,0)</f>
        <v>107.717295940699</v>
      </c>
      <c r="AD96" s="51" t="n">
        <f aca="false">IFERROR((AD26-AD82)/AD95,0)</f>
        <v>108.390369980773</v>
      </c>
      <c r="AE96" s="51" t="n">
        <f aca="false">IFERROR((AE26-AE82)/AE95,0)</f>
        <v>108.920922985871</v>
      </c>
      <c r="AF96" s="51" t="n">
        <f aca="false">IFERROR((AF26-AF82)/AF95,0)</f>
        <v>109.318919447472</v>
      </c>
      <c r="AG96" s="51" t="n">
        <f aca="false">IFERROR((AG26-AG82)/AG95,0)</f>
        <v>109.593354527226</v>
      </c>
      <c r="AH96" s="51" t="n">
        <f aca="false">IFERROR((AH26-AH82)/AH95,0)</f>
        <v>109.752533018681</v>
      </c>
      <c r="AI96" s="51" t="n">
        <f aca="false">IFERROR((AI26-AI82)/AI95,0)</f>
        <v>109.804300554024</v>
      </c>
      <c r="AJ96" s="51" t="n">
        <f aca="false">IFERROR((AJ26-AJ82)/AJ95,0)</f>
        <v>109.756179566757</v>
      </c>
      <c r="AK96" s="51" t="n">
        <f aca="false">IFERROR((AK26-AK82)/AK95,0)</f>
        <v>109.615470517571</v>
      </c>
      <c r="AL96" s="51" t="n">
        <f aca="false">IFERROR((AL26-AL82)/AL95,0)</f>
        <v>109.389325397092</v>
      </c>
      <c r="AM96" s="51" t="n">
        <f aca="false">AVERAGE(N96:AL96)</f>
        <v>102.018501766642</v>
      </c>
    </row>
    <row r="97" customFormat="false" ht="15" hidden="false" customHeight="false" outlineLevel="0" collapsed="false">
      <c r="A97" s="10" t="s">
        <v>812</v>
      </c>
      <c r="B97" s="9" t="s">
        <v>95</v>
      </c>
      <c r="C97" s="63" t="n">
        <f aca="false">IFERROR(C18/(C19*Assumptions!$E$49*Assumptions!$E$31*Assumptions!$E$32),0)</f>
        <v>0</v>
      </c>
      <c r="D97" s="63" t="n">
        <f aca="false">IFERROR(D18/(D19*Assumptions!$E$49*Assumptions!$E$31*Assumptions!$E$32),0)</f>
        <v>62.3582766439909</v>
      </c>
      <c r="E97" s="63" t="n">
        <f aca="false">IFERROR(E18/(E19*Assumptions!$E$49*Assumptions!$E$31*Assumptions!$E$32),0)</f>
        <v>62.3582766439909</v>
      </c>
      <c r="F97" s="63" t="n">
        <f aca="false">IFERROR(F18/(F19*Assumptions!$E$49*Assumptions!$E$31*Assumptions!$E$32),0)</f>
        <v>62.3582766439909</v>
      </c>
      <c r="G97" s="63" t="n">
        <f aca="false">IFERROR(G18/(G19*Assumptions!$E$49*Assumptions!$E$31*Assumptions!$E$32),0)</f>
        <v>62.358276643991</v>
      </c>
      <c r="H97" s="63" t="n">
        <f aca="false">IFERROR(H18/(H19*Assumptions!$E$49*Assumptions!$E$31*Assumptions!$E$32),0)</f>
        <v>62.3582766439909</v>
      </c>
      <c r="I97" s="63" t="n">
        <f aca="false">IFERROR(I18/(I19*Assumptions!$E$49*Assumptions!$E$31*Assumptions!$E$32),0)</f>
        <v>62.3582766439909</v>
      </c>
      <c r="J97" s="63" t="n">
        <f aca="false">IFERROR(J18/(J19*Assumptions!$E$49*Assumptions!$E$31*Assumptions!$E$32),0)</f>
        <v>62.358276643991</v>
      </c>
      <c r="K97" s="63" t="n">
        <f aca="false">IFERROR(K18/(K19*Assumptions!$E$49*Assumptions!$E$31*Assumptions!$E$32),0)</f>
        <v>62.3582766439909</v>
      </c>
      <c r="L97" s="63" t="n">
        <f aca="false">IFERROR(L18/(L19*Assumptions!$E$49*Assumptions!$E$31*Assumptions!$E$32),0)</f>
        <v>62.3582766439909</v>
      </c>
      <c r="M97" s="63" t="n">
        <f aca="false">IFERROR(M18/(M19*Assumptions!$E$49*Assumptions!$E$31*Assumptions!$E$32),0)</f>
        <v>62.3582766439909</v>
      </c>
      <c r="N97" s="63" t="n">
        <f aca="false">IFERROR(N18/(N19*Assumptions!$E$49*Assumptions!$E$31*Assumptions!$E$32),0)</f>
        <v>62.3582766439909</v>
      </c>
      <c r="O97" s="63" t="n">
        <f aca="false">IFERROR(O18/(O19*Assumptions!$E$49*Assumptions!$E$31*Assumptions!$E$32),0)</f>
        <v>62.3582766439909</v>
      </c>
      <c r="P97" s="63" t="n">
        <f aca="false">IFERROR(P18/(P19*Assumptions!$E$49*Assumptions!$E$31*Assumptions!$E$32),0)</f>
        <v>62.3582766439909</v>
      </c>
      <c r="Q97" s="63" t="n">
        <f aca="false">IFERROR(Q18/(Q19*Assumptions!$E$49*Assumptions!$E$31*Assumptions!$E$32),0)</f>
        <v>62.3582766439909</v>
      </c>
      <c r="R97" s="63" t="n">
        <f aca="false">IFERROR(R18/(R19*Assumptions!$E$49*Assumptions!$E$31*Assumptions!$E$32),0)</f>
        <v>62.3582766439909</v>
      </c>
      <c r="S97" s="63" t="n">
        <f aca="false">IFERROR(S18/(S19*Assumptions!$E$49*Assumptions!$E$31*Assumptions!$E$32),0)</f>
        <v>62.3582766439909</v>
      </c>
      <c r="T97" s="63" t="n">
        <f aca="false">IFERROR(T18/(T19*Assumptions!$E$49*Assumptions!$E$31*Assumptions!$E$32),0)</f>
        <v>62.3582766439909</v>
      </c>
      <c r="U97" s="63" t="n">
        <f aca="false">IFERROR(U18/(U19*Assumptions!$E$49*Assumptions!$E$31*Assumptions!$E$32),0)</f>
        <v>62.3582766439909</v>
      </c>
      <c r="V97" s="63" t="n">
        <f aca="false">IFERROR(V18/(V19*Assumptions!$E$49*Assumptions!$E$31*Assumptions!$E$32),0)</f>
        <v>62.3582766439909</v>
      </c>
      <c r="W97" s="63" t="n">
        <f aca="false">IFERROR(W18/(W19*Assumptions!$E$49*Assumptions!$E$31*Assumptions!$E$32),0)</f>
        <v>62.3582766439909</v>
      </c>
      <c r="X97" s="63" t="n">
        <f aca="false">IFERROR(X18/(X19*Assumptions!$E$49*Assumptions!$E$31*Assumptions!$E$32),0)</f>
        <v>62.3582766439909</v>
      </c>
      <c r="Y97" s="63" t="n">
        <f aca="false">IFERROR(Y18/(Y19*Assumptions!$E$49*Assumptions!$E$31*Assumptions!$E$32),0)</f>
        <v>62.3582766439909</v>
      </c>
      <c r="Z97" s="63" t="n">
        <f aca="false">IFERROR(Z18/(Z19*Assumptions!$E$49*Assumptions!$E$31*Assumptions!$E$32),0)</f>
        <v>62.3582766439909</v>
      </c>
      <c r="AA97" s="63" t="n">
        <f aca="false">IFERROR(AA18/(AA19*Assumptions!$E$49*Assumptions!$E$31*Assumptions!$E$32),0)</f>
        <v>62.3582766439909</v>
      </c>
      <c r="AB97" s="63" t="n">
        <f aca="false">IFERROR(AB18/(AB19*Assumptions!$E$49*Assumptions!$E$31*Assumptions!$E$32),0)</f>
        <v>62.3582766439909</v>
      </c>
      <c r="AC97" s="63" t="n">
        <f aca="false">IFERROR(AC18/(AC19*Assumptions!$E$49*Assumptions!$E$31*Assumptions!$E$32),0)</f>
        <v>62.3582766439909</v>
      </c>
      <c r="AD97" s="63" t="n">
        <f aca="false">IFERROR(AD18/(AD19*Assumptions!$E$49*Assumptions!$E$31*Assumptions!$E$32),0)</f>
        <v>62.358276643991</v>
      </c>
      <c r="AE97" s="63" t="n">
        <f aca="false">IFERROR(AE18/(AE19*Assumptions!$E$49*Assumptions!$E$31*Assumptions!$E$32),0)</f>
        <v>62.3582766439909</v>
      </c>
      <c r="AF97" s="63" t="n">
        <f aca="false">IFERROR(AF18/(AF19*Assumptions!$E$49*Assumptions!$E$31*Assumptions!$E$32),0)</f>
        <v>62.3582766439909</v>
      </c>
      <c r="AG97" s="63" t="n">
        <f aca="false">IFERROR(AG18/(AG19*Assumptions!$E$49*Assumptions!$E$31*Assumptions!$E$32),0)</f>
        <v>62.3582766439909</v>
      </c>
      <c r="AH97" s="63" t="n">
        <f aca="false">IFERROR(AH18/(AH19*Assumptions!$E$49*Assumptions!$E$31*Assumptions!$E$32),0)</f>
        <v>62.3582766439909</v>
      </c>
      <c r="AI97" s="63" t="n">
        <f aca="false">IFERROR(AI18/(AI19*Assumptions!$E$49*Assumptions!$E$31*Assumptions!$E$32),0)</f>
        <v>62.3582766439909</v>
      </c>
      <c r="AJ97" s="63" t="n">
        <f aca="false">IFERROR(AJ18/(AJ19*Assumptions!$E$49*Assumptions!$E$31*Assumptions!$E$32),0)</f>
        <v>62.3582766439909</v>
      </c>
      <c r="AK97" s="63" t="n">
        <f aca="false">IFERROR(AK18/(AK19*Assumptions!$E$49*Assumptions!$E$31*Assumptions!$E$32),0)</f>
        <v>62.3582766439909</v>
      </c>
      <c r="AL97" s="63" t="n">
        <f aca="false">IFERROR(AL18/(AL19*Assumptions!$E$49*Assumptions!$E$31*Assumptions!$E$32),0)</f>
        <v>62.3582766439909</v>
      </c>
      <c r="AM97" s="63" t="n">
        <f aca="false">AVERAGE(N97:AL97)</f>
        <v>62.3582766439909</v>
      </c>
    </row>
    <row r="98" customFormat="false" ht="15" hidden="false" customHeight="false" outlineLevel="0" collapsed="false">
      <c r="A98" s="10" t="s">
        <v>813</v>
      </c>
      <c r="B98" s="9" t="s">
        <v>95</v>
      </c>
      <c r="C98" s="63" t="n">
        <f aca="false">IFERROR(C22/(C23*Assumptions!$E$49*Assumptions!$E$38*Assumptions!$E$39),0)</f>
        <v>0</v>
      </c>
      <c r="D98" s="63" t="n">
        <f aca="false">IFERROR(D22/(D23*Assumptions!$E$49*Assumptions!$E$38*Assumptions!$E$39),0)</f>
        <v>172.619047619048</v>
      </c>
      <c r="E98" s="63" t="n">
        <f aca="false">IFERROR(E22/(E23*Assumptions!$E$49*Assumptions!$E$38*Assumptions!$E$39),0)</f>
        <v>172.619047619048</v>
      </c>
      <c r="F98" s="63" t="n">
        <f aca="false">IFERROR(F22/(F23*Assumptions!$E$49*Assumptions!$E$38*Assumptions!$E$39),0)</f>
        <v>172.619047619048</v>
      </c>
      <c r="G98" s="63" t="n">
        <f aca="false">IFERROR(G22/(G23*Assumptions!$E$49*Assumptions!$E$38*Assumptions!$E$39),0)</f>
        <v>172.619047619048</v>
      </c>
      <c r="H98" s="63" t="n">
        <f aca="false">IFERROR(H22/(H23*Assumptions!$E$49*Assumptions!$E$38*Assumptions!$E$39),0)</f>
        <v>172.619047619048</v>
      </c>
      <c r="I98" s="63" t="n">
        <f aca="false">IFERROR(I22/(I23*Assumptions!$E$49*Assumptions!$E$38*Assumptions!$E$39),0)</f>
        <v>172.619047619048</v>
      </c>
      <c r="J98" s="63" t="n">
        <f aca="false">IFERROR(J22/(J23*Assumptions!$E$49*Assumptions!$E$38*Assumptions!$E$39),0)</f>
        <v>172.619047619048</v>
      </c>
      <c r="K98" s="63" t="n">
        <f aca="false">IFERROR(K22/(K23*Assumptions!$E$49*Assumptions!$E$38*Assumptions!$E$39),0)</f>
        <v>172.619047619048</v>
      </c>
      <c r="L98" s="63" t="n">
        <f aca="false">IFERROR(L22/(L23*Assumptions!$E$49*Assumptions!$E$38*Assumptions!$E$39),0)</f>
        <v>172.619047619048</v>
      </c>
      <c r="M98" s="63" t="n">
        <f aca="false">IFERROR(M22/(M23*Assumptions!$E$49*Assumptions!$E$38*Assumptions!$E$39),0)</f>
        <v>172.619047619048</v>
      </c>
      <c r="N98" s="63" t="n">
        <f aca="false">IFERROR(N22/(N23*Assumptions!$E$49*Assumptions!$E$38*Assumptions!$E$39),0)</f>
        <v>172.619047619048</v>
      </c>
      <c r="O98" s="63" t="n">
        <f aca="false">IFERROR(O22/(O23*Assumptions!$E$49*Assumptions!$E$38*Assumptions!$E$39),0)</f>
        <v>172.619047619048</v>
      </c>
      <c r="P98" s="63" t="n">
        <f aca="false">IFERROR(P22/(P23*Assumptions!$E$49*Assumptions!$E$38*Assumptions!$E$39),0)</f>
        <v>172.619047619048</v>
      </c>
      <c r="Q98" s="63" t="n">
        <f aca="false">IFERROR(Q22/(Q23*Assumptions!$E$49*Assumptions!$E$38*Assumptions!$E$39),0)</f>
        <v>172.619047619048</v>
      </c>
      <c r="R98" s="63" t="n">
        <f aca="false">IFERROR(R22/(R23*Assumptions!$E$49*Assumptions!$E$38*Assumptions!$E$39),0)</f>
        <v>172.619047619048</v>
      </c>
      <c r="S98" s="63" t="n">
        <f aca="false">IFERROR(S22/(S23*Assumptions!$E$49*Assumptions!$E$38*Assumptions!$E$39),0)</f>
        <v>172.619047619048</v>
      </c>
      <c r="T98" s="63" t="n">
        <f aca="false">IFERROR(T22/(T23*Assumptions!$E$49*Assumptions!$E$38*Assumptions!$E$39),0)</f>
        <v>172.619047619048</v>
      </c>
      <c r="U98" s="63" t="n">
        <f aca="false">IFERROR(U22/(U23*Assumptions!$E$49*Assumptions!$E$38*Assumptions!$E$39),0)</f>
        <v>172.619047619048</v>
      </c>
      <c r="V98" s="63" t="n">
        <f aca="false">IFERROR(V22/(V23*Assumptions!$E$49*Assumptions!$E$38*Assumptions!$E$39),0)</f>
        <v>172.619047619048</v>
      </c>
      <c r="W98" s="63" t="n">
        <f aca="false">IFERROR(W22/(W23*Assumptions!$E$49*Assumptions!$E$38*Assumptions!$E$39),0)</f>
        <v>172.619047619048</v>
      </c>
      <c r="X98" s="63" t="n">
        <f aca="false">IFERROR(X22/(X23*Assumptions!$E$49*Assumptions!$E$38*Assumptions!$E$39),0)</f>
        <v>172.619047619048</v>
      </c>
      <c r="Y98" s="63" t="n">
        <f aca="false">IFERROR(Y22/(Y23*Assumptions!$E$49*Assumptions!$E$38*Assumptions!$E$39),0)</f>
        <v>172.619047619048</v>
      </c>
      <c r="Z98" s="63" t="n">
        <f aca="false">IFERROR(Z22/(Z23*Assumptions!$E$49*Assumptions!$E$38*Assumptions!$E$39),0)</f>
        <v>172.619047619048</v>
      </c>
      <c r="AA98" s="63" t="n">
        <f aca="false">IFERROR(AA22/(AA23*Assumptions!$E$49*Assumptions!$E$38*Assumptions!$E$39),0)</f>
        <v>172.619047619048</v>
      </c>
      <c r="AB98" s="63" t="n">
        <f aca="false">IFERROR(AB22/(AB23*Assumptions!$E$49*Assumptions!$E$38*Assumptions!$E$39),0)</f>
        <v>172.619047619048</v>
      </c>
      <c r="AC98" s="63" t="n">
        <f aca="false">IFERROR(AC22/(AC23*Assumptions!$E$49*Assumptions!$E$38*Assumptions!$E$39),0)</f>
        <v>172.619047619048</v>
      </c>
      <c r="AD98" s="63" t="n">
        <f aca="false">IFERROR(AD22/(AD23*Assumptions!$E$49*Assumptions!$E$38*Assumptions!$E$39),0)</f>
        <v>172.619047619048</v>
      </c>
      <c r="AE98" s="63" t="n">
        <f aca="false">IFERROR(AE22/(AE23*Assumptions!$E$49*Assumptions!$E$38*Assumptions!$E$39),0)</f>
        <v>172.619047619048</v>
      </c>
      <c r="AF98" s="63" t="n">
        <f aca="false">IFERROR(AF22/(AF23*Assumptions!$E$49*Assumptions!$E$38*Assumptions!$E$39),0)</f>
        <v>172.619047619048</v>
      </c>
      <c r="AG98" s="63" t="n">
        <f aca="false">IFERROR(AG22/(AG23*Assumptions!$E$49*Assumptions!$E$38*Assumptions!$E$39),0)</f>
        <v>172.619047619048</v>
      </c>
      <c r="AH98" s="63" t="n">
        <f aca="false">IFERROR(AH22/(AH23*Assumptions!$E$49*Assumptions!$E$38*Assumptions!$E$39),0)</f>
        <v>172.619047619048</v>
      </c>
      <c r="AI98" s="63" t="n">
        <f aca="false">IFERROR(AI22/(AI23*Assumptions!$E$49*Assumptions!$E$38*Assumptions!$E$39),0)</f>
        <v>172.619047619048</v>
      </c>
      <c r="AJ98" s="63" t="n">
        <f aca="false">IFERROR(AJ22/(AJ23*Assumptions!$E$49*Assumptions!$E$38*Assumptions!$E$39),0)</f>
        <v>172.619047619048</v>
      </c>
      <c r="AK98" s="63" t="n">
        <f aca="false">IFERROR(AK22/(AK23*Assumptions!$E$49*Assumptions!$E$38*Assumptions!$E$39),0)</f>
        <v>172.619047619048</v>
      </c>
      <c r="AL98" s="63" t="n">
        <f aca="false">IFERROR(AL22/(AL23*Assumptions!$E$49*Assumptions!$E$38*Assumptions!$E$39),0)</f>
        <v>172.619047619048</v>
      </c>
      <c r="AM98" s="63" t="n">
        <f aca="false">AVERAGE(N98:AL98)</f>
        <v>172.619047619048</v>
      </c>
    </row>
    <row r="99" customFormat="false" ht="15" hidden="false" customHeight="false" outlineLevel="0" collapsed="false">
      <c r="A99" s="10" t="s">
        <v>814</v>
      </c>
      <c r="B99" s="9" t="s">
        <v>95</v>
      </c>
      <c r="C99" s="63" t="n">
        <f aca="false">IFERROR(C24/(C25*Assumptions!$E$49*Assumptions!$E$43),0)</f>
        <v>96.498818641514</v>
      </c>
      <c r="D99" s="63" t="n">
        <f aca="false">IFERROR(D24/(D25*Assumptions!$E$49*Assumptions!$E$43),0)</f>
        <v>0</v>
      </c>
      <c r="E99" s="63" t="n">
        <f aca="false">IFERROR(E24/(E25*Assumptions!$E$49*Assumptions!$E$43),0)</f>
        <v>0</v>
      </c>
      <c r="F99" s="63" t="n">
        <f aca="false">IFERROR(F24/(F25*Assumptions!$E$49*Assumptions!$E$43),0)</f>
        <v>0</v>
      </c>
      <c r="G99" s="63" t="n">
        <f aca="false">IFERROR(G24/(G25*Assumptions!$E$49*Assumptions!$E$43),0)</f>
        <v>72.4660103897619</v>
      </c>
      <c r="H99" s="63" t="n">
        <f aca="false">IFERROR(H24/(H25*Assumptions!$E$49*Assumptions!$E$43),0)</f>
        <v>102.977862467581</v>
      </c>
      <c r="I99" s="63" t="n">
        <f aca="false">IFERROR(I24/(I25*Assumptions!$E$49*Assumptions!$E$43),0)</f>
        <v>117.453505562502</v>
      </c>
      <c r="J99" s="63" t="n">
        <f aca="false">IFERROR(J24/(J25*Assumptions!$E$49*Assumptions!$E$43),0)</f>
        <v>130.052527597577</v>
      </c>
      <c r="K99" s="63" t="n">
        <f aca="false">IFERROR(K24/(K25*Assumptions!$E$49*Assumptions!$E$43),0)</f>
        <v>138.122528066585</v>
      </c>
      <c r="L99" s="63" t="n">
        <f aca="false">IFERROR(L24/(L25*Assumptions!$E$49*Assumptions!$E$43),0)</f>
        <v>144.487660939731</v>
      </c>
      <c r="M99" s="63" t="n">
        <f aca="false">IFERROR(M24/(M25*Assumptions!$E$49*Assumptions!$E$43),0)</f>
        <v>149.730280713297</v>
      </c>
      <c r="N99" s="63" t="n">
        <f aca="false">IFERROR(N24/(N25*Assumptions!$E$49*Assumptions!$E$43),0)</f>
        <v>154.200594912778</v>
      </c>
      <c r="O99" s="63" t="n">
        <f aca="false">IFERROR(O24/(O25*Assumptions!$E$49*Assumptions!$E$43),0)</f>
        <v>158.115533545604</v>
      </c>
      <c r="P99" s="63" t="n">
        <f aca="false">IFERROR(P24/(P25*Assumptions!$E$49*Assumptions!$E$43),0)</f>
        <v>161.619521882482</v>
      </c>
      <c r="Q99" s="63" t="n">
        <f aca="false">IFERROR(Q24/(Q25*Assumptions!$E$49*Assumptions!$E$43),0)</f>
        <v>164.813193387453</v>
      </c>
      <c r="R99" s="63" t="n">
        <f aca="false">IFERROR(R24/(R25*Assumptions!$E$49*Assumptions!$E$43),0)</f>
        <v>167.769202472013</v>
      </c>
      <c r="S99" s="63" t="n">
        <f aca="false">IFERROR(S24/(S25*Assumptions!$E$49*Assumptions!$E$43),0)</f>
        <v>170.541530853636</v>
      </c>
      <c r="T99" s="63" t="n">
        <f aca="false">IFERROR(T24/(T25*Assumptions!$E$49*Assumptions!$E$43),0)</f>
        <v>173.171279252612</v>
      </c>
      <c r="U99" s="63" t="n">
        <f aca="false">IFERROR(U24/(U25*Assumptions!$E$49*Assumptions!$E$43),0)</f>
        <v>175.690433120978</v>
      </c>
      <c r="V99" s="63" t="n">
        <f aca="false">IFERROR(V24/(V25*Assumptions!$E$49*Assumptions!$E$43),0)</f>
        <v>178.124398464849</v>
      </c>
      <c r="W99" s="63" t="n">
        <f aca="false">IFERROR(W24/(W25*Assumptions!$E$49*Assumptions!$E$43),0)</f>
        <v>180.493758456475</v>
      </c>
      <c r="X99" s="63" t="n">
        <f aca="false">IFERROR(X24/(X25*Assumptions!$E$49*Assumptions!$E$43),0)</f>
        <v>182.81551856866</v>
      </c>
      <c r="Y99" s="63" t="n">
        <f aca="false">IFERROR(Y24/(Y25*Assumptions!$E$49*Assumptions!$E$43),0)</f>
        <v>185.104005872378</v>
      </c>
      <c r="Z99" s="63" t="n">
        <f aca="false">IFERROR(Z24/(Z25*Assumptions!$E$49*Assumptions!$E$43),0)</f>
        <v>187.371528582063</v>
      </c>
      <c r="AA99" s="63" t="n">
        <f aca="false">IFERROR(AA24/(AA25*Assumptions!$E$49*Assumptions!$E$43),0)</f>
        <v>189.628865825415</v>
      </c>
      <c r="AB99" s="63" t="n">
        <f aca="false">IFERROR(AB24/(AB25*Assumptions!$E$49*Assumptions!$E$43),0)</f>
        <v>191.88563497518</v>
      </c>
      <c r="AC99" s="63" t="n">
        <f aca="false">IFERROR(AC24/(AC25*Assumptions!$E$49*Assumptions!$E$43),0)</f>
        <v>194.088381125828</v>
      </c>
      <c r="AD99" s="63" t="n">
        <f aca="false">IFERROR(AD24/(AD25*Assumptions!$E$49*Assumptions!$E$43),0)</f>
        <v>196.231486702026</v>
      </c>
      <c r="AE99" s="63" t="n">
        <f aca="false">IFERROR(AE24/(AE25*Assumptions!$E$49*Assumptions!$E$43),0)</f>
        <v>198.343340719189</v>
      </c>
      <c r="AF99" s="63" t="n">
        <f aca="false">IFERROR(AF24/(AF25*Assumptions!$E$49*Assumptions!$E$43),0)</f>
        <v>200.434717665159</v>
      </c>
      <c r="AG99" s="63" t="n">
        <f aca="false">IFERROR(AG24/(AG25*Assumptions!$E$49*Assumptions!$E$43),0)</f>
        <v>202.515711246116</v>
      </c>
      <c r="AH99" s="63" t="n">
        <f aca="false">IFERROR(AH24/(AH25*Assumptions!$E$49*Assumptions!$E$43),0)</f>
        <v>204.595659649392</v>
      </c>
      <c r="AI99" s="63" t="n">
        <f aca="false">IFERROR(AI24/(AI25*Assumptions!$E$49*Assumptions!$E$43),0)</f>
        <v>206.683306934599</v>
      </c>
      <c r="AJ99" s="63" t="n">
        <f aca="false">IFERROR(AJ24/(AJ25*Assumptions!$E$49*Assumptions!$E$43),0)</f>
        <v>208.786906950954</v>
      </c>
      <c r="AK99" s="63" t="n">
        <f aca="false">IFERROR(AK24/(AK25*Assumptions!$E$49*Assumptions!$E$43),0)</f>
        <v>210.914305127934</v>
      </c>
      <c r="AL99" s="63" t="n">
        <f aca="false">IFERROR(AL24/(AL25*Assumptions!$E$49*Assumptions!$E$43),0)</f>
        <v>213.073001827455</v>
      </c>
      <c r="AM99" s="63" t="n">
        <f aca="false">AVERAGE(N99:AL99)</f>
        <v>186.280472724849</v>
      </c>
    </row>
    <row r="100" customFormat="false" ht="15" hidden="false" customHeight="false" outlineLevel="0" collapsed="false">
      <c r="A100" s="38" t="s">
        <v>815</v>
      </c>
      <c r="B100" s="9" t="s">
        <v>95</v>
      </c>
      <c r="C100" s="51" t="n">
        <f aca="false">IFERROR(C26/((C19*Assumptions!$E$31*Assumptions!$E$32+C23*Assumptions!$E$38*Assumptions!$E$39+C25*Assumptions!$E$43)*Assumptions!$E$49),0)</f>
        <v>96.498818641514</v>
      </c>
      <c r="D100" s="51" t="n">
        <f aca="false">IFERROR(D26/((D19*Assumptions!$E$31*Assumptions!$E$32+D23*Assumptions!$E$38*Assumptions!$E$39+D25*Assumptions!$E$43)*Assumptions!$E$49),0)</f>
        <v>83.1894888314995</v>
      </c>
      <c r="E100" s="51" t="n">
        <f aca="false">IFERROR(E26/((E19*Assumptions!$E$31*Assumptions!$E$32+E23*Assumptions!$E$38*Assumptions!$E$39+E25*Assumptions!$E$43)*Assumptions!$E$49),0)</f>
        <v>120.569061568249</v>
      </c>
      <c r="F100" s="51" t="n">
        <f aca="false">IFERROR(F26/((F19*Assumptions!$E$31*Assumptions!$E$32+F23*Assumptions!$E$38*Assumptions!$E$39+F25*Assumptions!$E$43)*Assumptions!$E$49),0)</f>
        <v>129.468805678215</v>
      </c>
      <c r="G100" s="51" t="n">
        <f aca="false">IFERROR(G26/((G19*Assumptions!$E$31*Assumptions!$E$32+G23*Assumptions!$E$38*Assumptions!$E$39+G25*Assumptions!$E$43)*Assumptions!$E$49),0)</f>
        <v>128.387590575887</v>
      </c>
      <c r="H100" s="51" t="n">
        <f aca="false">IFERROR(H26/((H19*Assumptions!$E$31*Assumptions!$E$32+H23*Assumptions!$E$38*Assumptions!$E$39+H25*Assumptions!$E$43)*Assumptions!$E$49),0)</f>
        <v>127.119615666547</v>
      </c>
      <c r="I100" s="51" t="n">
        <f aca="false">IFERROR(I26/((I19*Assumptions!$E$31*Assumptions!$E$32+I23*Assumptions!$E$38*Assumptions!$E$39+I25*Assumptions!$E$43)*Assumptions!$E$49),0)</f>
        <v>129.784075772213</v>
      </c>
      <c r="J100" s="51" t="n">
        <f aca="false">IFERROR(J26/((J19*Assumptions!$E$31*Assumptions!$E$32+J23*Assumptions!$E$38*Assumptions!$E$39+J25*Assumptions!$E$43)*Assumptions!$E$49),0)</f>
        <v>134.283571255987</v>
      </c>
      <c r="K100" s="51" t="n">
        <f aca="false">IFERROR(K26/((K19*Assumptions!$E$31*Assumptions!$E$32+K23*Assumptions!$E$38*Assumptions!$E$39+K25*Assumptions!$E$43)*Assumptions!$E$49),0)</f>
        <v>138.403500243156</v>
      </c>
      <c r="L100" s="51" t="n">
        <f aca="false">IFERROR(L26/((L19*Assumptions!$E$31*Assumptions!$E$32+L23*Assumptions!$E$38*Assumptions!$E$39+L25*Assumptions!$E$43)*Assumptions!$E$49),0)</f>
        <v>142.213279526239</v>
      </c>
      <c r="M100" s="51" t="n">
        <f aca="false">IFERROR(M26/((M19*Assumptions!$E$31*Assumptions!$E$32+M23*Assumptions!$E$38*Assumptions!$E$39+M25*Assumptions!$E$43)*Assumptions!$E$49),0)</f>
        <v>145.694779312059</v>
      </c>
      <c r="N100" s="51" t="n">
        <f aca="false">IFERROR(N26/((N19*Assumptions!$E$31*Assumptions!$E$32+N23*Assumptions!$E$38*Assumptions!$E$39+N25*Assumptions!$E$43)*Assumptions!$E$49),0)</f>
        <v>148.873798342844</v>
      </c>
      <c r="O100" s="51" t="n">
        <f aca="false">IFERROR(O26/((O19*Assumptions!$E$31*Assumptions!$E$32+O23*Assumptions!$E$38*Assumptions!$E$39+O25*Assumptions!$E$43)*Assumptions!$E$49),0)</f>
        <v>151.788367292448</v>
      </c>
      <c r="P100" s="51" t="n">
        <f aca="false">IFERROR(P26/((P19*Assumptions!$E$31*Assumptions!$E$32+P23*Assumptions!$E$38*Assumptions!$E$39+P25*Assumptions!$E$43)*Assumptions!$E$49),0)</f>
        <v>154.478210543843</v>
      </c>
      <c r="Q100" s="51" t="n">
        <f aca="false">IFERROR(Q26/((Q19*Assumptions!$E$31*Assumptions!$E$32+Q23*Assumptions!$E$38*Assumptions!$E$39+Q25*Assumptions!$E$43)*Assumptions!$E$49),0)</f>
        <v>156.980013937869</v>
      </c>
      <c r="R100" s="51" t="n">
        <f aca="false">IFERROR(R26/((R19*Assumptions!$E$31*Assumptions!$E$32+R23*Assumptions!$E$38*Assumptions!$E$39+R25*Assumptions!$E$43)*Assumptions!$E$49),0)</f>
        <v>159.325951941069</v>
      </c>
      <c r="S100" s="51" t="n">
        <f aca="false">IFERROR(S26/((S19*Assumptions!$E$31*Assumptions!$E$32+S23*Assumptions!$E$38*Assumptions!$E$39+S25*Assumptions!$E$43)*Assumptions!$E$49),0)</f>
        <v>161.543559903329</v>
      </c>
      <c r="T100" s="51" t="n">
        <f aca="false">IFERROR(T26/((T19*Assumptions!$E$31*Assumptions!$E$32+T23*Assumptions!$E$38*Assumptions!$E$39+T25*Assumptions!$E$43)*Assumptions!$E$49),0)</f>
        <v>163.656135205237</v>
      </c>
      <c r="U100" s="51" t="n">
        <f aca="false">IFERROR(U26/((U19*Assumptions!$E$31*Assumptions!$E$32+U23*Assumptions!$E$38*Assumptions!$E$39+U25*Assumptions!$E$43)*Assumptions!$E$49),0)</f>
        <v>165.683308679444</v>
      </c>
      <c r="V100" s="51" t="n">
        <f aca="false">IFERROR(V26/((V19*Assumptions!$E$31*Assumptions!$E$32+V23*Assumptions!$E$38*Assumptions!$E$39+V25*Assumptions!$E$43)*Assumptions!$E$49),0)</f>
        <v>167.641631067563</v>
      </c>
      <c r="W100" s="51" t="n">
        <f aca="false">IFERROR(W26/((W19*Assumptions!$E$31*Assumptions!$E$32+W23*Assumptions!$E$38*Assumptions!$E$39+W25*Assumptions!$E$43)*Assumptions!$E$49),0)</f>
        <v>169.545110900851</v>
      </c>
      <c r="X100" s="51" t="n">
        <f aca="false">IFERROR(X26/((X19*Assumptions!$E$31*Assumptions!$E$32+X23*Assumptions!$E$38*Assumptions!$E$39+X25*Assumptions!$E$43)*Assumptions!$E$49),0)</f>
        <v>171.405682118912</v>
      </c>
      <c r="Y100" s="51" t="n">
        <f aca="false">IFERROR(Y26/((Y19*Assumptions!$E$31*Assumptions!$E$32+Y23*Assumptions!$E$38*Assumptions!$E$39+Y25*Assumptions!$E$43)*Assumptions!$E$49),0)</f>
        <v>173.23359871551</v>
      </c>
      <c r="Z100" s="51" t="n">
        <f aca="false">IFERROR(Z26/((Z19*Assumptions!$E$31*Assumptions!$E$32+Z23*Assumptions!$E$38*Assumptions!$E$39+Z25*Assumptions!$E$43)*Assumptions!$E$49),0)</f>
        <v>175.037761816874</v>
      </c>
      <c r="AA100" s="51" t="n">
        <f aca="false">IFERROR(AA26/((AA19*Assumptions!$E$31*Assumptions!$E$32+AA23*Assumptions!$E$38*Assumptions!$E$39+AA25*Assumptions!$E$43)*Assumptions!$E$49),0)</f>
        <v>176.825987535283</v>
      </c>
      <c r="AB100" s="51" t="n">
        <f aca="false">IFERROR(AB26/((AB19*Assumptions!$E$31*Assumptions!$E$32+AB23*Assumptions!$E$38*Assumptions!$E$39+AB25*Assumptions!$E$43)*Assumptions!$E$49),0)</f>
        <v>178.605224445322</v>
      </c>
      <c r="AC100" s="51" t="n">
        <f aca="false">IFERROR(AC26/((AC19*Assumptions!$E$31*Assumptions!$E$32+AC23*Assumptions!$E$38*Assumptions!$E$39+AC25*Assumptions!$E$43)*Assumptions!$E$49),0)</f>
        <v>180.326632736753</v>
      </c>
      <c r="AD100" s="51" t="n">
        <f aca="false">IFERROR(AD26/((AD19*Assumptions!$E$31*Assumptions!$E$32+AD23*Assumptions!$E$38*Assumptions!$E$39+AD25*Assumptions!$E$43)*Assumptions!$E$49),0)</f>
        <v>181.98310303375</v>
      </c>
      <c r="AE100" s="51" t="n">
        <f aca="false">IFERROR(AE26/((AE19*Assumptions!$E$31*Assumptions!$E$32+AE23*Assumptions!$E$38*Assumptions!$E$39+AE25*Assumptions!$E$43)*Assumptions!$E$49),0)</f>
        <v>183.597832551001</v>
      </c>
      <c r="AF100" s="51" t="n">
        <f aca="false">IFERROR(AF26/((AF19*Assumptions!$E$31*Assumptions!$E$32+AF23*Assumptions!$E$38*Assumptions!$E$39+AF25*Assumptions!$E$43)*Assumptions!$E$49),0)</f>
        <v>185.178329528763</v>
      </c>
      <c r="AG100" s="51" t="n">
        <f aca="false">IFERROR(AG26/((AG19*Assumptions!$E$31*Assumptions!$E$32+AG23*Assumptions!$E$38*Assumptions!$E$39+AG25*Assumptions!$E$43)*Assumptions!$E$49),0)</f>
        <v>186.731634024359</v>
      </c>
      <c r="AH100" s="51" t="n">
        <f aca="false">IFERROR(AH26/((AH19*Assumptions!$E$31*Assumptions!$E$32+AH23*Assumptions!$E$38*Assumptions!$E$39+AH25*Assumptions!$E$43)*Assumptions!$E$49),0)</f>
        <v>188.264156564903</v>
      </c>
      <c r="AI100" s="51" t="n">
        <f aca="false">IFERROR(AI26/((AI19*Assumptions!$E$31*Assumptions!$E$32+AI23*Assumptions!$E$38*Assumptions!$E$39+AI25*Assumptions!$E$43)*Assumptions!$E$49),0)</f>
        <v>189.781788747007</v>
      </c>
      <c r="AJ100" s="51" t="n">
        <f aca="false">IFERROR(AJ26/((AJ19*Assumptions!$E$31*Assumptions!$E$32+AJ23*Assumptions!$E$38*Assumptions!$E$39+AJ25*Assumptions!$E$43)*Assumptions!$E$49),0)</f>
        <v>191.289976079441</v>
      </c>
      <c r="AK100" s="51" t="n">
        <f aca="false">IFERROR(AK26/((AK19*Assumptions!$E$31*Assumptions!$E$32+AK23*Assumptions!$E$38*Assumptions!$E$39+AK25*Assumptions!$E$43)*Assumptions!$E$49),0)</f>
        <v>192.793777675835</v>
      </c>
      <c r="AL100" s="51" t="n">
        <f aca="false">IFERROR(AL26/((AL19*Assumptions!$E$31*Assumptions!$E$32+AL23*Assumptions!$E$38*Assumptions!$E$39+AL25*Assumptions!$E$43)*Assumptions!$E$49),0)</f>
        <v>194.297913551713</v>
      </c>
      <c r="AM100" s="51" t="n">
        <f aca="false">AVERAGE(N100:AL100)</f>
        <v>173.954779477597</v>
      </c>
    </row>
    <row r="101" customFormat="false" ht="15" hidden="false" customHeight="false" outlineLevel="0" collapsed="false">
      <c r="A101" s="38" t="s">
        <v>816</v>
      </c>
      <c r="B101" s="9" t="s">
        <v>368</v>
      </c>
      <c r="C101" s="72" t="n">
        <f aca="false">IFERROR(C100/C104,0)</f>
        <v>2.11222506573181</v>
      </c>
      <c r="D101" s="72" t="n">
        <f aca="false">IFERROR(D100/D104,0)</f>
        <v>1.82090232801789</v>
      </c>
      <c r="E101" s="72" t="n">
        <f aca="false">IFERROR(E100/E104,0)</f>
        <v>2.63908924048379</v>
      </c>
      <c r="F101" s="72" t="n">
        <f aca="false">IFERROR(F100/F104,0)</f>
        <v>2.8338922738505</v>
      </c>
      <c r="G101" s="72" t="n">
        <f aca="false">IFERROR(G100/G104,0)</f>
        <v>2.81022597748817</v>
      </c>
      <c r="H101" s="72" t="n">
        <f aca="false">IFERROR(H100/H104,0)</f>
        <v>2.78247176843223</v>
      </c>
      <c r="I101" s="72" t="n">
        <f aca="false">IFERROR(I100/I104,0)</f>
        <v>2.84079309817551</v>
      </c>
      <c r="J101" s="72" t="n">
        <f aca="false">IFERROR(J100/J104,0)</f>
        <v>2.93928080276889</v>
      </c>
      <c r="K101" s="72" t="n">
        <f aca="false">IFERROR(K100/K104,0)</f>
        <v>3.02946032411683</v>
      </c>
      <c r="L101" s="72" t="n">
        <f aca="false">IFERROR(L100/L104,0)</f>
        <v>3.11285109936071</v>
      </c>
      <c r="M101" s="72" t="n">
        <f aca="false">IFERROR(M100/M104,0)</f>
        <v>3.18905629251719</v>
      </c>
      <c r="N101" s="72" t="n">
        <f aca="false">IFERROR(N100/N104,0)</f>
        <v>3.25864060220918</v>
      </c>
      <c r="O101" s="72" t="n">
        <f aca="false">IFERROR(O100/O104,0)</f>
        <v>3.32243646704796</v>
      </c>
      <c r="P101" s="72" t="n">
        <f aca="false">IFERROR(P100/P104,0)</f>
        <v>3.38131339858422</v>
      </c>
      <c r="Q101" s="72" t="n">
        <f aca="false">IFERROR(Q100/Q104,0)</f>
        <v>3.43607439890305</v>
      </c>
      <c r="R101" s="72" t="n">
        <f aca="false">IFERROR(R100/R104,0)</f>
        <v>3.48742372237426</v>
      </c>
      <c r="S101" s="72" t="n">
        <f aca="false">IFERROR(S100/S104,0)</f>
        <v>3.53596407954955</v>
      </c>
      <c r="T101" s="72" t="n">
        <f aca="false">IFERROR(T100/T104,0)</f>
        <v>3.58220541772087</v>
      </c>
      <c r="U101" s="72" t="n">
        <f aca="false">IFERROR(U100/U104,0)</f>
        <v>3.62657742854013</v>
      </c>
      <c r="V101" s="72" t="n">
        <f aca="false">IFERROR(V100/V104,0)</f>
        <v>3.6694423847458</v>
      </c>
      <c r="W101" s="72" t="n">
        <f aca="false">IFERROR(W100/W104,0)</f>
        <v>3.71110691362384</v>
      </c>
      <c r="X101" s="72" t="n">
        <f aca="false">IFERROR(X100/X104,0)</f>
        <v>3.7518322325313</v>
      </c>
      <c r="Y101" s="72" t="n">
        <f aca="false">IFERROR(Y100/Y104,0)</f>
        <v>3.79184278714487</v>
      </c>
      <c r="Z101" s="72" t="n">
        <f aca="false">IFERROR(Z100/Z104,0)</f>
        <v>3.8313334107506</v>
      </c>
      <c r="AA101" s="72" t="n">
        <f aca="false">IFERROR(AA100/AA104,0)</f>
        <v>3.87047518718664</v>
      </c>
      <c r="AB101" s="72" t="n">
        <f aca="false">IFERROR(AB100/AB104,0)</f>
        <v>3.90942021109644</v>
      </c>
      <c r="AC101" s="72" t="n">
        <f aca="false">IFERROR(AC100/AC104,0)</f>
        <v>3.9470994468913</v>
      </c>
      <c r="AD101" s="72" t="n">
        <f aca="false">IFERROR(AD100/AD104,0)</f>
        <v>3.98335728021208</v>
      </c>
      <c r="AE101" s="72" t="n">
        <f aca="false">IFERROR(AE100/AE104,0)</f>
        <v>4.01870146585838</v>
      </c>
      <c r="AF101" s="72" t="n">
        <f aca="false">IFERROR(AF100/AF104,0)</f>
        <v>4.05329634877757</v>
      </c>
      <c r="AG101" s="72" t="n">
        <f aca="false">IFERROR(AG100/AG104,0)</f>
        <v>4.08729602604306</v>
      </c>
      <c r="AH101" s="72" t="n">
        <f aca="false">IFERROR(AH100/AH104,0)</f>
        <v>4.12084081518666</v>
      </c>
      <c r="AI101" s="72" t="n">
        <f aca="false">IFERROR(AI100/AI104,0)</f>
        <v>4.15405967507249</v>
      </c>
      <c r="AJ101" s="72" t="n">
        <f aca="false">IFERROR(AJ100/AJ104,0)</f>
        <v>4.1870718003216</v>
      </c>
      <c r="AK101" s="72" t="n">
        <f aca="false">IFERROR(AK100/AK104,0)</f>
        <v>4.2199879279023</v>
      </c>
      <c r="AL101" s="72" t="n">
        <f aca="false">IFERROR(AL100/AL104,0)</f>
        <v>4.25291137239646</v>
      </c>
      <c r="AM101" s="72" t="n">
        <f aca="false">AVERAGE(N101:AL101)</f>
        <v>3.80762843202682</v>
      </c>
    </row>
    <row r="102" customFormat="false" ht="15" hidden="false" customHeight="false" outlineLevel="0" collapsed="false">
      <c r="A102" s="10" t="s">
        <v>817</v>
      </c>
      <c r="B102" s="9" t="s">
        <v>95</v>
      </c>
      <c r="C102" s="63" t="n">
        <f aca="false">Assumptions!$E$70*(1-Assumptions!$E$80)*(1-Assumptions!$E$79)-Assumptions!$E$73-Assumptions!$E$75-Assumptions!$E$76-Assumptions!$E$77</f>
        <v>116.02563</v>
      </c>
      <c r="D102" s="63" t="n">
        <f aca="false">Assumptions!$E$70*(1-Assumptions!$E$80)*(1-Assumptions!$E$79)-Assumptions!$E$73-Assumptions!$E$75-Assumptions!$E$76-Assumptions!$E$77</f>
        <v>116.02563</v>
      </c>
      <c r="E102" s="63" t="n">
        <f aca="false">Assumptions!$E$70*(1-Assumptions!$E$80)*(1-Assumptions!$E$79)-Assumptions!$E$73-Assumptions!$E$75-Assumptions!$E$76-Assumptions!$E$77</f>
        <v>116.02563</v>
      </c>
      <c r="F102" s="63" t="n">
        <f aca="false">Assumptions!$E$70*(1-Assumptions!$E$80)*(1-Assumptions!$E$79)-Assumptions!$E$73-Assumptions!$E$75-Assumptions!$E$76-Assumptions!$E$77</f>
        <v>116.02563</v>
      </c>
      <c r="G102" s="63" t="n">
        <f aca="false">Assumptions!$E$70*(1-Assumptions!$E$80)*(1-Assumptions!$E$79)-Assumptions!$E$73-Assumptions!$E$75-Assumptions!$E$76-Assumptions!$E$77</f>
        <v>116.02563</v>
      </c>
      <c r="H102" s="63" t="n">
        <f aca="false">Assumptions!$E$70*(1-Assumptions!$E$80)*(1-Assumptions!$E$79)-Assumptions!$E$73-Assumptions!$E$75-Assumptions!$E$76-Assumptions!$E$77</f>
        <v>116.02563</v>
      </c>
      <c r="I102" s="63" t="n">
        <f aca="false">Assumptions!$E$70*(1-Assumptions!$E$80)*(1-Assumptions!$E$79)-Assumptions!$E$73-Assumptions!$E$75-Assumptions!$E$76-Assumptions!$E$77</f>
        <v>116.02563</v>
      </c>
      <c r="J102" s="63" t="n">
        <f aca="false">Assumptions!$E$70*(1-Assumptions!$E$80)*(1-Assumptions!$E$79)-Assumptions!$E$73-Assumptions!$E$75-Assumptions!$E$76-Assumptions!$E$77</f>
        <v>116.02563</v>
      </c>
      <c r="K102" s="63" t="n">
        <f aca="false">Assumptions!$E$70*(1-Assumptions!$E$80)*(1-Assumptions!$E$79)-Assumptions!$E$73-Assumptions!$E$75-Assumptions!$E$76-Assumptions!$E$77</f>
        <v>116.02563</v>
      </c>
      <c r="L102" s="63" t="n">
        <f aca="false">Assumptions!$E$70*(1-Assumptions!$E$80)*(1-Assumptions!$E$79)-Assumptions!$E$73-Assumptions!$E$75-Assumptions!$E$76-Assumptions!$E$77</f>
        <v>116.02563</v>
      </c>
      <c r="M102" s="63" t="n">
        <f aca="false">Assumptions!$E$70*(1-Assumptions!$E$80)*(1-Assumptions!$E$79)-Assumptions!$E$73-Assumptions!$E$75-Assumptions!$E$76-Assumptions!$E$77</f>
        <v>116.02563</v>
      </c>
      <c r="N102" s="63" t="n">
        <f aca="false">Assumptions!$E$70*(1-Assumptions!$E$80)*(1-Assumptions!$E$79)-Assumptions!$E$73-Assumptions!$E$75-Assumptions!$E$76-Assumptions!$E$77</f>
        <v>116.02563</v>
      </c>
      <c r="O102" s="63" t="n">
        <f aca="false">Assumptions!$E$70*(1-Assumptions!$E$80)*(1-Assumptions!$E$79)-Assumptions!$E$73-Assumptions!$E$75-Assumptions!$E$76-Assumptions!$E$77</f>
        <v>116.02563</v>
      </c>
      <c r="P102" s="63" t="n">
        <f aca="false">Assumptions!$E$70*(1-Assumptions!$E$80)*(1-Assumptions!$E$79)-Assumptions!$E$73-Assumptions!$E$75-Assumptions!$E$76-Assumptions!$E$77</f>
        <v>116.02563</v>
      </c>
      <c r="Q102" s="63" t="n">
        <f aca="false">Assumptions!$E$70*(1-Assumptions!$E$80)*(1-Assumptions!$E$79)-Assumptions!$E$73-Assumptions!$E$75-Assumptions!$E$76-Assumptions!$E$77</f>
        <v>116.02563</v>
      </c>
      <c r="R102" s="63" t="n">
        <f aca="false">Assumptions!$E$70*(1-Assumptions!$E$80)*(1-Assumptions!$E$79)-Assumptions!$E$73-Assumptions!$E$75-Assumptions!$E$76-Assumptions!$E$77</f>
        <v>116.02563</v>
      </c>
      <c r="S102" s="63" t="n">
        <f aca="false">Assumptions!$E$70*(1-Assumptions!$E$80)*(1-Assumptions!$E$79)-Assumptions!$E$73-Assumptions!$E$75-Assumptions!$E$76-Assumptions!$E$77</f>
        <v>116.02563</v>
      </c>
      <c r="T102" s="63" t="n">
        <f aca="false">Assumptions!$E$70*(1-Assumptions!$E$80)*(1-Assumptions!$E$79)-Assumptions!$E$73-Assumptions!$E$75-Assumptions!$E$76-Assumptions!$E$77</f>
        <v>116.02563</v>
      </c>
      <c r="U102" s="63" t="n">
        <f aca="false">Assumptions!$E$70*(1-Assumptions!$E$80)*(1-Assumptions!$E$79)-Assumptions!$E$73-Assumptions!$E$75-Assumptions!$E$76-Assumptions!$E$77</f>
        <v>116.02563</v>
      </c>
      <c r="V102" s="63" t="n">
        <f aca="false">Assumptions!$E$70*(1-Assumptions!$E$80)*(1-Assumptions!$E$79)-Assumptions!$E$73-Assumptions!$E$75-Assumptions!$E$76-Assumptions!$E$77</f>
        <v>116.02563</v>
      </c>
      <c r="W102" s="63" t="n">
        <f aca="false">Assumptions!$E$70*(1-Assumptions!$E$80)*(1-Assumptions!$E$79)-Assumptions!$E$73-Assumptions!$E$75-Assumptions!$E$76-Assumptions!$E$77</f>
        <v>116.02563</v>
      </c>
      <c r="X102" s="63" t="n">
        <f aca="false">Assumptions!$E$70*(1-Assumptions!$E$80)*(1-Assumptions!$E$79)-Assumptions!$E$73-Assumptions!$E$75-Assumptions!$E$76-Assumptions!$E$77</f>
        <v>116.02563</v>
      </c>
      <c r="Y102" s="63" t="n">
        <f aca="false">Assumptions!$E$70*(1-Assumptions!$E$80)*(1-Assumptions!$E$79)-Assumptions!$E$73-Assumptions!$E$75-Assumptions!$E$76-Assumptions!$E$77</f>
        <v>116.02563</v>
      </c>
      <c r="Z102" s="63" t="n">
        <f aca="false">Assumptions!$E$70*(1-Assumptions!$E$80)*(1-Assumptions!$E$79)-Assumptions!$E$73-Assumptions!$E$75-Assumptions!$E$76-Assumptions!$E$77</f>
        <v>116.02563</v>
      </c>
      <c r="AA102" s="63" t="n">
        <f aca="false">Assumptions!$E$70*(1-Assumptions!$E$80)*(1-Assumptions!$E$79)-Assumptions!$E$73-Assumptions!$E$75-Assumptions!$E$76-Assumptions!$E$77</f>
        <v>116.02563</v>
      </c>
      <c r="AB102" s="63" t="n">
        <f aca="false">Assumptions!$E$70*(1-Assumptions!$E$80)*(1-Assumptions!$E$79)-Assumptions!$E$73-Assumptions!$E$75-Assumptions!$E$76-Assumptions!$E$77</f>
        <v>116.02563</v>
      </c>
      <c r="AC102" s="63" t="n">
        <f aca="false">Assumptions!$E$70*(1-Assumptions!$E$80)*(1-Assumptions!$E$79)-Assumptions!$E$73-Assumptions!$E$75-Assumptions!$E$76-Assumptions!$E$77</f>
        <v>116.02563</v>
      </c>
      <c r="AD102" s="63" t="n">
        <f aca="false">Assumptions!$E$70*(1-Assumptions!$E$80)*(1-Assumptions!$E$79)-Assumptions!$E$73-Assumptions!$E$75-Assumptions!$E$76-Assumptions!$E$77</f>
        <v>116.02563</v>
      </c>
      <c r="AE102" s="63" t="n">
        <f aca="false">Assumptions!$E$70*(1-Assumptions!$E$80)*(1-Assumptions!$E$79)-Assumptions!$E$73-Assumptions!$E$75-Assumptions!$E$76-Assumptions!$E$77</f>
        <v>116.02563</v>
      </c>
      <c r="AF102" s="63" t="n">
        <f aca="false">Assumptions!$E$70*(1-Assumptions!$E$80)*(1-Assumptions!$E$79)-Assumptions!$E$73-Assumptions!$E$75-Assumptions!$E$76-Assumptions!$E$77</f>
        <v>116.02563</v>
      </c>
      <c r="AG102" s="63" t="n">
        <f aca="false">Assumptions!$E$70*(1-Assumptions!$E$80)*(1-Assumptions!$E$79)-Assumptions!$E$73-Assumptions!$E$75-Assumptions!$E$76-Assumptions!$E$77</f>
        <v>116.02563</v>
      </c>
      <c r="AH102" s="63" t="n">
        <f aca="false">Assumptions!$E$70*(1-Assumptions!$E$80)*(1-Assumptions!$E$79)-Assumptions!$E$73-Assumptions!$E$75-Assumptions!$E$76-Assumptions!$E$77</f>
        <v>116.02563</v>
      </c>
      <c r="AI102" s="63" t="n">
        <f aca="false">Assumptions!$E$70*(1-Assumptions!$E$80)*(1-Assumptions!$E$79)-Assumptions!$E$73-Assumptions!$E$75-Assumptions!$E$76-Assumptions!$E$77</f>
        <v>116.02563</v>
      </c>
      <c r="AJ102" s="63" t="n">
        <f aca="false">Assumptions!$E$70*(1-Assumptions!$E$80)*(1-Assumptions!$E$79)-Assumptions!$E$73-Assumptions!$E$75-Assumptions!$E$76-Assumptions!$E$77</f>
        <v>116.02563</v>
      </c>
      <c r="AK102" s="63" t="n">
        <f aca="false">Assumptions!$E$70*(1-Assumptions!$E$80)*(1-Assumptions!$E$79)-Assumptions!$E$73-Assumptions!$E$75-Assumptions!$E$76-Assumptions!$E$77</f>
        <v>116.02563</v>
      </c>
      <c r="AL102" s="63" t="n">
        <f aca="false">Assumptions!$E$70*(1-Assumptions!$E$80)*(1-Assumptions!$E$79)-Assumptions!$E$73-Assumptions!$E$75-Assumptions!$E$76-Assumptions!$E$77</f>
        <v>116.02563</v>
      </c>
      <c r="AM102" s="63" t="n">
        <f aca="false">AVERAGE(N102:AL102)</f>
        <v>116.02563</v>
      </c>
    </row>
    <row r="103" customFormat="false" ht="15" hidden="false" customHeight="false" outlineLevel="0" collapsed="false">
      <c r="A103" s="10" t="s">
        <v>818</v>
      </c>
      <c r="B103" s="9" t="s">
        <v>95</v>
      </c>
      <c r="C103" s="70" t="n">
        <f aca="false">C102/Assumptions!$E$68</f>
        <v>1054.77845454545</v>
      </c>
      <c r="D103" s="70" t="n">
        <f aca="false">D102/Assumptions!$E$68</f>
        <v>1054.77845454545</v>
      </c>
      <c r="E103" s="70" t="n">
        <f aca="false">E102/Assumptions!$E$68</f>
        <v>1054.77845454545</v>
      </c>
      <c r="F103" s="70" t="n">
        <f aca="false">F102/Assumptions!$E$68</f>
        <v>1054.77845454545</v>
      </c>
      <c r="G103" s="70" t="n">
        <f aca="false">G102/Assumptions!$E$68</f>
        <v>1054.77845454545</v>
      </c>
      <c r="H103" s="70" t="n">
        <f aca="false">H102/Assumptions!$E$68</f>
        <v>1054.77845454545</v>
      </c>
      <c r="I103" s="70" t="n">
        <f aca="false">I102/Assumptions!$E$68</f>
        <v>1054.77845454545</v>
      </c>
      <c r="J103" s="70" t="n">
        <f aca="false">J102/Assumptions!$E$68</f>
        <v>1054.77845454545</v>
      </c>
      <c r="K103" s="70" t="n">
        <f aca="false">K102/Assumptions!$E$68</f>
        <v>1054.77845454545</v>
      </c>
      <c r="L103" s="70" t="n">
        <f aca="false">L102/Assumptions!$E$68</f>
        <v>1054.77845454545</v>
      </c>
      <c r="M103" s="70" t="n">
        <f aca="false">M102/Assumptions!$E$68</f>
        <v>1054.77845454545</v>
      </c>
      <c r="N103" s="70" t="n">
        <f aca="false">N102/Assumptions!$E$68</f>
        <v>1054.77845454545</v>
      </c>
      <c r="O103" s="70" t="n">
        <f aca="false">O102/Assumptions!$E$68</f>
        <v>1054.77845454545</v>
      </c>
      <c r="P103" s="70" t="n">
        <f aca="false">P102/Assumptions!$E$68</f>
        <v>1054.77845454545</v>
      </c>
      <c r="Q103" s="70" t="n">
        <f aca="false">Q102/Assumptions!$E$68</f>
        <v>1054.77845454545</v>
      </c>
      <c r="R103" s="70" t="n">
        <f aca="false">R102/Assumptions!$E$68</f>
        <v>1054.77845454545</v>
      </c>
      <c r="S103" s="70" t="n">
        <f aca="false">S102/Assumptions!$E$68</f>
        <v>1054.77845454545</v>
      </c>
      <c r="T103" s="70" t="n">
        <f aca="false">T102/Assumptions!$E$68</f>
        <v>1054.77845454545</v>
      </c>
      <c r="U103" s="70" t="n">
        <f aca="false">U102/Assumptions!$E$68</f>
        <v>1054.77845454545</v>
      </c>
      <c r="V103" s="70" t="n">
        <f aca="false">V102/Assumptions!$E$68</f>
        <v>1054.77845454545</v>
      </c>
      <c r="W103" s="70" t="n">
        <f aca="false">W102/Assumptions!$E$68</f>
        <v>1054.77845454545</v>
      </c>
      <c r="X103" s="70" t="n">
        <f aca="false">X102/Assumptions!$E$68</f>
        <v>1054.77845454545</v>
      </c>
      <c r="Y103" s="70" t="n">
        <f aca="false">Y102/Assumptions!$E$68</f>
        <v>1054.77845454545</v>
      </c>
      <c r="Z103" s="70" t="n">
        <f aca="false">Z102/Assumptions!$E$68</f>
        <v>1054.77845454545</v>
      </c>
      <c r="AA103" s="70" t="n">
        <f aca="false">AA102/Assumptions!$E$68</f>
        <v>1054.77845454545</v>
      </c>
      <c r="AB103" s="70" t="n">
        <f aca="false">AB102/Assumptions!$E$68</f>
        <v>1054.77845454545</v>
      </c>
      <c r="AC103" s="70" t="n">
        <f aca="false">AC102/Assumptions!$E$68</f>
        <v>1054.77845454545</v>
      </c>
      <c r="AD103" s="70" t="n">
        <f aca="false">AD102/Assumptions!$E$68</f>
        <v>1054.77845454545</v>
      </c>
      <c r="AE103" s="70" t="n">
        <f aca="false">AE102/Assumptions!$E$68</f>
        <v>1054.77845454545</v>
      </c>
      <c r="AF103" s="70" t="n">
        <f aca="false">AF102/Assumptions!$E$68</f>
        <v>1054.77845454545</v>
      </c>
      <c r="AG103" s="70" t="n">
        <f aca="false">AG102/Assumptions!$E$68</f>
        <v>1054.77845454545</v>
      </c>
      <c r="AH103" s="70" t="n">
        <f aca="false">AH102/Assumptions!$E$68</f>
        <v>1054.77845454545</v>
      </c>
      <c r="AI103" s="70" t="n">
        <f aca="false">AI102/Assumptions!$E$68</f>
        <v>1054.77845454545</v>
      </c>
      <c r="AJ103" s="70" t="n">
        <f aca="false">AJ102/Assumptions!$E$68</f>
        <v>1054.77845454545</v>
      </c>
      <c r="AK103" s="70" t="n">
        <f aca="false">AK102/Assumptions!$E$68</f>
        <v>1054.77845454545</v>
      </c>
      <c r="AL103" s="70" t="n">
        <f aca="false">AL102/Assumptions!$E$68</f>
        <v>1054.77845454545</v>
      </c>
      <c r="AM103" s="70" t="n">
        <f aca="false">AVERAGE(N103:AL103)</f>
        <v>1054.77845454545</v>
      </c>
    </row>
    <row r="104" customFormat="false" ht="15" hidden="false" customHeight="false" outlineLevel="0" collapsed="false">
      <c r="A104" s="10" t="s">
        <v>397</v>
      </c>
      <c r="B104" s="9" t="s">
        <v>95</v>
      </c>
      <c r="C104" s="63" t="n">
        <f aca="false">Assumptions!$E$50*(1-Assumptions!$E$80)*(1-Assumptions!$E$79)-Assumptions!$E$50*Assumptions!$E$55-Assumptions!$E$56</f>
        <v>45.68586</v>
      </c>
      <c r="D104" s="63" t="n">
        <f aca="false">Assumptions!$E$50*(1-Assumptions!$E$80)*(1-Assumptions!$E$79)-Assumptions!$E$50*Assumptions!$E$55-Assumptions!$E$56</f>
        <v>45.68586</v>
      </c>
      <c r="E104" s="63" t="n">
        <f aca="false">Assumptions!$E$50*(1-Assumptions!$E$80)*(1-Assumptions!$E$79)-Assumptions!$E$50*Assumptions!$E$55-Assumptions!$E$56</f>
        <v>45.68586</v>
      </c>
      <c r="F104" s="63" t="n">
        <f aca="false">Assumptions!$E$50*(1-Assumptions!$E$80)*(1-Assumptions!$E$79)-Assumptions!$E$50*Assumptions!$E$55-Assumptions!$E$56</f>
        <v>45.68586</v>
      </c>
      <c r="G104" s="63" t="n">
        <f aca="false">Assumptions!$E$50*(1-Assumptions!$E$80)*(1-Assumptions!$E$79)-Assumptions!$E$50*Assumptions!$E$55-Assumptions!$E$56</f>
        <v>45.68586</v>
      </c>
      <c r="H104" s="63" t="n">
        <f aca="false">Assumptions!$E$50*(1-Assumptions!$E$80)*(1-Assumptions!$E$79)-Assumptions!$E$50*Assumptions!$E$55-Assumptions!$E$56</f>
        <v>45.68586</v>
      </c>
      <c r="I104" s="63" t="n">
        <f aca="false">Assumptions!$E$50*(1-Assumptions!$E$80)*(1-Assumptions!$E$79)-Assumptions!$E$50*Assumptions!$E$55-Assumptions!$E$56</f>
        <v>45.68586</v>
      </c>
      <c r="J104" s="63" t="n">
        <f aca="false">Assumptions!$E$50*(1-Assumptions!$E$80)*(1-Assumptions!$E$79)-Assumptions!$E$50*Assumptions!$E$55-Assumptions!$E$56</f>
        <v>45.68586</v>
      </c>
      <c r="K104" s="63" t="n">
        <f aca="false">Assumptions!$E$50*(1-Assumptions!$E$80)*(1-Assumptions!$E$79)-Assumptions!$E$50*Assumptions!$E$55-Assumptions!$E$56</f>
        <v>45.68586</v>
      </c>
      <c r="L104" s="63" t="n">
        <f aca="false">Assumptions!$E$50*(1-Assumptions!$E$80)*(1-Assumptions!$E$79)-Assumptions!$E$50*Assumptions!$E$55-Assumptions!$E$56</f>
        <v>45.68586</v>
      </c>
      <c r="M104" s="63" t="n">
        <f aca="false">Assumptions!$E$50*(1-Assumptions!$E$80)*(1-Assumptions!$E$79)-Assumptions!$E$50*Assumptions!$E$55-Assumptions!$E$56</f>
        <v>45.68586</v>
      </c>
      <c r="N104" s="63" t="n">
        <f aca="false">Assumptions!$E$50*(1-Assumptions!$E$80)*(1-Assumptions!$E$79)-Assumptions!$E$50*Assumptions!$E$55-Assumptions!$E$56</f>
        <v>45.68586</v>
      </c>
      <c r="O104" s="63" t="n">
        <f aca="false">Assumptions!$E$50*(1-Assumptions!$E$80)*(1-Assumptions!$E$79)-Assumptions!$E$50*Assumptions!$E$55-Assumptions!$E$56</f>
        <v>45.68586</v>
      </c>
      <c r="P104" s="63" t="n">
        <f aca="false">Assumptions!$E$50*(1-Assumptions!$E$80)*(1-Assumptions!$E$79)-Assumptions!$E$50*Assumptions!$E$55-Assumptions!$E$56</f>
        <v>45.68586</v>
      </c>
      <c r="Q104" s="63" t="n">
        <f aca="false">Assumptions!$E$50*(1-Assumptions!$E$80)*(1-Assumptions!$E$79)-Assumptions!$E$50*Assumptions!$E$55-Assumptions!$E$56</f>
        <v>45.68586</v>
      </c>
      <c r="R104" s="63" t="n">
        <f aca="false">Assumptions!$E$50*(1-Assumptions!$E$80)*(1-Assumptions!$E$79)-Assumptions!$E$50*Assumptions!$E$55-Assumptions!$E$56</f>
        <v>45.68586</v>
      </c>
      <c r="S104" s="63" t="n">
        <f aca="false">Assumptions!$E$50*(1-Assumptions!$E$80)*(1-Assumptions!$E$79)-Assumptions!$E$50*Assumptions!$E$55-Assumptions!$E$56</f>
        <v>45.68586</v>
      </c>
      <c r="T104" s="63" t="n">
        <f aca="false">Assumptions!$E$50*(1-Assumptions!$E$80)*(1-Assumptions!$E$79)-Assumptions!$E$50*Assumptions!$E$55-Assumptions!$E$56</f>
        <v>45.68586</v>
      </c>
      <c r="U104" s="63" t="n">
        <f aca="false">Assumptions!$E$50*(1-Assumptions!$E$80)*(1-Assumptions!$E$79)-Assumptions!$E$50*Assumptions!$E$55-Assumptions!$E$56</f>
        <v>45.68586</v>
      </c>
      <c r="V104" s="63" t="n">
        <f aca="false">Assumptions!$E$50*(1-Assumptions!$E$80)*(1-Assumptions!$E$79)-Assumptions!$E$50*Assumptions!$E$55-Assumptions!$E$56</f>
        <v>45.68586</v>
      </c>
      <c r="W104" s="63" t="n">
        <f aca="false">Assumptions!$E$50*(1-Assumptions!$E$80)*(1-Assumptions!$E$79)-Assumptions!$E$50*Assumptions!$E$55-Assumptions!$E$56</f>
        <v>45.68586</v>
      </c>
      <c r="X104" s="63" t="n">
        <f aca="false">Assumptions!$E$50*(1-Assumptions!$E$80)*(1-Assumptions!$E$79)-Assumptions!$E$50*Assumptions!$E$55-Assumptions!$E$56</f>
        <v>45.68586</v>
      </c>
      <c r="Y104" s="63" t="n">
        <f aca="false">Assumptions!$E$50*(1-Assumptions!$E$80)*(1-Assumptions!$E$79)-Assumptions!$E$50*Assumptions!$E$55-Assumptions!$E$56</f>
        <v>45.68586</v>
      </c>
      <c r="Z104" s="63" t="n">
        <f aca="false">Assumptions!$E$50*(1-Assumptions!$E$80)*(1-Assumptions!$E$79)-Assumptions!$E$50*Assumptions!$E$55-Assumptions!$E$56</f>
        <v>45.68586</v>
      </c>
      <c r="AA104" s="63" t="n">
        <f aca="false">Assumptions!$E$50*(1-Assumptions!$E$80)*(1-Assumptions!$E$79)-Assumptions!$E$50*Assumptions!$E$55-Assumptions!$E$56</f>
        <v>45.68586</v>
      </c>
      <c r="AB104" s="63" t="n">
        <f aca="false">Assumptions!$E$50*(1-Assumptions!$E$80)*(1-Assumptions!$E$79)-Assumptions!$E$50*Assumptions!$E$55-Assumptions!$E$56</f>
        <v>45.68586</v>
      </c>
      <c r="AC104" s="63" t="n">
        <f aca="false">Assumptions!$E$50*(1-Assumptions!$E$80)*(1-Assumptions!$E$79)-Assumptions!$E$50*Assumptions!$E$55-Assumptions!$E$56</f>
        <v>45.68586</v>
      </c>
      <c r="AD104" s="63" t="n">
        <f aca="false">Assumptions!$E$50*(1-Assumptions!$E$80)*(1-Assumptions!$E$79)-Assumptions!$E$50*Assumptions!$E$55-Assumptions!$E$56</f>
        <v>45.68586</v>
      </c>
      <c r="AE104" s="63" t="n">
        <f aca="false">Assumptions!$E$50*(1-Assumptions!$E$80)*(1-Assumptions!$E$79)-Assumptions!$E$50*Assumptions!$E$55-Assumptions!$E$56</f>
        <v>45.68586</v>
      </c>
      <c r="AF104" s="63" t="n">
        <f aca="false">Assumptions!$E$50*(1-Assumptions!$E$80)*(1-Assumptions!$E$79)-Assumptions!$E$50*Assumptions!$E$55-Assumptions!$E$56</f>
        <v>45.68586</v>
      </c>
      <c r="AG104" s="63" t="n">
        <f aca="false">Assumptions!$E$50*(1-Assumptions!$E$80)*(1-Assumptions!$E$79)-Assumptions!$E$50*Assumptions!$E$55-Assumptions!$E$56</f>
        <v>45.68586</v>
      </c>
      <c r="AH104" s="63" t="n">
        <f aca="false">Assumptions!$E$50*(1-Assumptions!$E$80)*(1-Assumptions!$E$79)-Assumptions!$E$50*Assumptions!$E$55-Assumptions!$E$56</f>
        <v>45.68586</v>
      </c>
      <c r="AI104" s="63" t="n">
        <f aca="false">Assumptions!$E$50*(1-Assumptions!$E$80)*(1-Assumptions!$E$79)-Assumptions!$E$50*Assumptions!$E$55-Assumptions!$E$56</f>
        <v>45.68586</v>
      </c>
      <c r="AJ104" s="63" t="n">
        <f aca="false">Assumptions!$E$50*(1-Assumptions!$E$80)*(1-Assumptions!$E$79)-Assumptions!$E$50*Assumptions!$E$55-Assumptions!$E$56</f>
        <v>45.68586</v>
      </c>
      <c r="AK104" s="63" t="n">
        <f aca="false">Assumptions!$E$50*(1-Assumptions!$E$80)*(1-Assumptions!$E$79)-Assumptions!$E$50*Assumptions!$E$55-Assumptions!$E$56</f>
        <v>45.68586</v>
      </c>
      <c r="AL104" s="63" t="n">
        <f aca="false">Assumptions!$E$50*(1-Assumptions!$E$80)*(1-Assumptions!$E$79)-Assumptions!$E$50*Assumptions!$E$55-Assumptions!$E$56</f>
        <v>45.68586</v>
      </c>
      <c r="AM104" s="63" t="n">
        <f aca="false">AVERAGE(N104:AL104)</f>
        <v>45.68586</v>
      </c>
    </row>
    <row r="105" customFormat="false" ht="15" hidden="false" customHeight="false" outlineLevel="0" collapsed="false">
      <c r="A105" s="10" t="s">
        <v>398</v>
      </c>
      <c r="B105" s="9" t="s">
        <v>95</v>
      </c>
      <c r="C105" s="70" t="n">
        <f aca="false">C104/Assumptions!$E$52</f>
        <v>652.655142857143</v>
      </c>
      <c r="D105" s="70" t="n">
        <f aca="false">D104/Assumptions!$E$52</f>
        <v>652.655142857143</v>
      </c>
      <c r="E105" s="70" t="n">
        <f aca="false">E104/Assumptions!$E$52</f>
        <v>652.655142857143</v>
      </c>
      <c r="F105" s="70" t="n">
        <f aca="false">F104/Assumptions!$E$52</f>
        <v>652.655142857143</v>
      </c>
      <c r="G105" s="70" t="n">
        <f aca="false">G104/Assumptions!$E$52</f>
        <v>652.655142857143</v>
      </c>
      <c r="H105" s="70" t="n">
        <f aca="false">H104/Assumptions!$E$52</f>
        <v>652.655142857143</v>
      </c>
      <c r="I105" s="70" t="n">
        <f aca="false">I104/Assumptions!$E$52</f>
        <v>652.655142857143</v>
      </c>
      <c r="J105" s="70" t="n">
        <f aca="false">J104/Assumptions!$E$52</f>
        <v>652.655142857143</v>
      </c>
      <c r="K105" s="70" t="n">
        <f aca="false">K104/Assumptions!$E$52</f>
        <v>652.655142857143</v>
      </c>
      <c r="L105" s="70" t="n">
        <f aca="false">L104/Assumptions!$E$52</f>
        <v>652.655142857143</v>
      </c>
      <c r="M105" s="70" t="n">
        <f aca="false">M104/Assumptions!$E$52</f>
        <v>652.655142857143</v>
      </c>
      <c r="N105" s="70" t="n">
        <f aca="false">N104/Assumptions!$E$52</f>
        <v>652.655142857143</v>
      </c>
      <c r="O105" s="70" t="n">
        <f aca="false">O104/Assumptions!$E$52</f>
        <v>652.655142857143</v>
      </c>
      <c r="P105" s="70" t="n">
        <f aca="false">P104/Assumptions!$E$52</f>
        <v>652.655142857143</v>
      </c>
      <c r="Q105" s="70" t="n">
        <f aca="false">Q104/Assumptions!$E$52</f>
        <v>652.655142857143</v>
      </c>
      <c r="R105" s="70" t="n">
        <f aca="false">R104/Assumptions!$E$52</f>
        <v>652.655142857143</v>
      </c>
      <c r="S105" s="70" t="n">
        <f aca="false">S104/Assumptions!$E$52</f>
        <v>652.655142857143</v>
      </c>
      <c r="T105" s="70" t="n">
        <f aca="false">T104/Assumptions!$E$52</f>
        <v>652.655142857143</v>
      </c>
      <c r="U105" s="70" t="n">
        <f aca="false">U104/Assumptions!$E$52</f>
        <v>652.655142857143</v>
      </c>
      <c r="V105" s="70" t="n">
        <f aca="false">V104/Assumptions!$E$52</f>
        <v>652.655142857143</v>
      </c>
      <c r="W105" s="70" t="n">
        <f aca="false">W104/Assumptions!$E$52</f>
        <v>652.655142857143</v>
      </c>
      <c r="X105" s="70" t="n">
        <f aca="false">X104/Assumptions!$E$52</f>
        <v>652.655142857143</v>
      </c>
      <c r="Y105" s="70" t="n">
        <f aca="false">Y104/Assumptions!$E$52</f>
        <v>652.655142857143</v>
      </c>
      <c r="Z105" s="70" t="n">
        <f aca="false">Z104/Assumptions!$E$52</f>
        <v>652.655142857143</v>
      </c>
      <c r="AA105" s="70" t="n">
        <f aca="false">AA104/Assumptions!$E$52</f>
        <v>652.655142857143</v>
      </c>
      <c r="AB105" s="70" t="n">
        <f aca="false">AB104/Assumptions!$E$52</f>
        <v>652.655142857143</v>
      </c>
      <c r="AC105" s="70" t="n">
        <f aca="false">AC104/Assumptions!$E$52</f>
        <v>652.655142857143</v>
      </c>
      <c r="AD105" s="70" t="n">
        <f aca="false">AD104/Assumptions!$E$52</f>
        <v>652.655142857143</v>
      </c>
      <c r="AE105" s="70" t="n">
        <f aca="false">AE104/Assumptions!$E$52</f>
        <v>652.655142857143</v>
      </c>
      <c r="AF105" s="70" t="n">
        <f aca="false">AF104/Assumptions!$E$52</f>
        <v>652.655142857143</v>
      </c>
      <c r="AG105" s="70" t="n">
        <f aca="false">AG104/Assumptions!$E$52</f>
        <v>652.655142857143</v>
      </c>
      <c r="AH105" s="70" t="n">
        <f aca="false">AH104/Assumptions!$E$52</f>
        <v>652.655142857143</v>
      </c>
      <c r="AI105" s="70" t="n">
        <f aca="false">AI104/Assumptions!$E$52</f>
        <v>652.655142857143</v>
      </c>
      <c r="AJ105" s="70" t="n">
        <f aca="false">AJ104/Assumptions!$E$52</f>
        <v>652.655142857143</v>
      </c>
      <c r="AK105" s="70" t="n">
        <f aca="false">AK104/Assumptions!$E$52</f>
        <v>652.655142857143</v>
      </c>
      <c r="AL105" s="70" t="n">
        <f aca="false">AL104/Assumptions!$E$52</f>
        <v>652.655142857143</v>
      </c>
      <c r="AM105" s="70" t="n">
        <f aca="false">AVERAGE(N105:AL105)</f>
        <v>652.655142857143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820</v>
      </c>
    </row>
    <row r="2" customFormat="false" ht="15" hidden="false" customHeight="false" outlineLevel="0" collapsed="false">
      <c r="A2" s="67" t="s">
        <v>681</v>
      </c>
    </row>
    <row r="4" customFormat="false" ht="15" hidden="false" customHeight="false" outlineLevel="0" collapsed="false">
      <c r="A4" s="37" t="s">
        <v>682</v>
      </c>
      <c r="B4" s="37" t="s">
        <v>25</v>
      </c>
      <c r="C4" s="68" t="s">
        <v>683</v>
      </c>
      <c r="D4" s="68" t="s">
        <v>684</v>
      </c>
      <c r="E4" s="68" t="s">
        <v>685</v>
      </c>
      <c r="F4" s="68" t="s">
        <v>686</v>
      </c>
      <c r="G4" s="68" t="s">
        <v>687</v>
      </c>
      <c r="H4" s="68" t="s">
        <v>688</v>
      </c>
      <c r="I4" s="68" t="s">
        <v>689</v>
      </c>
      <c r="J4" s="68" t="s">
        <v>690</v>
      </c>
      <c r="K4" s="68" t="s">
        <v>691</v>
      </c>
      <c r="L4" s="68" t="s">
        <v>692</v>
      </c>
      <c r="M4" s="68" t="s">
        <v>693</v>
      </c>
      <c r="N4" s="68" t="s">
        <v>694</v>
      </c>
      <c r="O4" s="68" t="s">
        <v>695</v>
      </c>
      <c r="P4" s="68" t="s">
        <v>696</v>
      </c>
      <c r="Q4" s="68" t="s">
        <v>697</v>
      </c>
      <c r="R4" s="68" t="s">
        <v>698</v>
      </c>
      <c r="S4" s="68" t="s">
        <v>699</v>
      </c>
      <c r="T4" s="68" t="s">
        <v>700</v>
      </c>
      <c r="U4" s="68" t="s">
        <v>701</v>
      </c>
      <c r="V4" s="68" t="s">
        <v>702</v>
      </c>
      <c r="W4" s="68" t="s">
        <v>703</v>
      </c>
      <c r="X4" s="68" t="s">
        <v>704</v>
      </c>
      <c r="Y4" s="68" t="s">
        <v>705</v>
      </c>
      <c r="Z4" s="68" t="s">
        <v>706</v>
      </c>
      <c r="AA4" s="68" t="s">
        <v>707</v>
      </c>
      <c r="AB4" s="68" t="s">
        <v>708</v>
      </c>
      <c r="AC4" s="68" t="s">
        <v>709</v>
      </c>
      <c r="AD4" s="68" t="s">
        <v>710</v>
      </c>
      <c r="AE4" s="68" t="s">
        <v>711</v>
      </c>
      <c r="AF4" s="68" t="s">
        <v>712</v>
      </c>
      <c r="AG4" s="68" t="s">
        <v>713</v>
      </c>
      <c r="AH4" s="68" t="s">
        <v>714</v>
      </c>
      <c r="AI4" s="68" t="s">
        <v>715</v>
      </c>
      <c r="AJ4" s="68" t="s">
        <v>716</v>
      </c>
      <c r="AK4" s="68" t="s">
        <v>717</v>
      </c>
      <c r="AL4" s="68" t="s">
        <v>718</v>
      </c>
      <c r="AM4" s="37" t="s">
        <v>719</v>
      </c>
    </row>
    <row r="5" customFormat="false" ht="15" hidden="false" customHeight="false" outlineLevel="0" collapsed="false">
      <c r="A5" s="0" t="s">
        <v>720</v>
      </c>
      <c r="B5" s="0" t="s">
        <v>49</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721</v>
      </c>
      <c r="B6" s="0" t="s">
        <v>49</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722</v>
      </c>
      <c r="B8" s="9" t="s">
        <v>723</v>
      </c>
      <c r="C8" s="69" t="n">
        <f aca="false">IF(C$5&gt;=Assumptions!$F$6,1,0)</f>
        <v>0</v>
      </c>
      <c r="D8" s="69" t="n">
        <f aca="false">IF(D$5&gt;=Assumptions!$F$6,1,0)</f>
        <v>1</v>
      </c>
      <c r="E8" s="69" t="n">
        <f aca="false">IF(E$5&gt;=Assumptions!$F$6,1,0)</f>
        <v>1</v>
      </c>
      <c r="F8" s="69" t="n">
        <f aca="false">IF(F$5&gt;=Assumptions!$F$6,1,0)</f>
        <v>1</v>
      </c>
      <c r="G8" s="69" t="n">
        <f aca="false">IF(G$5&gt;=Assumptions!$F$6,1,0)</f>
        <v>1</v>
      </c>
      <c r="H8" s="69" t="n">
        <f aca="false">IF(H$5&gt;=Assumptions!$F$6,1,0)</f>
        <v>1</v>
      </c>
      <c r="I8" s="69" t="n">
        <f aca="false">IF(I$5&gt;=Assumptions!$F$6,1,0)</f>
        <v>1</v>
      </c>
      <c r="J8" s="69" t="n">
        <f aca="false">IF(J$5&gt;=Assumptions!$F$6,1,0)</f>
        <v>1</v>
      </c>
      <c r="K8" s="69" t="n">
        <f aca="false">IF(K$5&gt;=Assumptions!$F$6,1,0)</f>
        <v>1</v>
      </c>
      <c r="L8" s="69" t="n">
        <f aca="false">IF(L$5&gt;=Assumptions!$F$6,1,0)</f>
        <v>1</v>
      </c>
      <c r="M8" s="69" t="n">
        <f aca="false">IF(M$5&gt;=Assumptions!$F$6,1,0)</f>
        <v>1</v>
      </c>
      <c r="N8" s="69" t="n">
        <f aca="false">IF(N$5&gt;=Assumptions!$F$6,1,0)</f>
        <v>1</v>
      </c>
      <c r="O8" s="69" t="n">
        <f aca="false">IF(O$5&gt;=Assumptions!$F$6,1,0)</f>
        <v>1</v>
      </c>
      <c r="P8" s="69" t="n">
        <f aca="false">IF(P$5&gt;=Assumptions!$F$6,1,0)</f>
        <v>1</v>
      </c>
      <c r="Q8" s="69" t="n">
        <f aca="false">IF(Q$5&gt;=Assumptions!$F$6,1,0)</f>
        <v>1</v>
      </c>
      <c r="R8" s="69" t="n">
        <f aca="false">IF(R$5&gt;=Assumptions!$F$6,1,0)</f>
        <v>1</v>
      </c>
      <c r="S8" s="69" t="n">
        <f aca="false">IF(S$5&gt;=Assumptions!$F$6,1,0)</f>
        <v>1</v>
      </c>
      <c r="T8" s="69" t="n">
        <f aca="false">IF(T$5&gt;=Assumptions!$F$6,1,0)</f>
        <v>1</v>
      </c>
      <c r="U8" s="69" t="n">
        <f aca="false">IF(U$5&gt;=Assumptions!$F$6,1,0)</f>
        <v>1</v>
      </c>
      <c r="V8" s="69" t="n">
        <f aca="false">IF(V$5&gt;=Assumptions!$F$6,1,0)</f>
        <v>1</v>
      </c>
      <c r="W8" s="69" t="n">
        <f aca="false">IF(W$5&gt;=Assumptions!$F$6,1,0)</f>
        <v>1</v>
      </c>
      <c r="X8" s="69" t="n">
        <f aca="false">IF(X$5&gt;=Assumptions!$F$6,1,0)</f>
        <v>1</v>
      </c>
      <c r="Y8" s="69" t="n">
        <f aca="false">IF(Y$5&gt;=Assumptions!$F$6,1,0)</f>
        <v>1</v>
      </c>
      <c r="Z8" s="69" t="n">
        <f aca="false">IF(Z$5&gt;=Assumptions!$F$6,1,0)</f>
        <v>1</v>
      </c>
      <c r="AA8" s="69" t="n">
        <f aca="false">IF(AA$5&gt;=Assumptions!$F$6,1,0)</f>
        <v>1</v>
      </c>
      <c r="AB8" s="69" t="n">
        <f aca="false">IF(AB$5&gt;=Assumptions!$F$6,1,0)</f>
        <v>1</v>
      </c>
      <c r="AC8" s="69" t="n">
        <f aca="false">IF(AC$5&gt;=Assumptions!$F$6,1,0)</f>
        <v>1</v>
      </c>
      <c r="AD8" s="69" t="n">
        <f aca="false">IF(AD$5&gt;=Assumptions!$F$6,1,0)</f>
        <v>1</v>
      </c>
      <c r="AE8" s="69" t="n">
        <f aca="false">IF(AE$5&gt;=Assumptions!$F$6,1,0)</f>
        <v>1</v>
      </c>
      <c r="AF8" s="69" t="n">
        <f aca="false">IF(AF$5&gt;=Assumptions!$F$6,1,0)</f>
        <v>1</v>
      </c>
      <c r="AG8" s="69" t="n">
        <f aca="false">IF(AG$5&gt;=Assumptions!$F$6,1,0)</f>
        <v>1</v>
      </c>
      <c r="AH8" s="69" t="n">
        <f aca="false">IF(AH$5&gt;=Assumptions!$F$6,1,0)</f>
        <v>1</v>
      </c>
      <c r="AI8" s="69" t="n">
        <f aca="false">IF(AI$5&gt;=Assumptions!$F$6,1,0)</f>
        <v>1</v>
      </c>
      <c r="AJ8" s="69" t="n">
        <f aca="false">IF(AJ$5&gt;=Assumptions!$F$6,1,0)</f>
        <v>1</v>
      </c>
      <c r="AK8" s="69" t="n">
        <f aca="false">IF(AK$5&gt;=Assumptions!$F$6,1,0)</f>
        <v>1</v>
      </c>
      <c r="AL8" s="69" t="n">
        <f aca="false">IF(AL$5&gt;=Assumptions!$F$6,1,0)</f>
        <v>1</v>
      </c>
      <c r="AM8" s="69"/>
    </row>
    <row r="9" customFormat="false" ht="15" hidden="false" customHeight="false" outlineLevel="0" collapsed="false">
      <c r="A9" s="10" t="s">
        <v>724</v>
      </c>
      <c r="B9" s="9" t="s">
        <v>723</v>
      </c>
      <c r="C9" s="69" t="n">
        <f aca="false">IF(C$5&gt;=Assumptions!$F$7,1,0)</f>
        <v>0</v>
      </c>
      <c r="D9" s="69" t="n">
        <f aca="false">IF(D$5&gt;=Assumptions!$F$7,1,0)</f>
        <v>0</v>
      </c>
      <c r="E9" s="69" t="n">
        <f aca="false">IF(E$5&gt;=Assumptions!$F$7,1,0)</f>
        <v>0</v>
      </c>
      <c r="F9" s="69" t="n">
        <f aca="false">IF(F$5&gt;=Assumptions!$F$7,1,0)</f>
        <v>0</v>
      </c>
      <c r="G9" s="69" t="n">
        <f aca="false">IF(G$5&gt;=Assumptions!$F$7,1,0)</f>
        <v>1</v>
      </c>
      <c r="H9" s="69" t="n">
        <f aca="false">IF(H$5&gt;=Assumptions!$F$7,1,0)</f>
        <v>1</v>
      </c>
      <c r="I9" s="69" t="n">
        <f aca="false">IF(I$5&gt;=Assumptions!$F$7,1,0)</f>
        <v>1</v>
      </c>
      <c r="J9" s="69" t="n">
        <f aca="false">IF(J$5&gt;=Assumptions!$F$7,1,0)</f>
        <v>1</v>
      </c>
      <c r="K9" s="69" t="n">
        <f aca="false">IF(K$5&gt;=Assumptions!$F$7,1,0)</f>
        <v>1</v>
      </c>
      <c r="L9" s="69" t="n">
        <f aca="false">IF(L$5&gt;=Assumptions!$F$7,1,0)</f>
        <v>1</v>
      </c>
      <c r="M9" s="69" t="n">
        <f aca="false">IF(M$5&gt;=Assumptions!$F$7,1,0)</f>
        <v>1</v>
      </c>
      <c r="N9" s="69" t="n">
        <f aca="false">IF(N$5&gt;=Assumptions!$F$7,1,0)</f>
        <v>1</v>
      </c>
      <c r="O9" s="69" t="n">
        <f aca="false">IF(O$5&gt;=Assumptions!$F$7,1,0)</f>
        <v>1</v>
      </c>
      <c r="P9" s="69" t="n">
        <f aca="false">IF(P$5&gt;=Assumptions!$F$7,1,0)</f>
        <v>1</v>
      </c>
      <c r="Q9" s="69" t="n">
        <f aca="false">IF(Q$5&gt;=Assumptions!$F$7,1,0)</f>
        <v>1</v>
      </c>
      <c r="R9" s="69" t="n">
        <f aca="false">IF(R$5&gt;=Assumptions!$F$7,1,0)</f>
        <v>1</v>
      </c>
      <c r="S9" s="69" t="n">
        <f aca="false">IF(S$5&gt;=Assumptions!$F$7,1,0)</f>
        <v>1</v>
      </c>
      <c r="T9" s="69" t="n">
        <f aca="false">IF(T$5&gt;=Assumptions!$F$7,1,0)</f>
        <v>1</v>
      </c>
      <c r="U9" s="69" t="n">
        <f aca="false">IF(U$5&gt;=Assumptions!$F$7,1,0)</f>
        <v>1</v>
      </c>
      <c r="V9" s="69" t="n">
        <f aca="false">IF(V$5&gt;=Assumptions!$F$7,1,0)</f>
        <v>1</v>
      </c>
      <c r="W9" s="69" t="n">
        <f aca="false">IF(W$5&gt;=Assumptions!$F$7,1,0)</f>
        <v>1</v>
      </c>
      <c r="X9" s="69" t="n">
        <f aca="false">IF(X$5&gt;=Assumptions!$F$7,1,0)</f>
        <v>1</v>
      </c>
      <c r="Y9" s="69" t="n">
        <f aca="false">IF(Y$5&gt;=Assumptions!$F$7,1,0)</f>
        <v>1</v>
      </c>
      <c r="Z9" s="69" t="n">
        <f aca="false">IF(Z$5&gt;=Assumptions!$F$7,1,0)</f>
        <v>1</v>
      </c>
      <c r="AA9" s="69" t="n">
        <f aca="false">IF(AA$5&gt;=Assumptions!$F$7,1,0)</f>
        <v>1</v>
      </c>
      <c r="AB9" s="69" t="n">
        <f aca="false">IF(AB$5&gt;=Assumptions!$F$7,1,0)</f>
        <v>1</v>
      </c>
      <c r="AC9" s="69" t="n">
        <f aca="false">IF(AC$5&gt;=Assumptions!$F$7,1,0)</f>
        <v>1</v>
      </c>
      <c r="AD9" s="69" t="n">
        <f aca="false">IF(AD$5&gt;=Assumptions!$F$7,1,0)</f>
        <v>1</v>
      </c>
      <c r="AE9" s="69" t="n">
        <f aca="false">IF(AE$5&gt;=Assumptions!$F$7,1,0)</f>
        <v>1</v>
      </c>
      <c r="AF9" s="69" t="n">
        <f aca="false">IF(AF$5&gt;=Assumptions!$F$7,1,0)</f>
        <v>1</v>
      </c>
      <c r="AG9" s="69" t="n">
        <f aca="false">IF(AG$5&gt;=Assumptions!$F$7,1,0)</f>
        <v>1</v>
      </c>
      <c r="AH9" s="69" t="n">
        <f aca="false">IF(AH$5&gt;=Assumptions!$F$7,1,0)</f>
        <v>1</v>
      </c>
      <c r="AI9" s="69" t="n">
        <f aca="false">IF(AI$5&gt;=Assumptions!$F$7,1,0)</f>
        <v>1</v>
      </c>
      <c r="AJ9" s="69" t="n">
        <f aca="false">IF(AJ$5&gt;=Assumptions!$F$7,1,0)</f>
        <v>1</v>
      </c>
      <c r="AK9" s="69" t="n">
        <f aca="false">IF(AK$5&gt;=Assumptions!$F$7,1,0)</f>
        <v>1</v>
      </c>
      <c r="AL9" s="69" t="n">
        <f aca="false">IF(AL$5&gt;=Assumptions!$F$7,1,0)</f>
        <v>1</v>
      </c>
      <c r="AM9" s="69"/>
    </row>
    <row r="10" customFormat="false" ht="15" hidden="false" customHeight="false" outlineLevel="0" collapsed="false">
      <c r="A10" s="10" t="s">
        <v>725</v>
      </c>
      <c r="B10" s="9" t="s">
        <v>49</v>
      </c>
      <c r="C10" s="69" t="n">
        <f aca="false">MAX(0,C$5-Assumptions!$F$6)</f>
        <v>0</v>
      </c>
      <c r="D10" s="69" t="n">
        <f aca="false">MAX(0,D$5-Assumptions!$F$6)</f>
        <v>0</v>
      </c>
      <c r="E10" s="69" t="n">
        <f aca="false">MAX(0,E$5-Assumptions!$F$6)</f>
        <v>1</v>
      </c>
      <c r="F10" s="69" t="n">
        <f aca="false">MAX(0,F$5-Assumptions!$F$6)</f>
        <v>2</v>
      </c>
      <c r="G10" s="69" t="n">
        <f aca="false">MAX(0,G$5-Assumptions!$F$6)</f>
        <v>3</v>
      </c>
      <c r="H10" s="69" t="n">
        <f aca="false">MAX(0,H$5-Assumptions!$F$6)</f>
        <v>4</v>
      </c>
      <c r="I10" s="69" t="n">
        <f aca="false">MAX(0,I$5-Assumptions!$F$6)</f>
        <v>5</v>
      </c>
      <c r="J10" s="69" t="n">
        <f aca="false">MAX(0,J$5-Assumptions!$F$6)</f>
        <v>6</v>
      </c>
      <c r="K10" s="69" t="n">
        <f aca="false">MAX(0,K$5-Assumptions!$F$6)</f>
        <v>7</v>
      </c>
      <c r="L10" s="69" t="n">
        <f aca="false">MAX(0,L$5-Assumptions!$F$6)</f>
        <v>8</v>
      </c>
      <c r="M10" s="69" t="n">
        <f aca="false">MAX(0,M$5-Assumptions!$F$6)</f>
        <v>9</v>
      </c>
      <c r="N10" s="69" t="n">
        <f aca="false">MAX(0,N$5-Assumptions!$F$6)</f>
        <v>10</v>
      </c>
      <c r="O10" s="69" t="n">
        <f aca="false">MAX(0,O$5-Assumptions!$F$6)</f>
        <v>11</v>
      </c>
      <c r="P10" s="69" t="n">
        <f aca="false">MAX(0,P$5-Assumptions!$F$6)</f>
        <v>12</v>
      </c>
      <c r="Q10" s="69" t="n">
        <f aca="false">MAX(0,Q$5-Assumptions!$F$6)</f>
        <v>13</v>
      </c>
      <c r="R10" s="69" t="n">
        <f aca="false">MAX(0,R$5-Assumptions!$F$6)</f>
        <v>14</v>
      </c>
      <c r="S10" s="69" t="n">
        <f aca="false">MAX(0,S$5-Assumptions!$F$6)</f>
        <v>15</v>
      </c>
      <c r="T10" s="69" t="n">
        <f aca="false">MAX(0,T$5-Assumptions!$F$6)</f>
        <v>16</v>
      </c>
      <c r="U10" s="69" t="n">
        <f aca="false">MAX(0,U$5-Assumptions!$F$6)</f>
        <v>17</v>
      </c>
      <c r="V10" s="69" t="n">
        <f aca="false">MAX(0,V$5-Assumptions!$F$6)</f>
        <v>18</v>
      </c>
      <c r="W10" s="69" t="n">
        <f aca="false">MAX(0,W$5-Assumptions!$F$6)</f>
        <v>19</v>
      </c>
      <c r="X10" s="69" t="n">
        <f aca="false">MAX(0,X$5-Assumptions!$F$6)</f>
        <v>20</v>
      </c>
      <c r="Y10" s="69" t="n">
        <f aca="false">MAX(0,Y$5-Assumptions!$F$6)</f>
        <v>21</v>
      </c>
      <c r="Z10" s="69" t="n">
        <f aca="false">MAX(0,Z$5-Assumptions!$F$6)</f>
        <v>22</v>
      </c>
      <c r="AA10" s="69" t="n">
        <f aca="false">MAX(0,AA$5-Assumptions!$F$6)</f>
        <v>23</v>
      </c>
      <c r="AB10" s="69" t="n">
        <f aca="false">MAX(0,AB$5-Assumptions!$F$6)</f>
        <v>24</v>
      </c>
      <c r="AC10" s="69" t="n">
        <f aca="false">MAX(0,AC$5-Assumptions!$F$6)</f>
        <v>25</v>
      </c>
      <c r="AD10" s="69" t="n">
        <f aca="false">MAX(0,AD$5-Assumptions!$F$6)</f>
        <v>26</v>
      </c>
      <c r="AE10" s="69" t="n">
        <f aca="false">MAX(0,AE$5-Assumptions!$F$6)</f>
        <v>27</v>
      </c>
      <c r="AF10" s="69" t="n">
        <f aca="false">MAX(0,AF$5-Assumptions!$F$6)</f>
        <v>28</v>
      </c>
      <c r="AG10" s="69" t="n">
        <f aca="false">MAX(0,AG$5-Assumptions!$F$6)</f>
        <v>29</v>
      </c>
      <c r="AH10" s="69" t="n">
        <f aca="false">MAX(0,AH$5-Assumptions!$F$6)</f>
        <v>30</v>
      </c>
      <c r="AI10" s="69" t="n">
        <f aca="false">MAX(0,AI$5-Assumptions!$F$6)</f>
        <v>31</v>
      </c>
      <c r="AJ10" s="69" t="n">
        <f aca="false">MAX(0,AJ$5-Assumptions!$F$6)</f>
        <v>32</v>
      </c>
      <c r="AK10" s="69" t="n">
        <f aca="false">MAX(0,AK$5-Assumptions!$F$6)</f>
        <v>33</v>
      </c>
      <c r="AL10" s="69" t="n">
        <f aca="false">MAX(0,AL$5-Assumptions!$F$6)</f>
        <v>34</v>
      </c>
      <c r="AM10" s="69"/>
    </row>
    <row r="11" customFormat="false" ht="15" hidden="false" customHeight="false" outlineLevel="0" collapsed="false">
      <c r="A11" s="10" t="s">
        <v>726</v>
      </c>
      <c r="B11" s="9" t="s">
        <v>82</v>
      </c>
      <c r="C11" s="61" t="n">
        <f aca="false">Assumptions!$F$9*Assumptions!$F$10*Assumptions!$F$11*Assumptions!$F$12</f>
        <v>162756</v>
      </c>
      <c r="D11" s="61" t="n">
        <f aca="false">Assumptions!$F$9*Assumptions!$F$10*Assumptions!$F$11*Assumptions!$F$12</f>
        <v>162756</v>
      </c>
      <c r="E11" s="61" t="n">
        <f aca="false">Assumptions!$F$9*Assumptions!$F$10*Assumptions!$F$11*Assumptions!$F$12</f>
        <v>162756</v>
      </c>
      <c r="F11" s="61" t="n">
        <f aca="false">Assumptions!$F$9*Assumptions!$F$10*Assumptions!$F$11*Assumptions!$F$12</f>
        <v>162756</v>
      </c>
      <c r="G11" s="61" t="n">
        <f aca="false">Assumptions!$F$9*Assumptions!$F$10*Assumptions!$F$11*Assumptions!$F$12</f>
        <v>162756</v>
      </c>
      <c r="H11" s="61" t="n">
        <f aca="false">Assumptions!$F$9*Assumptions!$F$10*Assumptions!$F$11*Assumptions!$F$12</f>
        <v>162756</v>
      </c>
      <c r="I11" s="61" t="n">
        <f aca="false">Assumptions!$F$9*Assumptions!$F$10*Assumptions!$F$11*Assumptions!$F$12</f>
        <v>162756</v>
      </c>
      <c r="J11" s="61" t="n">
        <f aca="false">Assumptions!$F$9*Assumptions!$F$10*Assumptions!$F$11*Assumptions!$F$12</f>
        <v>162756</v>
      </c>
      <c r="K11" s="61" t="n">
        <f aca="false">Assumptions!$F$9*Assumptions!$F$10*Assumptions!$F$11*Assumptions!$F$12</f>
        <v>162756</v>
      </c>
      <c r="L11" s="61" t="n">
        <f aca="false">Assumptions!$F$9*Assumptions!$F$10*Assumptions!$F$11*Assumptions!$F$12</f>
        <v>162756</v>
      </c>
      <c r="M11" s="61" t="n">
        <f aca="false">Assumptions!$F$9*Assumptions!$F$10*Assumptions!$F$11*Assumptions!$F$12</f>
        <v>162756</v>
      </c>
      <c r="N11" s="61" t="n">
        <f aca="false">Assumptions!$F$9*Assumptions!$F$10*Assumptions!$F$11*Assumptions!$F$12</f>
        <v>162756</v>
      </c>
      <c r="O11" s="61" t="n">
        <f aca="false">Assumptions!$F$9*Assumptions!$F$10*Assumptions!$F$11*Assumptions!$F$12</f>
        <v>162756</v>
      </c>
      <c r="P11" s="61" t="n">
        <f aca="false">Assumptions!$F$9*Assumptions!$F$10*Assumptions!$F$11*Assumptions!$F$12</f>
        <v>162756</v>
      </c>
      <c r="Q11" s="61" t="n">
        <f aca="false">Assumptions!$F$9*Assumptions!$F$10*Assumptions!$F$11*Assumptions!$F$12</f>
        <v>162756</v>
      </c>
      <c r="R11" s="61" t="n">
        <f aca="false">Assumptions!$F$9*Assumptions!$F$10*Assumptions!$F$11*Assumptions!$F$12</f>
        <v>162756</v>
      </c>
      <c r="S11" s="61" t="n">
        <f aca="false">Assumptions!$F$9*Assumptions!$F$10*Assumptions!$F$11*Assumptions!$F$12</f>
        <v>162756</v>
      </c>
      <c r="T11" s="61" t="n">
        <f aca="false">Assumptions!$F$9*Assumptions!$F$10*Assumptions!$F$11*Assumptions!$F$12</f>
        <v>162756</v>
      </c>
      <c r="U11" s="61" t="n">
        <f aca="false">Assumptions!$F$9*Assumptions!$F$10*Assumptions!$F$11*Assumptions!$F$12</f>
        <v>162756</v>
      </c>
      <c r="V11" s="61" t="n">
        <f aca="false">Assumptions!$F$9*Assumptions!$F$10*Assumptions!$F$11*Assumptions!$F$12</f>
        <v>162756</v>
      </c>
      <c r="W11" s="61" t="n">
        <f aca="false">Assumptions!$F$9*Assumptions!$F$10*Assumptions!$F$11*Assumptions!$F$12</f>
        <v>162756</v>
      </c>
      <c r="X11" s="61" t="n">
        <f aca="false">Assumptions!$F$9*Assumptions!$F$10*Assumptions!$F$11*Assumptions!$F$12</f>
        <v>162756</v>
      </c>
      <c r="Y11" s="61" t="n">
        <f aca="false">Assumptions!$F$9*Assumptions!$F$10*Assumptions!$F$11*Assumptions!$F$12</f>
        <v>162756</v>
      </c>
      <c r="Z11" s="61" t="n">
        <f aca="false">Assumptions!$F$9*Assumptions!$F$10*Assumptions!$F$11*Assumptions!$F$12</f>
        <v>162756</v>
      </c>
      <c r="AA11" s="61" t="n">
        <f aca="false">Assumptions!$F$9*Assumptions!$F$10*Assumptions!$F$11*Assumptions!$F$12</f>
        <v>162756</v>
      </c>
      <c r="AB11" s="61" t="n">
        <f aca="false">Assumptions!$F$9*Assumptions!$F$10*Assumptions!$F$11*Assumptions!$F$12</f>
        <v>162756</v>
      </c>
      <c r="AC11" s="61" t="n">
        <f aca="false">Assumptions!$F$9*Assumptions!$F$10*Assumptions!$F$11*Assumptions!$F$12</f>
        <v>162756</v>
      </c>
      <c r="AD11" s="61" t="n">
        <f aca="false">Assumptions!$F$9*Assumptions!$F$10*Assumptions!$F$11*Assumptions!$F$12</f>
        <v>162756</v>
      </c>
      <c r="AE11" s="61" t="n">
        <f aca="false">Assumptions!$F$9*Assumptions!$F$10*Assumptions!$F$11*Assumptions!$F$12</f>
        <v>162756</v>
      </c>
      <c r="AF11" s="61" t="n">
        <f aca="false">Assumptions!$F$9*Assumptions!$F$10*Assumptions!$F$11*Assumptions!$F$12</f>
        <v>162756</v>
      </c>
      <c r="AG11" s="61" t="n">
        <f aca="false">Assumptions!$F$9*Assumptions!$F$10*Assumptions!$F$11*Assumptions!$F$12</f>
        <v>162756</v>
      </c>
      <c r="AH11" s="61" t="n">
        <f aca="false">Assumptions!$F$9*Assumptions!$F$10*Assumptions!$F$11*Assumptions!$F$12</f>
        <v>162756</v>
      </c>
      <c r="AI11" s="61" t="n">
        <f aca="false">Assumptions!$F$9*Assumptions!$F$10*Assumptions!$F$11*Assumptions!$F$12</f>
        <v>162756</v>
      </c>
      <c r="AJ11" s="61" t="n">
        <f aca="false">Assumptions!$F$9*Assumptions!$F$10*Assumptions!$F$11*Assumptions!$F$12</f>
        <v>162756</v>
      </c>
      <c r="AK11" s="61" t="n">
        <f aca="false">Assumptions!$F$9*Assumptions!$F$10*Assumptions!$F$11*Assumptions!$F$12</f>
        <v>162756</v>
      </c>
      <c r="AL11" s="61" t="n">
        <f aca="false">Assumptions!$F$9*Assumptions!$F$10*Assumptions!$F$11*Assumptions!$F$12</f>
        <v>162756</v>
      </c>
      <c r="AM11" s="61"/>
    </row>
    <row r="12" customFormat="false" ht="15" hidden="false" customHeight="false" outlineLevel="0" collapsed="false">
      <c r="A12" s="10" t="s">
        <v>727</v>
      </c>
      <c r="B12" s="9" t="s">
        <v>76</v>
      </c>
      <c r="C12" s="57" t="n">
        <f aca="false">IF(C8=0,0,IF(C10=0,Assumptions!$F$15,Assumptions!$F$14+(1-Assumptions!$F$14)*Assumptions!$F$13^C10))</f>
        <v>0</v>
      </c>
      <c r="D12" s="57" t="n">
        <f aca="false">IF(D8=0,0,IF(D10=0,Assumptions!$F$15,Assumptions!$F$14+(1-Assumptions!$F$14)*Assumptions!$F$13^D10))</f>
        <v>3</v>
      </c>
      <c r="E12" s="57" t="n">
        <f aca="false">IF(E8=0,0,IF(E10=0,Assumptions!$F$15,Assumptions!$F$14+(1-Assumptions!$F$14)*Assumptions!$F$13^E10))</f>
        <v>0.923</v>
      </c>
      <c r="F12" s="57" t="n">
        <f aca="false">IF(F8=0,0,IF(F10=0,Assumptions!$F$15,Assumptions!$F$14+(1-Assumptions!$F$14)*Assumptions!$F$13^F10))</f>
        <v>0.85678</v>
      </c>
      <c r="G12" s="57" t="n">
        <f aca="false">IF(G8=0,0,IF(G10=0,Assumptions!$F$15,Assumptions!$F$14+(1-Assumptions!$F$14)*Assumptions!$F$13^G10))</f>
        <v>0.7998308</v>
      </c>
      <c r="H12" s="57" t="n">
        <f aca="false">IF(H8=0,0,IF(H10=0,Assumptions!$F$15,Assumptions!$F$14+(1-Assumptions!$F$14)*Assumptions!$F$13^H10))</f>
        <v>0.750854488</v>
      </c>
      <c r="I12" s="57" t="n">
        <f aca="false">IF(I8=0,0,IF(I10=0,Assumptions!$F$15,Assumptions!$F$14+(1-Assumptions!$F$14)*Assumptions!$F$13^I10))</f>
        <v>0.70873485968</v>
      </c>
      <c r="J12" s="57" t="n">
        <f aca="false">IF(J8=0,0,IF(J10=0,Assumptions!$F$15,Assumptions!$F$14+(1-Assumptions!$F$14)*Assumptions!$F$13^J10))</f>
        <v>0.6725119793248</v>
      </c>
      <c r="K12" s="57" t="n">
        <f aca="false">IF(K8=0,0,IF(K10=0,Assumptions!$F$15,Assumptions!$F$14+(1-Assumptions!$F$14)*Assumptions!$F$13^K10))</f>
        <v>0.641360302219328</v>
      </c>
      <c r="L12" s="57" t="n">
        <f aca="false">IF(L8=0,0,IF(L10=0,Assumptions!$F$15,Assumptions!$F$14+(1-Assumptions!$F$14)*Assumptions!$F$13^L10))</f>
        <v>0.614569859908622</v>
      </c>
      <c r="M12" s="57" t="n">
        <f aca="false">IF(M8=0,0,IF(M10=0,Assumptions!$F$15,Assumptions!$F$14+(1-Assumptions!$F$14)*Assumptions!$F$13^M10))</f>
        <v>0.591530079521415</v>
      </c>
      <c r="N12" s="57" t="n">
        <f aca="false">IF(N8=0,0,IF(N10=0,Assumptions!$F$15,Assumptions!$F$14+(1-Assumptions!$F$14)*Assumptions!$F$13^N10))</f>
        <v>0.571715868388417</v>
      </c>
      <c r="O12" s="57" t="n">
        <f aca="false">IF(O8=0,0,IF(O10=0,Assumptions!$F$15,Assumptions!$F$14+(1-Assumptions!$F$14)*Assumptions!$F$13^O10))</f>
        <v>0.554675646814039</v>
      </c>
      <c r="P12" s="57" t="n">
        <f aca="false">IF(P8=0,0,IF(P10=0,Assumptions!$F$15,Assumptions!$F$14+(1-Assumptions!$F$14)*Assumptions!$F$13^P10))</f>
        <v>0.540021056260073</v>
      </c>
      <c r="Q12" s="57" t="n">
        <f aca="false">IF(Q8=0,0,IF(Q10=0,Assumptions!$F$15,Assumptions!$F$14+(1-Assumptions!$F$14)*Assumptions!$F$13^Q10))</f>
        <v>0.527418108383663</v>
      </c>
      <c r="R12" s="57" t="n">
        <f aca="false">IF(R8=0,0,IF(R10=0,Assumptions!$F$15,Assumptions!$F$14+(1-Assumptions!$F$14)*Assumptions!$F$13^R10))</f>
        <v>0.51657957320995</v>
      </c>
      <c r="S12" s="57" t="n">
        <f aca="false">IF(S8=0,0,IF(S10=0,Assumptions!$F$15,Assumptions!$F$14+(1-Assumptions!$F$14)*Assumptions!$F$13^S10))</f>
        <v>0.507258432960557</v>
      </c>
      <c r="T12" s="57" t="n">
        <f aca="false">IF(T8=0,0,IF(T10=0,Assumptions!$F$15,Assumptions!$F$14+(1-Assumptions!$F$14)*Assumptions!$F$13^T10))</f>
        <v>0.499242252346079</v>
      </c>
      <c r="U12" s="57" t="n">
        <f aca="false">IF(U8=0,0,IF(U10=0,Assumptions!$F$15,Assumptions!$F$14+(1-Assumptions!$F$14)*Assumptions!$F$13^U10))</f>
        <v>0.492348337017628</v>
      </c>
      <c r="V12" s="57" t="n">
        <f aca="false">IF(V8=0,0,IF(V10=0,Assumptions!$F$15,Assumptions!$F$14+(1-Assumptions!$F$14)*Assumptions!$F$13^V10))</f>
        <v>0.48641956983516</v>
      </c>
      <c r="W12" s="57" t="n">
        <f aca="false">IF(W8=0,0,IF(W10=0,Assumptions!$F$15,Assumptions!$F$14+(1-Assumptions!$F$14)*Assumptions!$F$13^W10))</f>
        <v>0.481320830058238</v>
      </c>
      <c r="X12" s="57" t="n">
        <f aca="false">IF(X8=0,0,IF(X10=0,Assumptions!$F$15,Assumptions!$F$14+(1-Assumptions!$F$14)*Assumptions!$F$13^X10))</f>
        <v>0.476935913850084</v>
      </c>
      <c r="Y12" s="57" t="n">
        <f aca="false">IF(Y8=0,0,IF(Y10=0,Assumptions!$F$15,Assumptions!$F$14+(1-Assumptions!$F$14)*Assumptions!$F$13^Y10))</f>
        <v>0.473164885911073</v>
      </c>
      <c r="Z12" s="57" t="n">
        <f aca="false">IF(Z8=0,0,IF(Z10=0,Assumptions!$F$15,Assumptions!$F$14+(1-Assumptions!$F$14)*Assumptions!$F$13^Z10))</f>
        <v>0.469921801883522</v>
      </c>
      <c r="AA12" s="57" t="n">
        <f aca="false">IF(AA8=0,0,IF(AA10=0,Assumptions!$F$15,Assumptions!$F$14+(1-Assumptions!$F$14)*Assumptions!$F$13^AA10))</f>
        <v>0.467132749619829</v>
      </c>
      <c r="AB12" s="57" t="n">
        <f aca="false">IF(AB8=0,0,IF(AB10=0,Assumptions!$F$15,Assumptions!$F$14+(1-Assumptions!$F$14)*Assumptions!$F$13^AB10))</f>
        <v>0.464734164673053</v>
      </c>
      <c r="AC12" s="57" t="n">
        <f aca="false">IF(AC8=0,0,IF(AC10=0,Assumptions!$F$15,Assumptions!$F$14+(1-Assumptions!$F$14)*Assumptions!$F$13^AC10))</f>
        <v>0.462671381618826</v>
      </c>
      <c r="AD12" s="57" t="n">
        <f aca="false">IF(AD8=0,0,IF(AD10=0,Assumptions!$F$15,Assumptions!$F$14+(1-Assumptions!$F$14)*Assumptions!$F$13^AD10))</f>
        <v>0.46089738819219</v>
      </c>
      <c r="AE12" s="57" t="n">
        <f aca="false">IF(AE8=0,0,IF(AE10=0,Assumptions!$F$15,Assumptions!$F$14+(1-Assumptions!$F$14)*Assumptions!$F$13^AE10))</f>
        <v>0.459371753845284</v>
      </c>
      <c r="AF12" s="57" t="n">
        <f aca="false">IF(AF8=0,0,IF(AF10=0,Assumptions!$F$15,Assumptions!$F$14+(1-Assumptions!$F$14)*Assumptions!$F$13^AF10))</f>
        <v>0.458059708306944</v>
      </c>
      <c r="AG12" s="57" t="n">
        <f aca="false">IF(AG8=0,0,IF(AG10=0,Assumptions!$F$15,Assumptions!$F$14+(1-Assumptions!$F$14)*Assumptions!$F$13^AG10))</f>
        <v>0.456931349143972</v>
      </c>
      <c r="AH12" s="57" t="n">
        <f aca="false">IF(AH8=0,0,IF(AH10=0,Assumptions!$F$15,Assumptions!$F$14+(1-Assumptions!$F$14)*Assumptions!$F$13^AH10))</f>
        <v>0.455960960263816</v>
      </c>
      <c r="AI12" s="57" t="n">
        <f aca="false">IF(AI8=0,0,IF(AI10=0,Assumptions!$F$15,Assumptions!$F$14+(1-Assumptions!$F$14)*Assumptions!$F$13^AI10))</f>
        <v>0.455126425826881</v>
      </c>
      <c r="AJ12" s="57" t="n">
        <f aca="false">IF(AJ8=0,0,IF(AJ10=0,Assumptions!$F$15,Assumptions!$F$14+(1-Assumptions!$F$14)*Assumptions!$F$13^AJ10))</f>
        <v>0.454408726211118</v>
      </c>
      <c r="AK12" s="57" t="n">
        <f aca="false">IF(AK8=0,0,IF(AK10=0,Assumptions!$F$15,Assumptions!$F$14+(1-Assumptions!$F$14)*Assumptions!$F$13^AK10))</f>
        <v>0.453791504541562</v>
      </c>
      <c r="AL12" s="57" t="n">
        <f aca="false">IF(AL8=0,0,IF(AL10=0,Assumptions!$F$15,Assumptions!$F$14+(1-Assumptions!$F$14)*Assumptions!$F$13^AL10))</f>
        <v>0.453260693905743</v>
      </c>
      <c r="AM12" s="57"/>
    </row>
    <row r="13" customFormat="false" ht="15" hidden="false" customHeight="false" outlineLevel="0" collapsed="false">
      <c r="A13" s="10" t="s">
        <v>728</v>
      </c>
      <c r="B13" s="9" t="s">
        <v>82</v>
      </c>
      <c r="C13" s="61" t="n">
        <f aca="false">C11*C12</f>
        <v>0</v>
      </c>
      <c r="D13" s="61" t="n">
        <f aca="false">D11*D12</f>
        <v>488268</v>
      </c>
      <c r="E13" s="61" t="n">
        <f aca="false">E11*E12</f>
        <v>150223.788</v>
      </c>
      <c r="F13" s="61" t="n">
        <f aca="false">F11*F12</f>
        <v>139446.08568</v>
      </c>
      <c r="G13" s="61" t="n">
        <f aca="false">G11*G12</f>
        <v>130177.2616848</v>
      </c>
      <c r="H13" s="61" t="n">
        <f aca="false">H11*H12</f>
        <v>122206.073048928</v>
      </c>
      <c r="I13" s="61" t="n">
        <f aca="false">I11*I12</f>
        <v>115350.850822078</v>
      </c>
      <c r="J13" s="61" t="n">
        <f aca="false">J11*J12</f>
        <v>109455.359706987</v>
      </c>
      <c r="K13" s="61" t="n">
        <f aca="false">K11*K12</f>
        <v>104385.237348009</v>
      </c>
      <c r="L13" s="61" t="n">
        <f aca="false">L11*L12</f>
        <v>100024.932119288</v>
      </c>
      <c r="M13" s="61" t="n">
        <f aca="false">M11*M12</f>
        <v>96275.0696225874</v>
      </c>
      <c r="N13" s="61" t="n">
        <f aca="false">N11*N12</f>
        <v>93050.1878754252</v>
      </c>
      <c r="O13" s="61" t="n">
        <f aca="false">O11*O12</f>
        <v>90276.7895728657</v>
      </c>
      <c r="P13" s="61" t="n">
        <f aca="false">P11*P12</f>
        <v>87891.6670326645</v>
      </c>
      <c r="Q13" s="61" t="n">
        <f aca="false">Q11*Q12</f>
        <v>85840.4616480914</v>
      </c>
      <c r="R13" s="61" t="n">
        <f aca="false">R11*R12</f>
        <v>84076.4250173586</v>
      </c>
      <c r="S13" s="61" t="n">
        <f aca="false">S11*S12</f>
        <v>82559.3535149284</v>
      </c>
      <c r="T13" s="61" t="n">
        <f aca="false">T11*T12</f>
        <v>81254.6720228385</v>
      </c>
      <c r="U13" s="61" t="n">
        <f aca="false">U11*U12</f>
        <v>80132.6459396411</v>
      </c>
      <c r="V13" s="61" t="n">
        <f aca="false">V11*V12</f>
        <v>79167.7035080913</v>
      </c>
      <c r="W13" s="61" t="n">
        <f aca="false">W11*W12</f>
        <v>78337.8530169585</v>
      </c>
      <c r="X13" s="61" t="n">
        <f aca="false">X11*X12</f>
        <v>77624.1815945843</v>
      </c>
      <c r="Y13" s="61" t="n">
        <f aca="false">Y11*Y12</f>
        <v>77010.4241713425</v>
      </c>
      <c r="Z13" s="61" t="n">
        <f aca="false">Z11*Z12</f>
        <v>76482.5927873546</v>
      </c>
      <c r="AA13" s="61" t="n">
        <f aca="false">AA11*AA12</f>
        <v>76028.6577971249</v>
      </c>
      <c r="AB13" s="61" t="n">
        <f aca="false">AB11*AB12</f>
        <v>75638.2737055275</v>
      </c>
      <c r="AC13" s="61" t="n">
        <f aca="false">AC11*AC12</f>
        <v>75302.5433867536</v>
      </c>
      <c r="AD13" s="61" t="n">
        <f aca="false">AD11*AD12</f>
        <v>75013.8153126081</v>
      </c>
      <c r="AE13" s="61" t="n">
        <f aca="false">AE11*AE12</f>
        <v>74765.509168843</v>
      </c>
      <c r="AF13" s="61" t="n">
        <f aca="false">AF11*AF12</f>
        <v>74551.965885205</v>
      </c>
      <c r="AG13" s="61" t="n">
        <f aca="false">AG11*AG12</f>
        <v>74368.3186612763</v>
      </c>
      <c r="AH13" s="61" t="n">
        <f aca="false">AH11*AH12</f>
        <v>74210.3820486976</v>
      </c>
      <c r="AI13" s="61" t="n">
        <f aca="false">AI11*AI12</f>
        <v>74074.5565618799</v>
      </c>
      <c r="AJ13" s="61" t="n">
        <f aca="false">AJ11*AJ12</f>
        <v>73957.7466432167</v>
      </c>
      <c r="AK13" s="61" t="n">
        <f aca="false">AK11*AK12</f>
        <v>73857.2901131664</v>
      </c>
      <c r="AL13" s="61" t="n">
        <f aca="false">AL11*AL12</f>
        <v>73770.8974973231</v>
      </c>
      <c r="AM13" s="61" t="n">
        <f aca="false">SUM(C13:AL13)</f>
        <v>3525057.57251644</v>
      </c>
    </row>
    <row r="14" customFormat="false" ht="15" hidden="false" customHeight="false" outlineLevel="0" collapsed="false">
      <c r="A14" s="10" t="s">
        <v>729</v>
      </c>
      <c r="B14" s="9" t="s">
        <v>730</v>
      </c>
      <c r="C14" s="61" t="n">
        <f aca="false">Assumptions!$F$9*Assumptions!$F$10*Assumptions!$F$11*C12</f>
        <v>0</v>
      </c>
      <c r="D14" s="61" t="n">
        <f aca="false">Assumptions!$F$9*Assumptions!$F$10*Assumptions!$F$11*D12</f>
        <v>54252000</v>
      </c>
      <c r="E14" s="61" t="n">
        <f aca="false">Assumptions!$F$9*Assumptions!$F$10*Assumptions!$F$11*E12</f>
        <v>16691532</v>
      </c>
      <c r="F14" s="61" t="n">
        <f aca="false">Assumptions!$F$9*Assumptions!$F$10*Assumptions!$F$11*F12</f>
        <v>15494009.52</v>
      </c>
      <c r="G14" s="61" t="n">
        <f aca="false">Assumptions!$F$9*Assumptions!$F$10*Assumptions!$F$11*G12</f>
        <v>14464140.1872</v>
      </c>
      <c r="H14" s="61" t="n">
        <f aca="false">Assumptions!$F$9*Assumptions!$F$10*Assumptions!$F$11*H12</f>
        <v>13578452.560992</v>
      </c>
      <c r="I14" s="61" t="n">
        <f aca="false">Assumptions!$F$9*Assumptions!$F$10*Assumptions!$F$11*I12</f>
        <v>12816761.2024531</v>
      </c>
      <c r="J14" s="61" t="n">
        <f aca="false">Assumptions!$F$9*Assumptions!$F$10*Assumptions!$F$11*J12</f>
        <v>12161706.6341097</v>
      </c>
      <c r="K14" s="61" t="n">
        <f aca="false">Assumptions!$F$9*Assumptions!$F$10*Assumptions!$F$11*K12</f>
        <v>11598359.7053343</v>
      </c>
      <c r="L14" s="61" t="n">
        <f aca="false">Assumptions!$F$9*Assumptions!$F$10*Assumptions!$F$11*L12</f>
        <v>11113881.3465875</v>
      </c>
      <c r="M14" s="61" t="n">
        <f aca="false">Assumptions!$F$9*Assumptions!$F$10*Assumptions!$F$11*M12</f>
        <v>10697229.9580653</v>
      </c>
      <c r="N14" s="61" t="n">
        <f aca="false">Assumptions!$F$9*Assumptions!$F$10*Assumptions!$F$11*N12</f>
        <v>10338909.7639361</v>
      </c>
      <c r="O14" s="61" t="n">
        <f aca="false">Assumptions!$F$9*Assumptions!$F$10*Assumptions!$F$11*O12</f>
        <v>10030754.3969851</v>
      </c>
      <c r="P14" s="61" t="n">
        <f aca="false">Assumptions!$F$9*Assumptions!$F$10*Assumptions!$F$11*P12</f>
        <v>9765740.78140716</v>
      </c>
      <c r="Q14" s="61" t="n">
        <f aca="false">Assumptions!$F$9*Assumptions!$F$10*Assumptions!$F$11*Q12</f>
        <v>9537829.07201016</v>
      </c>
      <c r="R14" s="61" t="n">
        <f aca="false">Assumptions!$F$9*Assumptions!$F$10*Assumptions!$F$11*R12</f>
        <v>9341825.00192874</v>
      </c>
      <c r="S14" s="61" t="n">
        <f aca="false">Assumptions!$F$9*Assumptions!$F$10*Assumptions!$F$11*S12</f>
        <v>9173261.50165871</v>
      </c>
      <c r="T14" s="61" t="n">
        <f aca="false">Assumptions!$F$9*Assumptions!$F$10*Assumptions!$F$11*T12</f>
        <v>9028296.89142649</v>
      </c>
      <c r="U14" s="61" t="n">
        <f aca="false">Assumptions!$F$9*Assumptions!$F$10*Assumptions!$F$11*U12</f>
        <v>8903627.32662679</v>
      </c>
      <c r="V14" s="61" t="n">
        <f aca="false">Assumptions!$F$9*Assumptions!$F$10*Assumptions!$F$11*V12</f>
        <v>8796411.50089904</v>
      </c>
      <c r="W14" s="61" t="n">
        <f aca="false">Assumptions!$F$9*Assumptions!$F$10*Assumptions!$F$11*W12</f>
        <v>8704205.89077317</v>
      </c>
      <c r="X14" s="61" t="n">
        <f aca="false">Assumptions!$F$9*Assumptions!$F$10*Assumptions!$F$11*X12</f>
        <v>8624909.06606493</v>
      </c>
      <c r="Y14" s="61" t="n">
        <f aca="false">Assumptions!$F$9*Assumptions!$F$10*Assumptions!$F$11*Y12</f>
        <v>8556713.79681584</v>
      </c>
      <c r="Z14" s="61" t="n">
        <f aca="false">Assumptions!$F$9*Assumptions!$F$10*Assumptions!$F$11*Z12</f>
        <v>8498065.86526162</v>
      </c>
      <c r="AA14" s="61" t="n">
        <f aca="false">Assumptions!$F$9*Assumptions!$F$10*Assumptions!$F$11*AA12</f>
        <v>8447628.64412499</v>
      </c>
      <c r="AB14" s="61" t="n">
        <f aca="false">Assumptions!$F$9*Assumptions!$F$10*Assumptions!$F$11*AB12</f>
        <v>8404252.63394749</v>
      </c>
      <c r="AC14" s="61" t="n">
        <f aca="false">Assumptions!$F$9*Assumptions!$F$10*Assumptions!$F$11*AC12</f>
        <v>8366949.26519485</v>
      </c>
      <c r="AD14" s="61" t="n">
        <f aca="false">Assumptions!$F$9*Assumptions!$F$10*Assumptions!$F$11*AD12</f>
        <v>8334868.36806757</v>
      </c>
      <c r="AE14" s="61" t="n">
        <f aca="false">Assumptions!$F$9*Assumptions!$F$10*Assumptions!$F$11*AE12</f>
        <v>8307278.79653811</v>
      </c>
      <c r="AF14" s="61" t="n">
        <f aca="false">Assumptions!$F$9*Assumptions!$F$10*Assumptions!$F$11*AF12</f>
        <v>8283551.76502277</v>
      </c>
      <c r="AG14" s="61" t="n">
        <f aca="false">Assumptions!$F$9*Assumptions!$F$10*Assumptions!$F$11*AG12</f>
        <v>8263146.51791958</v>
      </c>
      <c r="AH14" s="61" t="n">
        <f aca="false">Assumptions!$F$9*Assumptions!$F$10*Assumptions!$F$11*AH12</f>
        <v>8245598.00541084</v>
      </c>
      <c r="AI14" s="61" t="n">
        <f aca="false">Assumptions!$F$9*Assumptions!$F$10*Assumptions!$F$11*AI12</f>
        <v>8230506.28465333</v>
      </c>
      <c r="AJ14" s="61" t="n">
        <f aca="false">Assumptions!$F$9*Assumptions!$F$10*Assumptions!$F$11*AJ12</f>
        <v>8217527.40480186</v>
      </c>
      <c r="AK14" s="61" t="n">
        <f aca="false">Assumptions!$F$9*Assumptions!$F$10*Assumptions!$F$11*AK12</f>
        <v>8206365.5681296</v>
      </c>
      <c r="AL14" s="61" t="n">
        <f aca="false">Assumptions!$F$9*Assumptions!$F$10*Assumptions!$F$11*AL12</f>
        <v>8196766.38859146</v>
      </c>
      <c r="AM14" s="61" t="n">
        <f aca="false">SUM(C14:AL14)</f>
        <v>391673063.612938</v>
      </c>
    </row>
    <row r="15" customFormat="false" ht="15" hidden="false" customHeight="false" outlineLevel="0" collapsed="false">
      <c r="A15" s="10" t="s">
        <v>731</v>
      </c>
      <c r="B15" s="9" t="s">
        <v>82</v>
      </c>
      <c r="C15" s="61" t="n">
        <f aca="false">MIN(Assumptions!$F$19,Assumptions!$F$17*(1+Assumptions!$F$18)^(C$5-1))</f>
        <v>3500</v>
      </c>
      <c r="D15" s="61" t="n">
        <f aca="false">MIN(Assumptions!$F$19,Assumptions!$F$17*(1+Assumptions!$F$18)^(D$5-1))</f>
        <v>3920</v>
      </c>
      <c r="E15" s="61" t="n">
        <f aca="false">MIN(Assumptions!$F$19,Assumptions!$F$17*(1+Assumptions!$F$18)^(E$5-1))</f>
        <v>4390.4</v>
      </c>
      <c r="F15" s="61" t="n">
        <f aca="false">MIN(Assumptions!$F$19,Assumptions!$F$17*(1+Assumptions!$F$18)^(F$5-1))</f>
        <v>4917.248</v>
      </c>
      <c r="G15" s="61" t="n">
        <f aca="false">MIN(Assumptions!$F$19,Assumptions!$F$17*(1+Assumptions!$F$18)^(G$5-1))</f>
        <v>5507.31776</v>
      </c>
      <c r="H15" s="61" t="n">
        <f aca="false">MIN(Assumptions!$F$19,Assumptions!$F$17*(1+Assumptions!$F$18)^(H$5-1))</f>
        <v>6168.1958912</v>
      </c>
      <c r="I15" s="61" t="n">
        <f aca="false">MIN(Assumptions!$F$19,Assumptions!$F$17*(1+Assumptions!$F$18)^(I$5-1))</f>
        <v>6908.379398144</v>
      </c>
      <c r="J15" s="61" t="n">
        <f aca="false">MIN(Assumptions!$F$19,Assumptions!$F$17*(1+Assumptions!$F$18)^(J$5-1))</f>
        <v>7737.38492592129</v>
      </c>
      <c r="K15" s="61" t="n">
        <f aca="false">MIN(Assumptions!$F$19,Assumptions!$F$17*(1+Assumptions!$F$18)^(K$5-1))</f>
        <v>8665.87111703184</v>
      </c>
      <c r="L15" s="61" t="n">
        <f aca="false">MIN(Assumptions!$F$19,Assumptions!$F$17*(1+Assumptions!$F$18)^(L$5-1))</f>
        <v>9705.77565107566</v>
      </c>
      <c r="M15" s="61" t="n">
        <f aca="false">MIN(Assumptions!$F$19,Assumptions!$F$17*(1+Assumptions!$F$18)^(M$5-1))</f>
        <v>10870.4687292047</v>
      </c>
      <c r="N15" s="61" t="n">
        <f aca="false">MIN(Assumptions!$F$19,Assumptions!$F$17*(1+Assumptions!$F$18)^(N$5-1))</f>
        <v>12174.9249767093</v>
      </c>
      <c r="O15" s="61" t="n">
        <f aca="false">MIN(Assumptions!$F$19,Assumptions!$F$17*(1+Assumptions!$F$18)^(O$5-1))</f>
        <v>13635.9159739144</v>
      </c>
      <c r="P15" s="61" t="n">
        <f aca="false">MIN(Assumptions!$F$19,Assumptions!$F$17*(1+Assumptions!$F$18)^(P$5-1))</f>
        <v>15272.2258907842</v>
      </c>
      <c r="Q15" s="61" t="n">
        <f aca="false">MIN(Assumptions!$F$19,Assumptions!$F$17*(1+Assumptions!$F$18)^(Q$5-1))</f>
        <v>17104.8929976783</v>
      </c>
      <c r="R15" s="61" t="n">
        <f aca="false">MIN(Assumptions!$F$19,Assumptions!$F$17*(1+Assumptions!$F$18)^(R$5-1))</f>
        <v>19157.4801573997</v>
      </c>
      <c r="S15" s="61" t="n">
        <f aca="false">MIN(Assumptions!$F$19,Assumptions!$F$17*(1+Assumptions!$F$18)^(S$5-1))</f>
        <v>21456.3777762876</v>
      </c>
      <c r="T15" s="61" t="n">
        <f aca="false">MIN(Assumptions!$F$19,Assumptions!$F$17*(1+Assumptions!$F$18)^(T$5-1))</f>
        <v>24031.1431094421</v>
      </c>
      <c r="U15" s="61" t="n">
        <f aca="false">MIN(Assumptions!$F$19,Assumptions!$F$17*(1+Assumptions!$F$18)^(U$5-1))</f>
        <v>26914.8802825752</v>
      </c>
      <c r="V15" s="61" t="n">
        <f aca="false">MIN(Assumptions!$F$19,Assumptions!$F$17*(1+Assumptions!$F$18)^(V$5-1))</f>
        <v>30144.6659164842</v>
      </c>
      <c r="W15" s="61" t="n">
        <f aca="false">MIN(Assumptions!$F$19,Assumptions!$F$17*(1+Assumptions!$F$18)^(W$5-1))</f>
        <v>33762.0258264623</v>
      </c>
      <c r="X15" s="61" t="n">
        <f aca="false">MIN(Assumptions!$F$19,Assumptions!$F$17*(1+Assumptions!$F$18)^(X$5-1))</f>
        <v>37813.4689256378</v>
      </c>
      <c r="Y15" s="61" t="n">
        <f aca="false">MIN(Assumptions!$F$19,Assumptions!$F$17*(1+Assumptions!$F$18)^(Y$5-1))</f>
        <v>42351.0851967144</v>
      </c>
      <c r="Z15" s="61" t="n">
        <f aca="false">MIN(Assumptions!$F$19,Assumptions!$F$17*(1+Assumptions!$F$18)^(Z$5-1))</f>
        <v>47433.2154203201</v>
      </c>
      <c r="AA15" s="61" t="n">
        <f aca="false">MIN(Assumptions!$F$19,Assumptions!$F$17*(1+Assumptions!$F$18)^(AA$5-1))</f>
        <v>53125.2012707585</v>
      </c>
      <c r="AB15" s="61" t="n">
        <f aca="false">MIN(Assumptions!$F$19,Assumptions!$F$17*(1+Assumptions!$F$18)^(AB$5-1))</f>
        <v>59500.2254232495</v>
      </c>
      <c r="AC15" s="61" t="n">
        <f aca="false">MIN(Assumptions!$F$19,Assumptions!$F$17*(1+Assumptions!$F$18)^(AC$5-1))</f>
        <v>66640.2524740395</v>
      </c>
      <c r="AD15" s="61" t="n">
        <f aca="false">MIN(Assumptions!$F$19,Assumptions!$F$17*(1+Assumptions!$F$18)^(AD$5-1))</f>
        <v>74637.0827709242</v>
      </c>
      <c r="AE15" s="61" t="n">
        <f aca="false">MIN(Assumptions!$F$19,Assumptions!$F$17*(1+Assumptions!$F$18)^(AE$5-1))</f>
        <v>83593.5327034351</v>
      </c>
      <c r="AF15" s="61" t="n">
        <f aca="false">MIN(Assumptions!$F$19,Assumptions!$F$17*(1+Assumptions!$F$18)^(AF$5-1))</f>
        <v>93624.7566278474</v>
      </c>
      <c r="AG15" s="61" t="n">
        <f aca="false">MIN(Assumptions!$F$19,Assumptions!$F$17*(1+Assumptions!$F$18)^(AG$5-1))</f>
        <v>104859.727423189</v>
      </c>
      <c r="AH15" s="61" t="n">
        <f aca="false">MIN(Assumptions!$F$19,Assumptions!$F$17*(1+Assumptions!$F$18)^(AH$5-1))</f>
        <v>117442.894713972</v>
      </c>
      <c r="AI15" s="61" t="n">
        <f aca="false">MIN(Assumptions!$F$19,Assumptions!$F$17*(1+Assumptions!$F$18)^(AI$5-1))</f>
        <v>131536.042079648</v>
      </c>
      <c r="AJ15" s="61" t="n">
        <f aca="false">MIN(Assumptions!$F$19,Assumptions!$F$17*(1+Assumptions!$F$18)^(AJ$5-1))</f>
        <v>147320.367129206</v>
      </c>
      <c r="AK15" s="61" t="n">
        <f aca="false">MIN(Assumptions!$F$19,Assumptions!$F$17*(1+Assumptions!$F$18)^(AK$5-1))</f>
        <v>164998.811184711</v>
      </c>
      <c r="AL15" s="61" t="n">
        <f aca="false">MIN(Assumptions!$F$19,Assumptions!$F$17*(1+Assumptions!$F$18)^(AL$5-1))</f>
        <v>184798.668526876</v>
      </c>
      <c r="AM15" s="61" t="n">
        <f aca="false">SUM(C15:AL15)</f>
        <v>1695620.90625084</v>
      </c>
    </row>
    <row r="16" customFormat="false" ht="15" hidden="false" customHeight="false" outlineLevel="0" collapsed="false">
      <c r="A16" s="38" t="s">
        <v>732</v>
      </c>
      <c r="B16" s="9" t="s">
        <v>95</v>
      </c>
      <c r="C16" s="53" t="n">
        <f aca="false">Assumptions!$F$20</f>
        <v>15000</v>
      </c>
      <c r="D16" s="53" t="n">
        <f aca="false">IF(D8=0,Assumptions!$F$20,MIN(Assumptions!$F$24,MAX(Assumptions!$F$21,C72*Assumptions!$F$22)))</f>
        <v>60000</v>
      </c>
      <c r="E16" s="53" t="n">
        <f aca="false">IF(E8=0,Assumptions!$F$20,MIN(Assumptions!$F$24,MAX(Assumptions!$F$21,D72*Assumptions!$F$22)))</f>
        <v>60000</v>
      </c>
      <c r="F16" s="53" t="n">
        <f aca="false">IF(F8=0,Assumptions!$F$20,MIN(Assumptions!$F$24,MAX(Assumptions!$F$21,E72*Assumptions!$F$22)))</f>
        <v>102889.512</v>
      </c>
      <c r="G16" s="53" t="n">
        <f aca="false">IF(G8=0,Assumptions!$F$20,MIN(Assumptions!$F$24,MAX(Assumptions!$F$21,F72*Assumptions!$F$22)))</f>
        <v>172246.98348</v>
      </c>
      <c r="H16" s="53" t="n">
        <f aca="false">IF(H8=0,Assumptions!$F$20,MIN(Assumptions!$F$24,MAX(Assumptions!$F$21,G72*Assumptions!$F$22)))</f>
        <v>288169.725228293</v>
      </c>
      <c r="I16" s="53" t="n">
        <f aca="false">IF(I8=0,Assumptions!$F$20,MIN(Assumptions!$F$24,MAX(Assumptions!$F$21,H72*Assumptions!$F$22)))</f>
        <v>398710.912028327</v>
      </c>
      <c r="J16" s="53" t="n">
        <f aca="false">IF(J8=0,Assumptions!$F$20,MIN(Assumptions!$F$24,MAX(Assumptions!$F$21,I72*Assumptions!$F$22)))</f>
        <v>511939.347735779</v>
      </c>
      <c r="K16" s="53" t="n">
        <f aca="false">IF(K8=0,Assumptions!$F$20,MIN(Assumptions!$F$24,MAX(Assumptions!$F$21,J72*Assumptions!$F$22)))</f>
        <v>630452.178400123</v>
      </c>
      <c r="L16" s="53" t="n">
        <f aca="false">IF(L8=0,Assumptions!$F$20,MIN(Assumptions!$F$24,MAX(Assumptions!$F$21,K72*Assumptions!$F$22)))</f>
        <v>755524.664769901</v>
      </c>
      <c r="M16" s="53" t="n">
        <f aca="false">IF(M8=0,Assumptions!$F$20,MIN(Assumptions!$F$24,MAX(Assumptions!$F$21,L72*Assumptions!$F$22)))</f>
        <v>888048.726254799</v>
      </c>
      <c r="N16" s="53" t="n">
        <f aca="false">IF(N8=0,Assumptions!$F$20,MIN(Assumptions!$F$24,MAX(Assumptions!$F$21,M72*Assumptions!$F$22)))</f>
        <v>1028870.13732202</v>
      </c>
      <c r="O16" s="53" t="n">
        <f aca="false">IF(O8=0,Assumptions!$F$20,MIN(Assumptions!$F$24,MAX(Assumptions!$F$21,N72*Assumptions!$F$22)))</f>
        <v>1178860.27375691</v>
      </c>
      <c r="P16" s="53" t="n">
        <f aca="false">IF(P8=0,Assumptions!$F$20,MIN(Assumptions!$F$24,MAX(Assumptions!$F$21,O72*Assumptions!$F$22)))</f>
        <v>1338934.79555601</v>
      </c>
      <c r="Q16" s="53" t="n">
        <f aca="false">IF(Q8=0,Assumptions!$F$20,MIN(Assumptions!$F$24,MAX(Assumptions!$F$21,P72*Assumptions!$F$22)))</f>
        <v>1510060.74744882</v>
      </c>
      <c r="R16" s="53" t="n">
        <f aca="false">IF(R8=0,Assumptions!$F$20,MIN(Assumptions!$F$24,MAX(Assumptions!$F$21,Q72*Assumptions!$F$22)))</f>
        <v>1693261.87038242</v>
      </c>
      <c r="S16" s="53" t="n">
        <f aca="false">IF(S8=0,Assumptions!$F$20,MIN(Assumptions!$F$24,MAX(Assumptions!$F$21,R72*Assumptions!$F$22)))</f>
        <v>1889624.22043252</v>
      </c>
      <c r="T16" s="53" t="n">
        <f aca="false">IF(T8=0,Assumptions!$F$20,MIN(Assumptions!$F$24,MAX(Assumptions!$F$21,S72*Assumptions!$F$22)))</f>
        <v>2100302.48708763</v>
      </c>
      <c r="U16" s="53" t="n">
        <f aca="false">IF(U8=0,Assumptions!$F$20,MIN(Assumptions!$F$24,MAX(Assumptions!$F$21,T72*Assumptions!$F$22)))</f>
        <v>2320104.2248173</v>
      </c>
      <c r="V16" s="53" t="n">
        <f aca="false">IF(V8=0,Assumptions!$F$20,MIN(Assumptions!$F$24,MAX(Assumptions!$F$21,U72*Assumptions!$F$22)))</f>
        <v>2548436.37928161</v>
      </c>
      <c r="W16" s="53" t="n">
        <f aca="false">IF(W8=0,Assumptions!$F$20,MIN(Assumptions!$F$24,MAX(Assumptions!$F$21,V72*Assumptions!$F$22)))</f>
        <v>2786264.3764525</v>
      </c>
      <c r="X16" s="53" t="n">
        <f aca="false">IF(X8=0,Assumptions!$F$20,MIN(Assumptions!$F$24,MAX(Assumptions!$F$21,W72*Assumptions!$F$22)))</f>
        <v>3033870.92715014</v>
      </c>
      <c r="Y16" s="53" t="n">
        <f aca="false">IF(Y8=0,Assumptions!$F$20,MIN(Assumptions!$F$24,MAX(Assumptions!$F$21,X72*Assumptions!$F$22)))</f>
        <v>3291544.54101001</v>
      </c>
      <c r="Z16" s="53" t="n">
        <f aca="false">IF(Z8=0,Assumptions!$F$20,MIN(Assumptions!$F$24,MAX(Assumptions!$F$21,Y72*Assumptions!$F$22)))</f>
        <v>3559582.94074429</v>
      </c>
      <c r="AA16" s="53" t="n">
        <f aca="false">IF(AA8=0,Assumptions!$F$20,MIN(Assumptions!$F$24,MAX(Assumptions!$F$21,Z72*Assumptions!$F$22)))</f>
        <v>3838302.03953734</v>
      </c>
      <c r="AB16" s="53" t="n">
        <f aca="false">IF(AB8=0,Assumptions!$F$20,MIN(Assumptions!$F$24,MAX(Assumptions!$F$21,AA72*Assumptions!$F$22)))</f>
        <v>4128040.96585933</v>
      </c>
      <c r="AC16" s="53" t="n">
        <f aca="false">IF(AC8=0,Assumptions!$F$20,MIN(Assumptions!$F$24,MAX(Assumptions!$F$21,AB72*Assumptions!$F$22)))</f>
        <v>4429166.80511478</v>
      </c>
      <c r="AD16" s="53" t="n">
        <f aca="false">IF(AD8=0,Assumptions!$F$20,MIN(Assumptions!$F$24,MAX(Assumptions!$F$21,AC72*Assumptions!$F$22)))</f>
        <v>4742079.6322</v>
      </c>
      <c r="AE16" s="53" t="n">
        <f aca="false">IF(AE8=0,Assumptions!$F$20,MIN(Assumptions!$F$24,MAX(Assumptions!$F$21,AD72*Assumptions!$F$22)))</f>
        <v>5067218.00184047</v>
      </c>
      <c r="AF16" s="53" t="n">
        <f aca="false">IF(AF8=0,Assumptions!$F$20,MIN(Assumptions!$F$24,MAX(Assumptions!$F$21,AE72*Assumptions!$F$22)))</f>
        <v>5405064.97581067</v>
      </c>
      <c r="AG16" s="53" t="n">
        <f aca="false">IF(AG8=0,Assumptions!$F$20,MIN(Assumptions!$F$24,MAX(Assumptions!$F$21,AF72*Assumptions!$F$22)))</f>
        <v>5756154.75507031</v>
      </c>
      <c r="AH16" s="53" t="n">
        <f aca="false">IF(AH8=0,Assumptions!$F$20,MIN(Assumptions!$F$24,MAX(Assumptions!$F$21,AG72*Assumptions!$F$22)))</f>
        <v>6000000</v>
      </c>
      <c r="AI16" s="53" t="n">
        <f aca="false">IF(AI8=0,Assumptions!$F$20,MIN(Assumptions!$F$24,MAX(Assumptions!$F$21,AH72*Assumptions!$F$22)))</f>
        <v>6000000</v>
      </c>
      <c r="AJ16" s="53" t="n">
        <f aca="false">IF(AJ8=0,Assumptions!$F$20,MIN(Assumptions!$F$24,MAX(Assumptions!$F$21,AI72*Assumptions!$F$22)))</f>
        <v>6000000</v>
      </c>
      <c r="AK16" s="53" t="n">
        <f aca="false">IF(AK8=0,Assumptions!$F$20,MIN(Assumptions!$F$24,MAX(Assumptions!$F$21,AJ72*Assumptions!$F$22)))</f>
        <v>6000000</v>
      </c>
      <c r="AL16" s="53" t="n">
        <f aca="false">IF(AL8=0,Assumptions!$F$20,MIN(Assumptions!$F$24,MAX(Assumptions!$F$21,AK72*Assumptions!$F$22)))</f>
        <v>6000000</v>
      </c>
      <c r="AM16" s="53" t="n">
        <f aca="false">SUM(C16:AL16)</f>
        <v>95528727.1467723</v>
      </c>
    </row>
    <row r="17" customFormat="false" ht="15" hidden="false" customHeight="false" outlineLevel="0" collapsed="false">
      <c r="A17" s="10" t="s">
        <v>733</v>
      </c>
      <c r="B17" s="9" t="s">
        <v>82</v>
      </c>
      <c r="C17" s="61" t="n">
        <f aca="false">(C14*Assumptions!$F$27+C15*Assumptions!$F$28)*Assumptions!$F$29*C8</f>
        <v>0</v>
      </c>
      <c r="D17" s="61" t="n">
        <f aca="false">(D14*Assumptions!$F$27+D15*Assumptions!$F$28)*Assumptions!$F$29*D8</f>
        <v>102045.9</v>
      </c>
      <c r="E17" s="61" t="n">
        <f aca="false">(E14*Assumptions!$F$27+E15*Assumptions!$F$28)*Assumptions!$F$29*E8</f>
        <v>31658.8305</v>
      </c>
      <c r="F17" s="61" t="n">
        <f aca="false">(F14*Assumptions!$F$27+F15*Assumptions!$F$28)*Assumptions!$F$29*F8</f>
        <v>29456.94081</v>
      </c>
      <c r="G17" s="61" t="n">
        <f aca="false">(G14*Assumptions!$F$27+G15*Assumptions!$F$28)*Assumptions!$F$29*G8</f>
        <v>27574.6165662</v>
      </c>
      <c r="H17" s="61" t="n">
        <f aca="false">(H14*Assumptions!$F$27+H15*Assumptions!$F$28)*Assumptions!$F$29*H8</f>
        <v>25968.474712884</v>
      </c>
      <c r="I17" s="61" t="n">
        <f aca="false">(I14*Assumptions!$F$27+I15*Assumptions!$F$28)*Assumptions!$F$29*I8</f>
        <v>24601.3685549465</v>
      </c>
      <c r="J17" s="61" t="n">
        <f aca="false">(J14*Assumptions!$F$27+J15*Assumptions!$F$28)*Assumptions!$F$29*J8</f>
        <v>23441.5341953442</v>
      </c>
      <c r="K17" s="61" t="n">
        <f aca="false">(K14*Assumptions!$F$27+K15*Assumptions!$F$28)*Assumptions!$F$29*K8</f>
        <v>22461.858814657</v>
      </c>
      <c r="L17" s="61" t="n">
        <f aca="false">(L14*Assumptions!$F$27+L15*Assumptions!$F$28)*Assumptions!$F$29*L8</f>
        <v>21639.2540160653</v>
      </c>
      <c r="M17" s="61" t="n">
        <f aca="false">(M14*Assumptions!$F$27+M15*Assumptions!$F$28)*Assumptions!$F$29*M8</f>
        <v>20954.1198415318</v>
      </c>
      <c r="N17" s="61" t="n">
        <f aca="false">(N14*Assumptions!$F$27+N15*Assumptions!$F$28)*Assumptions!$F$29*N8</f>
        <v>20389.8871179588</v>
      </c>
      <c r="O17" s="61" t="n">
        <f aca="false">(O14*Assumptions!$F$27+O15*Assumptions!$F$28)*Assumptions!$F$29*O8</f>
        <v>19932.627562195</v>
      </c>
      <c r="P17" s="61" t="n">
        <f aca="false">(P14*Assumptions!$F$27+P15*Assumptions!$F$28)*Assumptions!$F$29*P8</f>
        <v>19570.7226011281</v>
      </c>
      <c r="Q17" s="61" t="n">
        <f aca="false">(Q14*Assumptions!$F$27+Q15*Assumptions!$F$28)*Assumptions!$F$29*Q8</f>
        <v>19294.5831823275</v>
      </c>
      <c r="R17" s="61" t="n">
        <f aca="false">(R14*Assumptions!$F$27+R15*Assumptions!$F$28)*Assumptions!$F$29*R8</f>
        <v>19096.4139916019</v>
      </c>
      <c r="S17" s="61" t="n">
        <f aca="false">(S14*Assumptions!$F$27+S15*Assumptions!$F$28)*Assumptions!$F$29*S8</f>
        <v>18970.0164821538</v>
      </c>
      <c r="T17" s="61" t="n">
        <f aca="false">(T14*Assumptions!$F$27+T15*Assumptions!$F$28)*Assumptions!$F$29*T8</f>
        <v>18910.6259779537</v>
      </c>
      <c r="U17" s="61" t="n">
        <f aca="false">(U14*Assumptions!$F$27+U15*Assumptions!$F$28)*Assumptions!$F$29*U8</f>
        <v>18914.7788607377</v>
      </c>
      <c r="V17" s="61" t="n">
        <f aca="false">(V14*Assumptions!$F$27+V15*Assumptions!$F$28)*Assumptions!$F$29*V8</f>
        <v>18980.2065022956</v>
      </c>
      <c r="W17" s="61" t="n">
        <f aca="false">(W14*Assumptions!$F$27+W15*Assumptions!$F$28)*Assumptions!$F$29*W8</f>
        <v>19105.7531758828</v>
      </c>
      <c r="X17" s="61" t="n">
        <f aca="false">(X14*Assumptions!$F$27+X15*Assumptions!$F$28)*Assumptions!$F$29*X8</f>
        <v>19291.3156852369</v>
      </c>
      <c r="Y17" s="61" t="n">
        <f aca="false">(Y14*Assumptions!$F$27+Y15*Assumptions!$F$28)*Assumptions!$F$29*Y8</f>
        <v>19537.8028977586</v>
      </c>
      <c r="Z17" s="61" t="n">
        <f aca="false">(Z14*Assumptions!$F$27+Z15*Assumptions!$F$28)*Assumptions!$F$29*Z8</f>
        <v>19847.1137695419</v>
      </c>
      <c r="AA17" s="61" t="n">
        <f aca="false">(AA14*Assumptions!$F$27+AA15*Assumptions!$F$28)*Assumptions!$F$29*AA8</f>
        <v>20222.1328125719</v>
      </c>
      <c r="AB17" s="61" t="n">
        <f aca="false">(AB14*Assumptions!$F$27+AB15*Assumptions!$F$28)*Assumptions!$F$29*AB8</f>
        <v>20666.7422860696</v>
      </c>
      <c r="AC17" s="61" t="n">
        <f aca="false">(AC14*Assumptions!$F$27+AC15*Assumptions!$F$28)*Assumptions!$F$29*AC8</f>
        <v>21185.8507013486</v>
      </c>
      <c r="AD17" s="61" t="n">
        <f aca="false">(AD14*Assumptions!$F$27+AD15*Assumptions!$F$28)*Assumptions!$F$29*AD8</f>
        <v>21785.4375187279</v>
      </c>
      <c r="AE17" s="61" t="n">
        <f aca="false">(AE14*Assumptions!$F$27+AE15*Assumptions!$F$28)*Assumptions!$F$29*AE8</f>
        <v>22472.6141915424</v>
      </c>
      <c r="AF17" s="61" t="n">
        <f aca="false">(AF14*Assumptions!$F$27+AF15*Assumptions!$F$28)*Assumptions!$F$29*AF8</f>
        <v>23255.7019812151</v>
      </c>
      <c r="AG17" s="61" t="n">
        <f aca="false">(AG14*Assumptions!$F$27+AG15*Assumptions!$F$28)*Assumptions!$F$29*AG8</f>
        <v>24144.3272335123</v>
      </c>
      <c r="AH17" s="61" t="n">
        <f aca="false">(AH14*Assumptions!$F$27+AH15*Assumptions!$F$28)*Assumptions!$F$29*AH8</f>
        <v>25149.535074048</v>
      </c>
      <c r="AI17" s="61" t="n">
        <f aca="false">(AI14*Assumptions!$F$27+AI15*Assumptions!$F$28)*Assumptions!$F$29*AI8</f>
        <v>26283.922755296</v>
      </c>
      <c r="AJ17" s="61" t="n">
        <f aca="false">(AJ14*Assumptions!$F$27+AJ15*Assumptions!$F$28)*Assumptions!$F$29*AJ8</f>
        <v>27561.794172163</v>
      </c>
      <c r="AK17" s="61" t="n">
        <f aca="false">(AK14*Assumptions!$F$27+AK15*Assumptions!$F$28)*Assumptions!$F$29*AK8</f>
        <v>28999.3373629817</v>
      </c>
      <c r="AL17" s="61" t="n">
        <f aca="false">(AL14*Assumptions!$F$27+AL15*Assumptions!$F$28)*Assumptions!$F$29*AL8</f>
        <v>30614.8271320763</v>
      </c>
      <c r="AM17" s="61" t="n">
        <f aca="false">SUM(C17:AL17)</f>
        <v>873986.969039954</v>
      </c>
    </row>
    <row r="18" customFormat="false" ht="15" hidden="false" customHeight="false" outlineLevel="0" collapsed="false">
      <c r="A18" s="10" t="s">
        <v>734</v>
      </c>
      <c r="B18" s="9" t="s">
        <v>95</v>
      </c>
      <c r="C18" s="70" t="n">
        <f aca="false">MIN(C16,C17*Assumptions!$F$30)</f>
        <v>0</v>
      </c>
      <c r="D18" s="70" t="n">
        <f aca="false">MIN(D16,D17*Assumptions!$F$30)</f>
        <v>60000</v>
      </c>
      <c r="E18" s="70" t="n">
        <f aca="false">MIN(E16,E17*Assumptions!$F$30)</f>
        <v>30075.888975</v>
      </c>
      <c r="F18" s="70" t="n">
        <f aca="false">MIN(F16,F17*Assumptions!$F$30)</f>
        <v>27984.0937695</v>
      </c>
      <c r="G18" s="70" t="n">
        <f aca="false">MIN(G16,G17*Assumptions!$F$30)</f>
        <v>26195.88573789</v>
      </c>
      <c r="H18" s="70" t="n">
        <f aca="false">MIN(H16,H17*Assumptions!$F$30)</f>
        <v>24670.0509772398</v>
      </c>
      <c r="I18" s="70" t="n">
        <f aca="false">MIN(I16,I17*Assumptions!$F$30)</f>
        <v>23371.3001271992</v>
      </c>
      <c r="J18" s="70" t="n">
        <f aca="false">MIN(J16,J17*Assumptions!$F$30)</f>
        <v>22269.457485577</v>
      </c>
      <c r="K18" s="70" t="n">
        <f aca="false">MIN(K16,K17*Assumptions!$F$30)</f>
        <v>21338.7658739241</v>
      </c>
      <c r="L18" s="70" t="n">
        <f aca="false">MIN(L16,L17*Assumptions!$F$30)</f>
        <v>20557.2913152621</v>
      </c>
      <c r="M18" s="70" t="n">
        <f aca="false">MIN(M16,M17*Assumptions!$F$30)</f>
        <v>19906.4138494552</v>
      </c>
      <c r="N18" s="70" t="n">
        <f aca="false">MIN(N16,N17*Assumptions!$F$30)</f>
        <v>19370.3927620608</v>
      </c>
      <c r="O18" s="70" t="n">
        <f aca="false">MIN(O16,O17*Assumptions!$F$30)</f>
        <v>18935.9961840852</v>
      </c>
      <c r="P18" s="70" t="n">
        <f aca="false">MIN(P16,P17*Assumptions!$F$30)</f>
        <v>18592.1864710717</v>
      </c>
      <c r="Q18" s="70" t="n">
        <f aca="false">MIN(Q16,Q17*Assumptions!$F$30)</f>
        <v>18329.8540232111</v>
      </c>
      <c r="R18" s="70" t="n">
        <f aca="false">MIN(R16,R17*Assumptions!$F$30)</f>
        <v>18141.5932920218</v>
      </c>
      <c r="S18" s="70" t="n">
        <f aca="false">MIN(S16,S17*Assumptions!$F$30)</f>
        <v>18021.5156580461</v>
      </c>
      <c r="T18" s="70" t="n">
        <f aca="false">MIN(T16,T17*Assumptions!$F$30)</f>
        <v>17965.094679056</v>
      </c>
      <c r="U18" s="70" t="n">
        <f aca="false">MIN(U16,U17*Assumptions!$F$30)</f>
        <v>17969.0399177008</v>
      </c>
      <c r="V18" s="70" t="n">
        <f aca="false">MIN(V16,V17*Assumptions!$F$30)</f>
        <v>18031.1961771809</v>
      </c>
      <c r="W18" s="70" t="n">
        <f aca="false">MIN(W16,W17*Assumptions!$F$30)</f>
        <v>18150.4655170887</v>
      </c>
      <c r="X18" s="70" t="n">
        <f aca="false">MIN(X16,X17*Assumptions!$F$30)</f>
        <v>18326.749900975</v>
      </c>
      <c r="Y18" s="70" t="n">
        <f aca="false">MIN(Y16,Y17*Assumptions!$F$30)</f>
        <v>18560.9127528707</v>
      </c>
      <c r="Z18" s="70" t="n">
        <f aca="false">MIN(Z16,Z17*Assumptions!$F$30)</f>
        <v>18854.7580810648</v>
      </c>
      <c r="AA18" s="70" t="n">
        <f aca="false">MIN(AA16,AA17*Assumptions!$F$30)</f>
        <v>19211.0261719433</v>
      </c>
      <c r="AB18" s="70" t="n">
        <f aca="false">MIN(AB16,AB17*Assumptions!$F$30)</f>
        <v>19633.4051717662</v>
      </c>
      <c r="AC18" s="70" t="n">
        <f aca="false">MIN(AC16,AC17*Assumptions!$F$30)</f>
        <v>20126.5581662812</v>
      </c>
      <c r="AD18" s="70" t="n">
        <f aca="false">MIN(AD16,AD17*Assumptions!$F$30)</f>
        <v>20696.1656427915</v>
      </c>
      <c r="AE18" s="70" t="n">
        <f aca="false">MIN(AE16,AE17*Assumptions!$F$30)</f>
        <v>21348.9834819652</v>
      </c>
      <c r="AF18" s="70" t="n">
        <f aca="false">MIN(AF16,AF17*Assumptions!$F$30)</f>
        <v>22092.9168821544</v>
      </c>
      <c r="AG18" s="70" t="n">
        <f aca="false">MIN(AG16,AG17*Assumptions!$F$30)</f>
        <v>22937.1108718367</v>
      </c>
      <c r="AH18" s="70" t="n">
        <f aca="false">MIN(AH16,AH17*Assumptions!$F$30)</f>
        <v>23892.0583203456</v>
      </c>
      <c r="AI18" s="70" t="n">
        <f aca="false">MIN(AI16,AI17*Assumptions!$F$30)</f>
        <v>24969.7266175312</v>
      </c>
      <c r="AJ18" s="70" t="n">
        <f aca="false">MIN(AJ16,AJ17*Assumptions!$F$30)</f>
        <v>26183.7044635549</v>
      </c>
      <c r="AK18" s="70" t="n">
        <f aca="false">MIN(AK16,AK17*Assumptions!$F$30)</f>
        <v>27549.3704948326</v>
      </c>
      <c r="AL18" s="70" t="n">
        <f aca="false">MIN(AL16,AL17*Assumptions!$F$30)</f>
        <v>29084.0857754725</v>
      </c>
      <c r="AM18" s="70" t="n">
        <f aca="false">SUM(C18:AL18)</f>
        <v>793344.015587956</v>
      </c>
    </row>
    <row r="19" customFormat="false" ht="15" hidden="false" customHeight="false" outlineLevel="0" collapsed="false">
      <c r="A19" s="10" t="s">
        <v>735</v>
      </c>
      <c r="B19" s="9" t="s">
        <v>82</v>
      </c>
      <c r="C19" s="61" t="n">
        <f aca="false">C18/Assumptions!$F$30</f>
        <v>0</v>
      </c>
      <c r="D19" s="61" t="n">
        <f aca="false">D18/Assumptions!$F$30</f>
        <v>63157.8947368421</v>
      </c>
      <c r="E19" s="61" t="n">
        <f aca="false">E18/Assumptions!$F$30</f>
        <v>31658.8305</v>
      </c>
      <c r="F19" s="61" t="n">
        <f aca="false">F18/Assumptions!$F$30</f>
        <v>29456.94081</v>
      </c>
      <c r="G19" s="61" t="n">
        <f aca="false">G18/Assumptions!$F$30</f>
        <v>27574.6165662</v>
      </c>
      <c r="H19" s="61" t="n">
        <f aca="false">H18/Assumptions!$F$30</f>
        <v>25968.474712884</v>
      </c>
      <c r="I19" s="61" t="n">
        <f aca="false">I18/Assumptions!$F$30</f>
        <v>24601.3685549465</v>
      </c>
      <c r="J19" s="61" t="n">
        <f aca="false">J18/Assumptions!$F$30</f>
        <v>23441.5341953442</v>
      </c>
      <c r="K19" s="61" t="n">
        <f aca="false">K18/Assumptions!$F$30</f>
        <v>22461.858814657</v>
      </c>
      <c r="L19" s="61" t="n">
        <f aca="false">L18/Assumptions!$F$30</f>
        <v>21639.2540160653</v>
      </c>
      <c r="M19" s="61" t="n">
        <f aca="false">M18/Assumptions!$F$30</f>
        <v>20954.1198415318</v>
      </c>
      <c r="N19" s="61" t="n">
        <f aca="false">N18/Assumptions!$F$30</f>
        <v>20389.8871179588</v>
      </c>
      <c r="O19" s="61" t="n">
        <f aca="false">O18/Assumptions!$F$30</f>
        <v>19932.627562195</v>
      </c>
      <c r="P19" s="61" t="n">
        <f aca="false">P18/Assumptions!$F$30</f>
        <v>19570.7226011281</v>
      </c>
      <c r="Q19" s="61" t="n">
        <f aca="false">Q18/Assumptions!$F$30</f>
        <v>19294.5831823275</v>
      </c>
      <c r="R19" s="61" t="n">
        <f aca="false">R18/Assumptions!$F$30</f>
        <v>19096.4139916019</v>
      </c>
      <c r="S19" s="61" t="n">
        <f aca="false">S18/Assumptions!$F$30</f>
        <v>18970.0164821538</v>
      </c>
      <c r="T19" s="61" t="n">
        <f aca="false">T18/Assumptions!$F$30</f>
        <v>18910.6259779537</v>
      </c>
      <c r="U19" s="61" t="n">
        <f aca="false">U18/Assumptions!$F$30</f>
        <v>18914.7788607377</v>
      </c>
      <c r="V19" s="61" t="n">
        <f aca="false">V18/Assumptions!$F$30</f>
        <v>18980.2065022956</v>
      </c>
      <c r="W19" s="61" t="n">
        <f aca="false">W18/Assumptions!$F$30</f>
        <v>19105.7531758828</v>
      </c>
      <c r="X19" s="61" t="n">
        <f aca="false">X18/Assumptions!$F$30</f>
        <v>19291.3156852369</v>
      </c>
      <c r="Y19" s="61" t="n">
        <f aca="false">Y18/Assumptions!$F$30</f>
        <v>19537.8028977586</v>
      </c>
      <c r="Z19" s="61" t="n">
        <f aca="false">Z18/Assumptions!$F$30</f>
        <v>19847.1137695419</v>
      </c>
      <c r="AA19" s="61" t="n">
        <f aca="false">AA18/Assumptions!$F$30</f>
        <v>20222.1328125719</v>
      </c>
      <c r="AB19" s="61" t="n">
        <f aca="false">AB18/Assumptions!$F$30</f>
        <v>20666.7422860696</v>
      </c>
      <c r="AC19" s="61" t="n">
        <f aca="false">AC18/Assumptions!$F$30</f>
        <v>21185.8507013486</v>
      </c>
      <c r="AD19" s="61" t="n">
        <f aca="false">AD18/Assumptions!$F$30</f>
        <v>21785.4375187279</v>
      </c>
      <c r="AE19" s="61" t="n">
        <f aca="false">AE18/Assumptions!$F$30</f>
        <v>22472.6141915424</v>
      </c>
      <c r="AF19" s="61" t="n">
        <f aca="false">AF18/Assumptions!$F$30</f>
        <v>23255.7019812151</v>
      </c>
      <c r="AG19" s="61" t="n">
        <f aca="false">AG18/Assumptions!$F$30</f>
        <v>24144.3272335123</v>
      </c>
      <c r="AH19" s="61" t="n">
        <f aca="false">AH18/Assumptions!$F$30</f>
        <v>25149.535074048</v>
      </c>
      <c r="AI19" s="61" t="n">
        <f aca="false">AI18/Assumptions!$F$30</f>
        <v>26283.922755296</v>
      </c>
      <c r="AJ19" s="61" t="n">
        <f aca="false">AJ18/Assumptions!$F$30</f>
        <v>27561.794172163</v>
      </c>
      <c r="AK19" s="61" t="n">
        <f aca="false">AK18/Assumptions!$F$30</f>
        <v>28999.3373629817</v>
      </c>
      <c r="AL19" s="61" t="n">
        <f aca="false">AL18/Assumptions!$F$30</f>
        <v>30614.8271320763</v>
      </c>
      <c r="AM19" s="61" t="n">
        <f aca="false">SUM(C19:AL19)</f>
        <v>835098.963776796</v>
      </c>
    </row>
    <row r="20" customFormat="false" ht="15" hidden="false" customHeight="false" outlineLevel="0" collapsed="false">
      <c r="A20" s="10" t="s">
        <v>736</v>
      </c>
      <c r="B20" s="9" t="s">
        <v>49</v>
      </c>
      <c r="C20" s="61" t="n">
        <f aca="false">C8*(Assumptions!$F$35*C14)</f>
        <v>0</v>
      </c>
      <c r="D20" s="61" t="n">
        <f aca="false">D8*(Assumptions!$F$35*D14+Assumptions!$F$34*C29)</f>
        <v>878996.862848082</v>
      </c>
      <c r="E20" s="61" t="n">
        <f aca="false">E8*(Assumptions!$F$35*E14+Assumptions!$F$34*D29)</f>
        <v>628039.343578948</v>
      </c>
      <c r="F20" s="61" t="n">
        <f aca="false">F8*(Assumptions!$F$35*F14+Assumptions!$F$34*E29)</f>
        <v>384542.152078</v>
      </c>
      <c r="G20" s="61" t="n">
        <f aca="false">G8*(Assumptions!$F$35*G14+Assumptions!$F$34*F29)</f>
        <v>383360.23889356</v>
      </c>
      <c r="H20" s="61" t="n">
        <f aca="false">H8*(Assumptions!$F$35*H14+Assumptions!$F$34*G29)</f>
        <v>399320.289208919</v>
      </c>
      <c r="I20" s="61" t="n">
        <f aca="false">I8*(Assumptions!$F$35*I14+Assumptions!$F$34*H29)</f>
        <v>430892.216726092</v>
      </c>
      <c r="J20" s="61" t="n">
        <f aca="false">J8*(Assumptions!$F$35*J14+Assumptions!$F$34*I29)</f>
        <v>453247.998740625</v>
      </c>
      <c r="K20" s="61" t="n">
        <f aca="false">K8*(Assumptions!$F$35*K14+Assumptions!$F$34*J29)</f>
        <v>474932.796587507</v>
      </c>
      <c r="L20" s="61" t="n">
        <f aca="false">L8*(Assumptions!$F$35*L14+Assumptions!$F$34*K29)</f>
        <v>498029.205677093</v>
      </c>
      <c r="M20" s="61" t="n">
        <f aca="false">M8*(Assumptions!$F$35*M14+Assumptions!$F$34*L29)</f>
        <v>523205.023518783</v>
      </c>
      <c r="N20" s="61" t="n">
        <f aca="false">N8*(Assumptions!$F$35*N14+Assumptions!$F$34*M29)</f>
        <v>550723.547077329</v>
      </c>
      <c r="O20" s="61" t="n">
        <f aca="false">O8*(Assumptions!$F$35*O14+Assumptions!$F$34*N29)</f>
        <v>580727.462696865</v>
      </c>
      <c r="P20" s="61" t="n">
        <f aca="false">P8*(Assumptions!$F$35*P14+Assumptions!$F$34*O29)</f>
        <v>613322.687029772</v>
      </c>
      <c r="Q20" s="61" t="n">
        <f aca="false">Q8*(Assumptions!$F$35*Q14+Assumptions!$F$34*P29)</f>
        <v>648607.840128164</v>
      </c>
      <c r="R20" s="61" t="n">
        <f aca="false">R8*(Assumptions!$F$35*R14+Assumptions!$F$34*Q29)</f>
        <v>686686.518581431</v>
      </c>
      <c r="S20" s="61" t="n">
        <f aca="false">S8*(Assumptions!$F$35*S14+Assumptions!$F$34*R29)</f>
        <v>727673.218933709</v>
      </c>
      <c r="T20" s="61" t="n">
        <f aca="false">T8*(Assumptions!$F$35*T14+Assumptions!$F$34*S29)</f>
        <v>771696.56376261</v>
      </c>
      <c r="U20" s="61" t="n">
        <f aca="false">U8*(Assumptions!$F$35*U14+Assumptions!$F$34*T29)</f>
        <v>818901.275001007</v>
      </c>
      <c r="V20" s="61" t="n">
        <f aca="false">V8*(Assumptions!$F$35*V14+Assumptions!$F$34*U29)</f>
        <v>868182.35132359</v>
      </c>
      <c r="W20" s="61" t="n">
        <f aca="false">W8*(Assumptions!$F$35*W14+Assumptions!$F$34*V29)</f>
        <v>919256.060190489</v>
      </c>
      <c r="X20" s="61" t="n">
        <f aca="false">X8*(Assumptions!$F$35*X14+Assumptions!$F$34*W29)</f>
        <v>972253.881712492</v>
      </c>
      <c r="Y20" s="61" t="n">
        <f aca="false">Y8*(Assumptions!$F$35*Y14+Assumptions!$F$34*X29)</f>
        <v>1027229.25907456</v>
      </c>
      <c r="Z20" s="61" t="n">
        <f aca="false">Z8*(Assumptions!$F$35*Z14+Assumptions!$F$34*Y29)</f>
        <v>1084232.85907848</v>
      </c>
      <c r="AA20" s="61" t="n">
        <f aca="false">AA8*(Assumptions!$F$35*AA14+Assumptions!$F$34*Z29)</f>
        <v>1143323.0992601</v>
      </c>
      <c r="AB20" s="61" t="n">
        <f aca="false">AB8*(Assumptions!$F$35*AB14+Assumptions!$F$34*AA29)</f>
        <v>1204569.37140049</v>
      </c>
      <c r="AC20" s="61" t="n">
        <f aca="false">AC8*(Assumptions!$F$35*AC14+Assumptions!$F$34*AB29)</f>
        <v>1268053.56185338</v>
      </c>
      <c r="AD20" s="61" t="n">
        <f aca="false">AD8*(Assumptions!$F$35*AD14+Assumptions!$F$34*AC29)</f>
        <v>1333871.33124164</v>
      </c>
      <c r="AE20" s="61" t="n">
        <f aca="false">AE8*(Assumptions!$F$35*AE14+Assumptions!$F$34*AD29)</f>
        <v>1402133.47052707</v>
      </c>
      <c r="AF20" s="61" t="n">
        <f aca="false">AF8*(Assumptions!$F$35*AF14+Assumptions!$F$34*AE29)</f>
        <v>1472967.4178968</v>
      </c>
      <c r="AG20" s="61" t="n">
        <f aca="false">AG8*(Assumptions!$F$35*AG14+Assumptions!$F$34*AF29)</f>
        <v>1546518.97134741</v>
      </c>
      <c r="AH20" s="61" t="n">
        <f aca="false">AH8*(Assumptions!$F$35*AH14+Assumptions!$F$34*AG29)</f>
        <v>1622954.22210083</v>
      </c>
      <c r="AI20" s="61" t="n">
        <f aca="false">AI8*(Assumptions!$F$35*AI14+Assumptions!$F$34*AH29)</f>
        <v>1682515.67707825</v>
      </c>
      <c r="AJ20" s="61" t="n">
        <f aca="false">AJ8*(Assumptions!$F$35*AJ14+Assumptions!$F$34*AI29)</f>
        <v>1700394.0808003</v>
      </c>
      <c r="AK20" s="61" t="n">
        <f aca="false">AK8*(Assumptions!$F$35*AK14+Assumptions!$F$34*AJ29)</f>
        <v>1713566.47895402</v>
      </c>
      <c r="AL20" s="61" t="n">
        <f aca="false">AL8*(Assumptions!$F$35*AL14+Assumptions!$F$34*AK29)</f>
        <v>1727416.31393172</v>
      </c>
      <c r="AM20" s="61" t="n">
        <f aca="false">AL20</f>
        <v>1727416.31393172</v>
      </c>
    </row>
    <row r="21" customFormat="false" ht="15" hidden="false" customHeight="false" outlineLevel="0" collapsed="false">
      <c r="A21" s="10" t="s">
        <v>737</v>
      </c>
      <c r="B21" s="9" t="s">
        <v>82</v>
      </c>
      <c r="C21" s="61" t="n">
        <f aca="false">C20*Assumptions!$F$36</f>
        <v>0</v>
      </c>
      <c r="D21" s="61" t="n">
        <f aca="false">D20*Assumptions!$F$36</f>
        <v>281278.996111386</v>
      </c>
      <c r="E21" s="61" t="n">
        <f aca="false">E20*Assumptions!$F$36</f>
        <v>200972.589945263</v>
      </c>
      <c r="F21" s="61" t="n">
        <f aca="false">F20*Assumptions!$F$36</f>
        <v>123053.48866496</v>
      </c>
      <c r="G21" s="61" t="n">
        <f aca="false">G20*Assumptions!$F$36</f>
        <v>122675.276445939</v>
      </c>
      <c r="H21" s="61" t="n">
        <f aca="false">H20*Assumptions!$F$36</f>
        <v>127782.492546854</v>
      </c>
      <c r="I21" s="61" t="n">
        <f aca="false">I20*Assumptions!$F$36</f>
        <v>137885.50935235</v>
      </c>
      <c r="J21" s="61" t="n">
        <f aca="false">J20*Assumptions!$F$36</f>
        <v>145039.359597</v>
      </c>
      <c r="K21" s="61" t="n">
        <f aca="false">K20*Assumptions!$F$36</f>
        <v>151978.494908002</v>
      </c>
      <c r="L21" s="61" t="n">
        <f aca="false">L20*Assumptions!$F$36</f>
        <v>159369.34581667</v>
      </c>
      <c r="M21" s="61" t="n">
        <f aca="false">M20*Assumptions!$F$36</f>
        <v>167425.60752601</v>
      </c>
      <c r="N21" s="61" t="n">
        <f aca="false">N20*Assumptions!$F$36</f>
        <v>176231.535064745</v>
      </c>
      <c r="O21" s="61" t="n">
        <f aca="false">O20*Assumptions!$F$36</f>
        <v>185832.788062997</v>
      </c>
      <c r="P21" s="61" t="n">
        <f aca="false">P20*Assumptions!$F$36</f>
        <v>196263.259849527</v>
      </c>
      <c r="Q21" s="61" t="n">
        <f aca="false">Q20*Assumptions!$F$36</f>
        <v>207554.508841012</v>
      </c>
      <c r="R21" s="61" t="n">
        <f aca="false">R20*Assumptions!$F$36</f>
        <v>219739.685946058</v>
      </c>
      <c r="S21" s="61" t="n">
        <f aca="false">S20*Assumptions!$F$36</f>
        <v>232855.430058787</v>
      </c>
      <c r="T21" s="61" t="n">
        <f aca="false">T20*Assumptions!$F$36</f>
        <v>246942.900404035</v>
      </c>
      <c r="U21" s="61" t="n">
        <f aca="false">U20*Assumptions!$F$36</f>
        <v>262048.408000322</v>
      </c>
      <c r="V21" s="61" t="n">
        <f aca="false">V20*Assumptions!$F$36</f>
        <v>277818.352423549</v>
      </c>
      <c r="W21" s="61" t="n">
        <f aca="false">W20*Assumptions!$F$36</f>
        <v>294161.939260957</v>
      </c>
      <c r="X21" s="61" t="n">
        <f aca="false">X20*Assumptions!$F$36</f>
        <v>311121.242147998</v>
      </c>
      <c r="Y21" s="61" t="n">
        <f aca="false">Y20*Assumptions!$F$36</f>
        <v>328713.36290386</v>
      </c>
      <c r="Z21" s="61" t="n">
        <f aca="false">Z20*Assumptions!$F$36</f>
        <v>346954.514905113</v>
      </c>
      <c r="AA21" s="61" t="n">
        <f aca="false">AA20*Assumptions!$F$36</f>
        <v>365863.391763232</v>
      </c>
      <c r="AB21" s="61" t="n">
        <f aca="false">AB20*Assumptions!$F$36</f>
        <v>385462.198848157</v>
      </c>
      <c r="AC21" s="61" t="n">
        <f aca="false">AC20*Assumptions!$F$36</f>
        <v>405777.139793082</v>
      </c>
      <c r="AD21" s="61" t="n">
        <f aca="false">AD20*Assumptions!$F$36</f>
        <v>426838.825997324</v>
      </c>
      <c r="AE21" s="61" t="n">
        <f aca="false">AE20*Assumptions!$F$36</f>
        <v>448682.710568661</v>
      </c>
      <c r="AF21" s="61" t="n">
        <f aca="false">AF20*Assumptions!$F$36</f>
        <v>471349.573726977</v>
      </c>
      <c r="AG21" s="61" t="n">
        <f aca="false">AG20*Assumptions!$F$36</f>
        <v>494886.070831171</v>
      </c>
      <c r="AH21" s="61" t="n">
        <f aca="false">AH20*Assumptions!$F$36</f>
        <v>519345.351072266</v>
      </c>
      <c r="AI21" s="61" t="n">
        <f aca="false">AI20*Assumptions!$F$36</f>
        <v>538405.016665041</v>
      </c>
      <c r="AJ21" s="61" t="n">
        <f aca="false">AJ20*Assumptions!$F$36</f>
        <v>544126.105856095</v>
      </c>
      <c r="AK21" s="61" t="n">
        <f aca="false">AK20*Assumptions!$F$36</f>
        <v>548341.273265286</v>
      </c>
      <c r="AL21" s="61" t="n">
        <f aca="false">AL20*Assumptions!$F$36</f>
        <v>552773.220458149</v>
      </c>
      <c r="AM21" s="61" t="n">
        <f aca="false">SUM(C21:AL21)</f>
        <v>10605549.9676288</v>
      </c>
    </row>
    <row r="22" customFormat="false" ht="15" hidden="false" customHeight="false" outlineLevel="0" collapsed="false">
      <c r="A22" s="10" t="s">
        <v>738</v>
      </c>
      <c r="B22" s="9" t="s">
        <v>95</v>
      </c>
      <c r="C22" s="70" t="n">
        <f aca="false">MIN(MAX(0,C16-C18),C21*Assumptions!$F$37)</f>
        <v>0</v>
      </c>
      <c r="D22" s="70" t="n">
        <f aca="false">MIN(MAX(0,D16-D18),D21*Assumptions!$F$37)</f>
        <v>0</v>
      </c>
      <c r="E22" s="70" t="n">
        <f aca="false">MIN(MAX(0,E16-E18),E21*Assumptions!$F$37)</f>
        <v>29924.111025</v>
      </c>
      <c r="F22" s="70" t="n">
        <f aca="false">MIN(MAX(0,F16-F18),F21*Assumptions!$F$37)</f>
        <v>74905.4182305</v>
      </c>
      <c r="G22" s="70" t="n">
        <f aca="false">MIN(MAX(0,G16-G18),G21*Assumptions!$F$37)</f>
        <v>146051.09774211</v>
      </c>
      <c r="H22" s="70" t="n">
        <f aca="false">MIN(MAX(0,H16-H18),H21*Assumptions!$F$37)</f>
        <v>159728.115683568</v>
      </c>
      <c r="I22" s="70" t="n">
        <f aca="false">MIN(MAX(0,I16-I18),I21*Assumptions!$F$37)</f>
        <v>172356.886690437</v>
      </c>
      <c r="J22" s="70" t="n">
        <f aca="false">MIN(MAX(0,J16-J18),J21*Assumptions!$F$37)</f>
        <v>181299.19949625</v>
      </c>
      <c r="K22" s="70" t="n">
        <f aca="false">MIN(MAX(0,K16-K18),K21*Assumptions!$F$37)</f>
        <v>189973.118635003</v>
      </c>
      <c r="L22" s="70" t="n">
        <f aca="false">MIN(MAX(0,L16-L18),L21*Assumptions!$F$37)</f>
        <v>199211.682270837</v>
      </c>
      <c r="M22" s="70" t="n">
        <f aca="false">MIN(MAX(0,M16-M18),M21*Assumptions!$F$37)</f>
        <v>209282.009407513</v>
      </c>
      <c r="N22" s="70" t="n">
        <f aca="false">MIN(MAX(0,N16-N18),N21*Assumptions!$F$37)</f>
        <v>220289.418830932</v>
      </c>
      <c r="O22" s="70" t="n">
        <f aca="false">MIN(MAX(0,O16-O18),O21*Assumptions!$F$37)</f>
        <v>232290.985078746</v>
      </c>
      <c r="P22" s="70" t="n">
        <f aca="false">MIN(MAX(0,P16-P18),P21*Assumptions!$F$37)</f>
        <v>245329.074811909</v>
      </c>
      <c r="Q22" s="70" t="n">
        <f aca="false">MIN(MAX(0,Q16-Q18),Q21*Assumptions!$F$37)</f>
        <v>259443.136051265</v>
      </c>
      <c r="R22" s="70" t="n">
        <f aca="false">MIN(MAX(0,R16-R18),R21*Assumptions!$F$37)</f>
        <v>274674.607432572</v>
      </c>
      <c r="S22" s="70" t="n">
        <f aca="false">MIN(MAX(0,S16-S18),S21*Assumptions!$F$37)</f>
        <v>291069.287573484</v>
      </c>
      <c r="T22" s="70" t="n">
        <f aca="false">MIN(MAX(0,T16-T18),T21*Assumptions!$F$37)</f>
        <v>308678.625505044</v>
      </c>
      <c r="U22" s="70" t="n">
        <f aca="false">MIN(MAX(0,U16-U18),U21*Assumptions!$F$37)</f>
        <v>327560.510000403</v>
      </c>
      <c r="V22" s="70" t="n">
        <f aca="false">MIN(MAX(0,V16-V18),V21*Assumptions!$F$37)</f>
        <v>347272.940529436</v>
      </c>
      <c r="W22" s="70" t="n">
        <f aca="false">MIN(MAX(0,W16-W18),W21*Assumptions!$F$37)</f>
        <v>367702.424076196</v>
      </c>
      <c r="X22" s="70" t="n">
        <f aca="false">MIN(MAX(0,X16-X18),X21*Assumptions!$F$37)</f>
        <v>388901.552684997</v>
      </c>
      <c r="Y22" s="70" t="n">
        <f aca="false">MIN(MAX(0,Y16-Y18),Y21*Assumptions!$F$37)</f>
        <v>410891.703629825</v>
      </c>
      <c r="Z22" s="70" t="n">
        <f aca="false">MIN(MAX(0,Z16-Z18),Z21*Assumptions!$F$37)</f>
        <v>433693.143631392</v>
      </c>
      <c r="AA22" s="70" t="n">
        <f aca="false">MIN(MAX(0,AA16-AA18),AA21*Assumptions!$F$37)</f>
        <v>457329.23970404</v>
      </c>
      <c r="AB22" s="70" t="n">
        <f aca="false">MIN(MAX(0,AB16-AB18),AB21*Assumptions!$F$37)</f>
        <v>481827.748560196</v>
      </c>
      <c r="AC22" s="70" t="n">
        <f aca="false">MIN(MAX(0,AC16-AC18),AC21*Assumptions!$F$37)</f>
        <v>507221.424741353</v>
      </c>
      <c r="AD22" s="70" t="n">
        <f aca="false">MIN(MAX(0,AD16-AD18),AD21*Assumptions!$F$37)</f>
        <v>533548.532496655</v>
      </c>
      <c r="AE22" s="70" t="n">
        <f aca="false">MIN(MAX(0,AE16-AE18),AE21*Assumptions!$F$37)</f>
        <v>560853.388210826</v>
      </c>
      <c r="AF22" s="70" t="n">
        <f aca="false">MIN(MAX(0,AF16-AF18),AF21*Assumptions!$F$37)</f>
        <v>589186.967158721</v>
      </c>
      <c r="AG22" s="70" t="n">
        <f aca="false">MIN(MAX(0,AG16-AG18),AG21*Assumptions!$F$37)</f>
        <v>618607.588538963</v>
      </c>
      <c r="AH22" s="70" t="n">
        <f aca="false">MIN(MAX(0,AH16-AH18),AH21*Assumptions!$F$37)</f>
        <v>649181.688840332</v>
      </c>
      <c r="AI22" s="70" t="n">
        <f aca="false">MIN(MAX(0,AI16-AI18),AI21*Assumptions!$F$37)</f>
        <v>673006.270831301</v>
      </c>
      <c r="AJ22" s="70" t="n">
        <f aca="false">MIN(MAX(0,AJ16-AJ18),AJ21*Assumptions!$F$37)</f>
        <v>680157.632320119</v>
      </c>
      <c r="AK22" s="70" t="n">
        <f aca="false">MIN(MAX(0,AK16-AK18),AK21*Assumptions!$F$37)</f>
        <v>685426.591581608</v>
      </c>
      <c r="AL22" s="70" t="n">
        <f aca="false">MIN(MAX(0,AL16-AL18),AL21*Assumptions!$F$37)</f>
        <v>690966.525572686</v>
      </c>
      <c r="AM22" s="70" t="n">
        <f aca="false">SUM(C22:AL22)</f>
        <v>12597842.6475742</v>
      </c>
    </row>
    <row r="23" customFormat="false" ht="15" hidden="false" customHeight="false" outlineLevel="0" collapsed="false">
      <c r="A23" s="10" t="s">
        <v>739</v>
      </c>
      <c r="B23" s="9" t="s">
        <v>82</v>
      </c>
      <c r="C23" s="61" t="n">
        <f aca="false">C22/Assumptions!$F$37</f>
        <v>0</v>
      </c>
      <c r="D23" s="61" t="n">
        <f aca="false">D22/Assumptions!$F$37</f>
        <v>0</v>
      </c>
      <c r="E23" s="61" t="n">
        <f aca="false">E22/Assumptions!$F$37</f>
        <v>23939.28882</v>
      </c>
      <c r="F23" s="61" t="n">
        <f aca="false">F22/Assumptions!$F$37</f>
        <v>59924.3345844</v>
      </c>
      <c r="G23" s="61" t="n">
        <f aca="false">G22/Assumptions!$F$37</f>
        <v>116840.878193688</v>
      </c>
      <c r="H23" s="61" t="n">
        <f aca="false">H22/Assumptions!$F$37</f>
        <v>127782.492546854</v>
      </c>
      <c r="I23" s="61" t="n">
        <f aca="false">I22/Assumptions!$F$37</f>
        <v>137885.50935235</v>
      </c>
      <c r="J23" s="61" t="n">
        <f aca="false">J22/Assumptions!$F$37</f>
        <v>145039.359597</v>
      </c>
      <c r="K23" s="61" t="n">
        <f aca="false">K22/Assumptions!$F$37</f>
        <v>151978.494908002</v>
      </c>
      <c r="L23" s="61" t="n">
        <f aca="false">L22/Assumptions!$F$37</f>
        <v>159369.34581667</v>
      </c>
      <c r="M23" s="61" t="n">
        <f aca="false">M22/Assumptions!$F$37</f>
        <v>167425.60752601</v>
      </c>
      <c r="N23" s="61" t="n">
        <f aca="false">N22/Assumptions!$F$37</f>
        <v>176231.535064745</v>
      </c>
      <c r="O23" s="61" t="n">
        <f aca="false">O22/Assumptions!$F$37</f>
        <v>185832.788062997</v>
      </c>
      <c r="P23" s="61" t="n">
        <f aca="false">P22/Assumptions!$F$37</f>
        <v>196263.259849527</v>
      </c>
      <c r="Q23" s="61" t="n">
        <f aca="false">Q22/Assumptions!$F$37</f>
        <v>207554.508841012</v>
      </c>
      <c r="R23" s="61" t="n">
        <f aca="false">R22/Assumptions!$F$37</f>
        <v>219739.685946058</v>
      </c>
      <c r="S23" s="61" t="n">
        <f aca="false">S22/Assumptions!$F$37</f>
        <v>232855.430058787</v>
      </c>
      <c r="T23" s="61" t="n">
        <f aca="false">T22/Assumptions!$F$37</f>
        <v>246942.900404035</v>
      </c>
      <c r="U23" s="61" t="n">
        <f aca="false">U22/Assumptions!$F$37</f>
        <v>262048.408000322</v>
      </c>
      <c r="V23" s="61" t="n">
        <f aca="false">V22/Assumptions!$F$37</f>
        <v>277818.352423549</v>
      </c>
      <c r="W23" s="61" t="n">
        <f aca="false">W22/Assumptions!$F$37</f>
        <v>294161.939260957</v>
      </c>
      <c r="X23" s="61" t="n">
        <f aca="false">X22/Assumptions!$F$37</f>
        <v>311121.242147998</v>
      </c>
      <c r="Y23" s="61" t="n">
        <f aca="false">Y22/Assumptions!$F$37</f>
        <v>328713.36290386</v>
      </c>
      <c r="Z23" s="61" t="n">
        <f aca="false">Z22/Assumptions!$F$37</f>
        <v>346954.514905113</v>
      </c>
      <c r="AA23" s="61" t="n">
        <f aca="false">AA22/Assumptions!$F$37</f>
        <v>365863.391763232</v>
      </c>
      <c r="AB23" s="61" t="n">
        <f aca="false">AB22/Assumptions!$F$37</f>
        <v>385462.198848157</v>
      </c>
      <c r="AC23" s="61" t="n">
        <f aca="false">AC22/Assumptions!$F$37</f>
        <v>405777.139793082</v>
      </c>
      <c r="AD23" s="61" t="n">
        <f aca="false">AD22/Assumptions!$F$37</f>
        <v>426838.825997324</v>
      </c>
      <c r="AE23" s="61" t="n">
        <f aca="false">AE22/Assumptions!$F$37</f>
        <v>448682.710568661</v>
      </c>
      <c r="AF23" s="61" t="n">
        <f aca="false">AF22/Assumptions!$F$37</f>
        <v>471349.573726976</v>
      </c>
      <c r="AG23" s="61" t="n">
        <f aca="false">AG22/Assumptions!$F$37</f>
        <v>494886.070831171</v>
      </c>
      <c r="AH23" s="61" t="n">
        <f aca="false">AH22/Assumptions!$F$37</f>
        <v>519345.351072266</v>
      </c>
      <c r="AI23" s="61" t="n">
        <f aca="false">AI22/Assumptions!$F$37</f>
        <v>538405.016665041</v>
      </c>
      <c r="AJ23" s="61" t="n">
        <f aca="false">AJ22/Assumptions!$F$37</f>
        <v>544126.105856095</v>
      </c>
      <c r="AK23" s="61" t="n">
        <f aca="false">AK22/Assumptions!$F$37</f>
        <v>548341.273265286</v>
      </c>
      <c r="AL23" s="61" t="n">
        <f aca="false">AL22/Assumptions!$F$37</f>
        <v>552773.220458149</v>
      </c>
      <c r="AM23" s="61" t="n">
        <f aca="false">SUM(C23:AL23)</f>
        <v>10078274.1180594</v>
      </c>
    </row>
    <row r="24" customFormat="false" ht="15" hidden="false" customHeight="false" outlineLevel="0" collapsed="false">
      <c r="A24" s="10" t="s">
        <v>740</v>
      </c>
      <c r="B24" s="9" t="s">
        <v>95</v>
      </c>
      <c r="C24" s="70" t="n">
        <f aca="false">MAX(0,C16-C18-C22)</f>
        <v>15000</v>
      </c>
      <c r="D24" s="70" t="n">
        <f aca="false">MAX(0,D16-D18-D22)</f>
        <v>0</v>
      </c>
      <c r="E24" s="70" t="n">
        <f aca="false">MAX(0,E16-E18-E22)</f>
        <v>0</v>
      </c>
      <c r="F24" s="70" t="n">
        <f aca="false">MAX(0,F16-F18-F22)</f>
        <v>0</v>
      </c>
      <c r="G24" s="70" t="n">
        <f aca="false">MAX(0,G16-G18-G22)</f>
        <v>0</v>
      </c>
      <c r="H24" s="70" t="n">
        <f aca="false">MAX(0,H16-H18-H22)</f>
        <v>103771.558567485</v>
      </c>
      <c r="I24" s="70" t="n">
        <f aca="false">MAX(0,I16-I18-I22)</f>
        <v>202982.725210691</v>
      </c>
      <c r="J24" s="70" t="n">
        <f aca="false">MAX(0,J16-J18-J22)</f>
        <v>308370.690753952</v>
      </c>
      <c r="K24" s="70" t="n">
        <f aca="false">MAX(0,K16-K18-K22)</f>
        <v>419140.293891196</v>
      </c>
      <c r="L24" s="70" t="n">
        <f aca="false">MAX(0,L16-L18-L22)</f>
        <v>535755.691183802</v>
      </c>
      <c r="M24" s="70" t="n">
        <f aca="false">MAX(0,M16-M18-M22)</f>
        <v>658860.302997831</v>
      </c>
      <c r="N24" s="70" t="n">
        <f aca="false">MAX(0,N16-N18-N22)</f>
        <v>789210.325729029</v>
      </c>
      <c r="O24" s="70" t="n">
        <f aca="false">MAX(0,O16-O18-O22)</f>
        <v>927633.292494081</v>
      </c>
      <c r="P24" s="70" t="n">
        <f aca="false">MAX(0,P16-P18-P22)</f>
        <v>1075013.53427303</v>
      </c>
      <c r="Q24" s="70" t="n">
        <f aca="false">MAX(0,Q16-Q18-Q22)</f>
        <v>1232287.75737434</v>
      </c>
      <c r="R24" s="70" t="n">
        <f aca="false">MAX(0,R16-R18-R22)</f>
        <v>1400445.66965782</v>
      </c>
      <c r="S24" s="70" t="n">
        <f aca="false">MAX(0,S16-S18-S22)</f>
        <v>1580533.41720099</v>
      </c>
      <c r="T24" s="70" t="n">
        <f aca="false">MAX(0,T16-T18-T22)</f>
        <v>1773658.76690353</v>
      </c>
      <c r="U24" s="70" t="n">
        <f aca="false">MAX(0,U16-U18-U22)</f>
        <v>1974574.67489919</v>
      </c>
      <c r="V24" s="70" t="n">
        <f aca="false">MAX(0,V16-V18-V22)</f>
        <v>2183132.24257499</v>
      </c>
      <c r="W24" s="70" t="n">
        <f aca="false">MAX(0,W16-W18-W22)</f>
        <v>2400411.48685922</v>
      </c>
      <c r="X24" s="70" t="n">
        <f aca="false">MAX(0,X16-X18-X22)</f>
        <v>2626642.62456417</v>
      </c>
      <c r="Y24" s="70" t="n">
        <f aca="false">MAX(0,Y16-Y18-Y22)</f>
        <v>2862091.92462732</v>
      </c>
      <c r="Z24" s="70" t="n">
        <f aca="false">MAX(0,Z16-Z18-Z22)</f>
        <v>3107035.03903184</v>
      </c>
      <c r="AA24" s="70" t="n">
        <f aca="false">MAX(0,AA16-AA18-AA22)</f>
        <v>3361761.77366136</v>
      </c>
      <c r="AB24" s="70" t="n">
        <f aca="false">MAX(0,AB16-AB18-AB22)</f>
        <v>3626579.81212737</v>
      </c>
      <c r="AC24" s="70" t="n">
        <f aca="false">MAX(0,AC16-AC18-AC22)</f>
        <v>3901818.82220715</v>
      </c>
      <c r="AD24" s="70" t="n">
        <f aca="false">MAX(0,AD16-AD18-AD22)</f>
        <v>4187834.93406055</v>
      </c>
      <c r="AE24" s="70" t="n">
        <f aca="false">MAX(0,AE16-AE18-AE22)</f>
        <v>4485015.63014768</v>
      </c>
      <c r="AF24" s="70" t="n">
        <f aca="false">MAX(0,AF16-AF18-AF22)</f>
        <v>4793785.0917698</v>
      </c>
      <c r="AG24" s="70" t="n">
        <f aca="false">MAX(0,AG16-AG18-AG22)</f>
        <v>5114610.05565951</v>
      </c>
      <c r="AH24" s="70" t="n">
        <f aca="false">MAX(0,AH16-AH18-AH22)</f>
        <v>5326926.25283932</v>
      </c>
      <c r="AI24" s="70" t="n">
        <f aca="false">MAX(0,AI16-AI18-AI22)</f>
        <v>5302024.00255117</v>
      </c>
      <c r="AJ24" s="70" t="n">
        <f aca="false">MAX(0,AJ16-AJ18-AJ22)</f>
        <v>5293658.66321633</v>
      </c>
      <c r="AK24" s="70" t="n">
        <f aca="false">MAX(0,AK16-AK18-AK22)</f>
        <v>5287024.03792356</v>
      </c>
      <c r="AL24" s="70" t="n">
        <f aca="false">MAX(0,AL16-AL18-AL22)</f>
        <v>5279949.38865184</v>
      </c>
      <c r="AM24" s="70" t="n">
        <f aca="false">SUM(C24:AL24)</f>
        <v>82137540.4836102</v>
      </c>
    </row>
    <row r="25" customFormat="false" ht="15" hidden="false" customHeight="false" outlineLevel="0" collapsed="false">
      <c r="A25" s="10" t="s">
        <v>741</v>
      </c>
      <c r="B25" s="9" t="s">
        <v>82</v>
      </c>
      <c r="C25" s="61" t="n">
        <f aca="false">(Assumptions!$F$21/(Assumptions!$F$41*Assumptions!$F$42))*(C24/Assumptions!$F$21)^Assumptions!$F$25</f>
        <v>13369.0197662803</v>
      </c>
      <c r="D25" s="61" t="n">
        <f aca="false">(Assumptions!$F$21/(Assumptions!$F$41*Assumptions!$F$42))*(D24/Assumptions!$F$21)^Assumptions!$F$25</f>
        <v>0</v>
      </c>
      <c r="E25" s="61" t="n">
        <f aca="false">(Assumptions!$F$21/(Assumptions!$F$41*Assumptions!$F$42))*(E24/Assumptions!$F$21)^Assumptions!$F$25</f>
        <v>0</v>
      </c>
      <c r="F25" s="61" t="n">
        <f aca="false">(Assumptions!$F$21/(Assumptions!$F$41*Assumptions!$F$42))*(F24/Assumptions!$F$21)^Assumptions!$F$25</f>
        <v>0</v>
      </c>
      <c r="G25" s="61" t="n">
        <f aca="false">(Assumptions!$F$21/(Assumptions!$F$41*Assumptions!$F$42))*(G24/Assumptions!$F$21)^Assumptions!$F$25</f>
        <v>0</v>
      </c>
      <c r="H25" s="61" t="n">
        <f aca="false">(Assumptions!$F$21/(Assumptions!$F$41*Assumptions!$F$42))*(H24/Assumptions!$F$21)^Assumptions!$F$25</f>
        <v>65296.3599337376</v>
      </c>
      <c r="I25" s="61" t="n">
        <f aca="false">(Assumptions!$F$21/(Assumptions!$F$41*Assumptions!$F$42))*(I24/Assumptions!$F$21)^Assumptions!$F$25</f>
        <v>113193.418941512</v>
      </c>
      <c r="J25" s="61" t="n">
        <f aca="false">(Assumptions!$F$21/(Assumptions!$F$41*Assumptions!$F$42))*(J24/Assumptions!$F$21)^Assumptions!$F$25</f>
        <v>159494.117424222</v>
      </c>
      <c r="K25" s="61" t="n">
        <f aca="false">(Assumptions!$F$21/(Assumptions!$F$41*Assumptions!$F$42))*(K24/Assumptions!$F$21)^Assumptions!$F$25</f>
        <v>205134.851861058</v>
      </c>
      <c r="L25" s="61" t="n">
        <f aca="false">(Assumptions!$F$21/(Assumptions!$F$41*Assumptions!$F$42))*(L24/Assumptions!$F$21)^Assumptions!$F$25</f>
        <v>250875.068073422</v>
      </c>
      <c r="M25" s="61" t="n">
        <f aca="false">(Assumptions!$F$21/(Assumptions!$F$41*Assumptions!$F$42))*(M24/Assumptions!$F$21)^Assumptions!$F$25</f>
        <v>297245.489441206</v>
      </c>
      <c r="N25" s="61" t="n">
        <f aca="false">(Assumptions!$F$21/(Assumptions!$F$41*Assumptions!$F$42))*(N24/Assumptions!$F$21)^Assumptions!$F$25</f>
        <v>344669.453188398</v>
      </c>
      <c r="O25" s="61" t="n">
        <f aca="false">(Assumptions!$F$21/(Assumptions!$F$41*Assumptions!$F$42))*(O24/Assumptions!$F$21)^Assumptions!$F$25</f>
        <v>393507.778100732</v>
      </c>
      <c r="P25" s="61" t="n">
        <f aca="false">(Assumptions!$F$21/(Assumptions!$F$41*Assumptions!$F$42))*(P24/Assumptions!$F$21)^Assumptions!$F$25</f>
        <v>444083.00920436</v>
      </c>
      <c r="Q25" s="61" t="n">
        <f aca="false">(Assumptions!$F$21/(Assumptions!$F$41*Assumptions!$F$42))*(Q24/Assumptions!$F$21)^Assumptions!$F$25</f>
        <v>496693.735716385</v>
      </c>
      <c r="R25" s="61" t="n">
        <f aca="false">(Assumptions!$F$21/(Assumptions!$F$41*Assumptions!$F$42))*(R24/Assumptions!$F$21)^Assumptions!$F$25</f>
        <v>551623.894744766</v>
      </c>
      <c r="S25" s="61" t="n">
        <f aca="false">(Assumptions!$F$21/(Assumptions!$F$41*Assumptions!$F$42))*(S24/Assumptions!$F$21)^Assumptions!$F$25</f>
        <v>609149.304475206</v>
      </c>
      <c r="T25" s="61" t="n">
        <f aca="false">(Assumptions!$F$21/(Assumptions!$F$41*Assumptions!$F$42))*(T24/Assumptions!$F$21)^Assumptions!$F$25</f>
        <v>669542.562754928</v>
      </c>
      <c r="U25" s="61" t="n">
        <f aca="false">(Assumptions!$F$21/(Assumptions!$F$41*Assumptions!$F$42))*(U24/Assumptions!$F$21)^Assumptions!$F$25</f>
        <v>731127.390469348</v>
      </c>
      <c r="V25" s="61" t="n">
        <f aca="false">(Assumptions!$F$21/(Assumptions!$F$41*Assumptions!$F$42))*(V24/Assumptions!$F$21)^Assumptions!$F$25</f>
        <v>793871.788477455</v>
      </c>
      <c r="W25" s="61" t="n">
        <f aca="false">(Assumptions!$F$21/(Assumptions!$F$41*Assumptions!$F$42))*(W24/Assumptions!$F$21)^Assumptions!$F$25</f>
        <v>858102.177420438</v>
      </c>
      <c r="X25" s="61" t="n">
        <f aca="false">(Assumptions!$F$21/(Assumptions!$F$41*Assumptions!$F$42))*(X24/Assumptions!$F$21)^Assumptions!$F$25</f>
        <v>923875.696762709</v>
      </c>
      <c r="Y25" s="61" t="n">
        <f aca="false">(Assumptions!$F$21/(Assumptions!$F$41*Assumptions!$F$42))*(Y24/Assumptions!$F$21)^Assumptions!$F$25</f>
        <v>991254.717498468</v>
      </c>
      <c r="Z25" s="61" t="n">
        <f aca="false">(Assumptions!$F$21/(Assumptions!$F$41*Assumptions!$F$42))*(Z24/Assumptions!$F$21)^Assumptions!$F$25</f>
        <v>1060299.5492009</v>
      </c>
      <c r="AA25" s="61" t="n">
        <f aca="false">(Assumptions!$F$21/(Assumptions!$F$41*Assumptions!$F$42))*(AA24/Assumptions!$F$21)^Assumptions!$F$25</f>
        <v>1131070.35367528</v>
      </c>
      <c r="AB25" s="61" t="n">
        <f aca="false">(Assumptions!$F$21/(Assumptions!$F$41*Assumptions!$F$42))*(AB24/Assumptions!$F$21)^Assumptions!$F$25</f>
        <v>1203628.5191374</v>
      </c>
      <c r="AC25" s="61" t="n">
        <f aca="false">(Assumptions!$F$21/(Assumptions!$F$41*Assumptions!$F$42))*(AC24/Assumptions!$F$21)^Assumptions!$F$25</f>
        <v>1278037.96341794</v>
      </c>
      <c r="AD25" s="61" t="n">
        <f aca="false">(Assumptions!$F$21/(Assumptions!$F$41*Assumptions!$F$42))*(AD24/Assumptions!$F$21)^Assumptions!$F$25</f>
        <v>1354366.39191189</v>
      </c>
      <c r="AE25" s="61" t="n">
        <f aca="false">(Assumptions!$F$21/(Assumptions!$F$41*Assumptions!$F$42))*(AE24/Assumptions!$F$21)^Assumptions!$F$25</f>
        <v>1432686.54053127</v>
      </c>
      <c r="AF25" s="61" t="n">
        <f aca="false">(Assumptions!$F$21/(Assumptions!$F$41*Assumptions!$F$42))*(AF24/Assumptions!$F$21)^Assumptions!$F$25</f>
        <v>1513077.42802598</v>
      </c>
      <c r="AG25" s="61" t="n">
        <f aca="false">(Assumptions!$F$21/(Assumptions!$F$41*Assumptions!$F$42))*(AG24/Assumptions!$F$21)^Assumptions!$F$25</f>
        <v>1595625.63894971</v>
      </c>
      <c r="AH25" s="61" t="n">
        <f aca="false">(Assumptions!$F$21/(Assumptions!$F$41*Assumptions!$F$42))*(AH24/Assumptions!$F$21)^Assumptions!$F$25</f>
        <v>1649740.4163584</v>
      </c>
      <c r="AI25" s="61" t="n">
        <f aca="false">(Assumptions!$F$21/(Assumptions!$F$41*Assumptions!$F$42))*(AI24/Assumptions!$F$21)^Assumptions!$F$25</f>
        <v>1643413.75782039</v>
      </c>
      <c r="AJ25" s="61" t="n">
        <f aca="false">(Assumptions!$F$21/(Assumptions!$F$41*Assumptions!$F$42))*(AJ24/Assumptions!$F$21)^Assumptions!$F$25</f>
        <v>1641287.26291308</v>
      </c>
      <c r="AK25" s="61" t="n">
        <f aca="false">(Assumptions!$F$21/(Assumptions!$F$41*Assumptions!$F$42))*(AK24/Assumptions!$F$21)^Assumptions!$F$25</f>
        <v>1639600.29071117</v>
      </c>
      <c r="AL25" s="61" t="n">
        <f aca="false">(Assumptions!$F$21/(Assumptions!$F$41*Assumptions!$F$42))*(AL24/Assumptions!$F$21)^Assumptions!$F$25</f>
        <v>1637801.01467773</v>
      </c>
      <c r="AM25" s="61" t="n">
        <f aca="false">SUM(C25:AL25)</f>
        <v>27692744.9615858</v>
      </c>
    </row>
    <row r="26" customFormat="false" ht="15" hidden="false" customHeight="false" outlineLevel="0" collapsed="false">
      <c r="A26" s="38" t="s">
        <v>742</v>
      </c>
      <c r="B26" s="9" t="s">
        <v>95</v>
      </c>
      <c r="C26" s="53" t="n">
        <f aca="false">C18+C22+C24</f>
        <v>15000</v>
      </c>
      <c r="D26" s="53" t="n">
        <f aca="false">D18+D22+D24</f>
        <v>60000</v>
      </c>
      <c r="E26" s="53" t="n">
        <f aca="false">E18+E22+E24</f>
        <v>60000</v>
      </c>
      <c r="F26" s="53" t="n">
        <f aca="false">F18+F22+F24</f>
        <v>102889.512</v>
      </c>
      <c r="G26" s="53" t="n">
        <f aca="false">G18+G22+G24</f>
        <v>172246.98348</v>
      </c>
      <c r="H26" s="53" t="n">
        <f aca="false">H18+H22+H24</f>
        <v>288169.725228293</v>
      </c>
      <c r="I26" s="53" t="n">
        <f aca="false">I18+I22+I24</f>
        <v>398710.912028327</v>
      </c>
      <c r="J26" s="53" t="n">
        <f aca="false">J18+J22+J24</f>
        <v>511939.347735779</v>
      </c>
      <c r="K26" s="53" t="n">
        <f aca="false">K18+K22+K24</f>
        <v>630452.178400123</v>
      </c>
      <c r="L26" s="53" t="n">
        <f aca="false">L18+L22+L24</f>
        <v>755524.664769901</v>
      </c>
      <c r="M26" s="53" t="n">
        <f aca="false">M18+M22+M24</f>
        <v>888048.726254799</v>
      </c>
      <c r="N26" s="53" t="n">
        <f aca="false">N18+N22+N24</f>
        <v>1028870.13732202</v>
      </c>
      <c r="O26" s="53" t="n">
        <f aca="false">O18+O22+O24</f>
        <v>1178860.27375691</v>
      </c>
      <c r="P26" s="53" t="n">
        <f aca="false">P18+P22+P24</f>
        <v>1338934.79555601</v>
      </c>
      <c r="Q26" s="53" t="n">
        <f aca="false">Q18+Q22+Q24</f>
        <v>1510060.74744882</v>
      </c>
      <c r="R26" s="53" t="n">
        <f aca="false">R18+R22+R24</f>
        <v>1693261.87038242</v>
      </c>
      <c r="S26" s="53" t="n">
        <f aca="false">S18+S22+S24</f>
        <v>1889624.22043252</v>
      </c>
      <c r="T26" s="53" t="n">
        <f aca="false">T18+T22+T24</f>
        <v>2100302.48708763</v>
      </c>
      <c r="U26" s="53" t="n">
        <f aca="false">U18+U22+U24</f>
        <v>2320104.2248173</v>
      </c>
      <c r="V26" s="53" t="n">
        <f aca="false">V18+V22+V24</f>
        <v>2548436.37928161</v>
      </c>
      <c r="W26" s="53" t="n">
        <f aca="false">W18+W22+W24</f>
        <v>2786264.3764525</v>
      </c>
      <c r="X26" s="53" t="n">
        <f aca="false">X18+X22+X24</f>
        <v>3033870.92715014</v>
      </c>
      <c r="Y26" s="53" t="n">
        <f aca="false">Y18+Y22+Y24</f>
        <v>3291544.54101001</v>
      </c>
      <c r="Z26" s="53" t="n">
        <f aca="false">Z18+Z22+Z24</f>
        <v>3559582.94074429</v>
      </c>
      <c r="AA26" s="53" t="n">
        <f aca="false">AA18+AA22+AA24</f>
        <v>3838302.03953734</v>
      </c>
      <c r="AB26" s="53" t="n">
        <f aca="false">AB18+AB22+AB24</f>
        <v>4128040.96585933</v>
      </c>
      <c r="AC26" s="53" t="n">
        <f aca="false">AC18+AC22+AC24</f>
        <v>4429166.80511478</v>
      </c>
      <c r="AD26" s="53" t="n">
        <f aca="false">AD18+AD22+AD24</f>
        <v>4742079.6322</v>
      </c>
      <c r="AE26" s="53" t="n">
        <f aca="false">AE18+AE22+AE24</f>
        <v>5067218.00184047</v>
      </c>
      <c r="AF26" s="53" t="n">
        <f aca="false">AF18+AF22+AF24</f>
        <v>5405064.97581067</v>
      </c>
      <c r="AG26" s="53" t="n">
        <f aca="false">AG18+AG22+AG24</f>
        <v>5756154.75507031</v>
      </c>
      <c r="AH26" s="53" t="n">
        <f aca="false">AH18+AH22+AH24</f>
        <v>6000000</v>
      </c>
      <c r="AI26" s="53" t="n">
        <f aca="false">AI18+AI22+AI24</f>
        <v>6000000</v>
      </c>
      <c r="AJ26" s="53" t="n">
        <f aca="false">AJ18+AJ22+AJ24</f>
        <v>6000000</v>
      </c>
      <c r="AK26" s="53" t="n">
        <f aca="false">AK18+AK22+AK24</f>
        <v>6000000</v>
      </c>
      <c r="AL26" s="53" t="n">
        <f aca="false">AL18+AL22+AL24</f>
        <v>6000000</v>
      </c>
      <c r="AM26" s="53" t="n">
        <f aca="false">SUM(C26:AL26)</f>
        <v>95528727.1467723</v>
      </c>
    </row>
    <row r="27" customFormat="false" ht="15" hidden="false" customHeight="false" outlineLevel="0" collapsed="false">
      <c r="A27" s="10" t="s">
        <v>743</v>
      </c>
      <c r="B27" s="9" t="s">
        <v>82</v>
      </c>
      <c r="C27" s="61" t="n">
        <f aca="false">C19+C23+C25</f>
        <v>13369.0197662803</v>
      </c>
      <c r="D27" s="61" t="n">
        <f aca="false">D19+D23+D25</f>
        <v>63157.8947368421</v>
      </c>
      <c r="E27" s="61" t="n">
        <f aca="false">E19+E23+E25</f>
        <v>55598.11932</v>
      </c>
      <c r="F27" s="61" t="n">
        <f aca="false">F19+F23+F25</f>
        <v>89381.2753944</v>
      </c>
      <c r="G27" s="61" t="n">
        <f aca="false">G19+G23+G25</f>
        <v>144415.494759888</v>
      </c>
      <c r="H27" s="61" t="n">
        <f aca="false">H19+H23+H25</f>
        <v>219047.327193476</v>
      </c>
      <c r="I27" s="61" t="n">
        <f aca="false">I19+I23+I25</f>
        <v>275680.296848808</v>
      </c>
      <c r="J27" s="61" t="n">
        <f aca="false">J19+J23+J25</f>
        <v>327975.011216566</v>
      </c>
      <c r="K27" s="61" t="n">
        <f aca="false">K19+K23+K25</f>
        <v>379575.205583717</v>
      </c>
      <c r="L27" s="61" t="n">
        <f aca="false">L19+L23+L25</f>
        <v>431883.667906157</v>
      </c>
      <c r="M27" s="61" t="n">
        <f aca="false">M19+M23+M25</f>
        <v>485625.216808748</v>
      </c>
      <c r="N27" s="61" t="n">
        <f aca="false">N19+N23+N25</f>
        <v>541290.875371102</v>
      </c>
      <c r="O27" s="61" t="n">
        <f aca="false">O19+O23+O25</f>
        <v>599273.193725924</v>
      </c>
      <c r="P27" s="61" t="n">
        <f aca="false">P19+P23+P25</f>
        <v>659916.991655015</v>
      </c>
      <c r="Q27" s="61" t="n">
        <f aca="false">Q19+Q23+Q25</f>
        <v>723542.827739725</v>
      </c>
      <c r="R27" s="61" t="n">
        <f aca="false">R19+R23+R25</f>
        <v>790459.994682425</v>
      </c>
      <c r="S27" s="61" t="n">
        <f aca="false">S19+S23+S25</f>
        <v>860974.751016147</v>
      </c>
      <c r="T27" s="61" t="n">
        <f aca="false">T19+T23+T25</f>
        <v>935396.089136917</v>
      </c>
      <c r="U27" s="61" t="n">
        <f aca="false">U19+U23+U25</f>
        <v>1012090.57733041</v>
      </c>
      <c r="V27" s="61" t="n">
        <f aca="false">V19+V23+V25</f>
        <v>1090670.3474033</v>
      </c>
      <c r="W27" s="61" t="n">
        <f aca="false">W19+W23+W25</f>
        <v>1171369.86985728</v>
      </c>
      <c r="X27" s="61" t="n">
        <f aca="false">X19+X23+X25</f>
        <v>1254288.25459594</v>
      </c>
      <c r="Y27" s="61" t="n">
        <f aca="false">Y19+Y23+Y25</f>
        <v>1339505.88330009</v>
      </c>
      <c r="Z27" s="61" t="n">
        <f aca="false">Z19+Z23+Z25</f>
        <v>1427101.17787556</v>
      </c>
      <c r="AA27" s="61" t="n">
        <f aca="false">AA19+AA23+AA25</f>
        <v>1517155.87825108</v>
      </c>
      <c r="AB27" s="61" t="n">
        <f aca="false">AB19+AB23+AB25</f>
        <v>1609757.46027163</v>
      </c>
      <c r="AC27" s="61" t="n">
        <f aca="false">AC19+AC23+AC25</f>
        <v>1705000.95391237</v>
      </c>
      <c r="AD27" s="61" t="n">
        <f aca="false">AD19+AD23+AD25</f>
        <v>1802990.65542794</v>
      </c>
      <c r="AE27" s="61" t="n">
        <f aca="false">AE19+AE23+AE25</f>
        <v>1903841.86529147</v>
      </c>
      <c r="AF27" s="61" t="n">
        <f aca="false">AF19+AF23+AF25</f>
        <v>2007682.70373417</v>
      </c>
      <c r="AG27" s="61" t="n">
        <f aca="false">AG19+AG23+AG25</f>
        <v>2114656.03701439</v>
      </c>
      <c r="AH27" s="61" t="n">
        <f aca="false">AH19+AH23+AH25</f>
        <v>2194235.30250471</v>
      </c>
      <c r="AI27" s="61" t="n">
        <f aca="false">AI19+AI23+AI25</f>
        <v>2208102.69724073</v>
      </c>
      <c r="AJ27" s="61" t="n">
        <f aca="false">AJ19+AJ23+AJ25</f>
        <v>2212975.16294134</v>
      </c>
      <c r="AK27" s="61" t="n">
        <f aca="false">AK19+AK23+AK25</f>
        <v>2216940.90133943</v>
      </c>
      <c r="AL27" s="61" t="n">
        <f aca="false">AL19+AL23+AL25</f>
        <v>2221189.06226795</v>
      </c>
      <c r="AM27" s="61" t="n">
        <f aca="false">SUM(C27:AL27)</f>
        <v>38606118.0434219</v>
      </c>
    </row>
    <row r="28" customFormat="false" ht="15" hidden="false" customHeight="false" outlineLevel="0" collapsed="false">
      <c r="A28" s="10" t="s">
        <v>744</v>
      </c>
      <c r="B28" s="9" t="s">
        <v>95</v>
      </c>
      <c r="C28" s="63" t="n">
        <f aca="false">IFERROR(C26/C27,0)</f>
        <v>1.12199699471112</v>
      </c>
      <c r="D28" s="63" t="n">
        <f aca="false">IFERROR(D26/D27,0)</f>
        <v>0.95</v>
      </c>
      <c r="E28" s="63" t="n">
        <f aca="false">IFERROR(E26/E27,0)</f>
        <v>1.07917319387486</v>
      </c>
      <c r="F28" s="63" t="n">
        <f aca="false">IFERROR(F26/F27,0)</f>
        <v>1.15113049736641</v>
      </c>
      <c r="G28" s="63" t="n">
        <f aca="false">IFERROR(G26/G27,0)</f>
        <v>1.19271816203923</v>
      </c>
      <c r="H28" s="63" t="n">
        <f aca="false">IFERROR(H26/H27,0)</f>
        <v>1.31555919408121</v>
      </c>
      <c r="I28" s="63" t="n">
        <f aca="false">IFERROR(I26/I27,0)</f>
        <v>1.44628004462355</v>
      </c>
      <c r="J28" s="63" t="n">
        <f aca="false">IFERROR(J26/J27,0)</f>
        <v>1.56090961270747</v>
      </c>
      <c r="K28" s="63" t="n">
        <f aca="false">IFERROR(K26/K27,0)</f>
        <v>1.66094141325855</v>
      </c>
      <c r="L28" s="63" t="n">
        <f aca="false">IFERROR(L26/L27,0)</f>
        <v>1.74937077021877</v>
      </c>
      <c r="M28" s="63" t="n">
        <f aca="false">IFERROR(M26/M27,0)</f>
        <v>1.82867094935998</v>
      </c>
      <c r="N28" s="63" t="n">
        <f aca="false">IFERROR(N26/N27,0)</f>
        <v>1.90077125652015</v>
      </c>
      <c r="O28" s="63" t="n">
        <f aca="false">IFERROR(O26/O27,0)</f>
        <v>1.9671500178866</v>
      </c>
      <c r="P28" s="63" t="n">
        <f aca="false">IFERROR(P26/P27,0)</f>
        <v>2.02894426494168</v>
      </c>
      <c r="Q28" s="63" t="n">
        <f aca="false">IFERROR(Q26/Q27,0)</f>
        <v>2.08703713112062</v>
      </c>
      <c r="R28" s="63" t="n">
        <f aca="false">IFERROR(R26/R27,0)</f>
        <v>2.14212215896226</v>
      </c>
      <c r="S28" s="63" t="n">
        <f aca="false">IFERROR(S26/S27,0)</f>
        <v>2.19474986717361</v>
      </c>
      <c r="T28" s="63" t="n">
        <f aca="false">IFERROR(T26/T27,0)</f>
        <v>2.24536162966596</v>
      </c>
      <c r="U28" s="63" t="n">
        <f aca="false">IFERROR(U26/U27,0)</f>
        <v>2.29238793126307</v>
      </c>
      <c r="V28" s="63" t="n">
        <f aca="false">IFERROR(V26/V27,0)</f>
        <v>2.33657803693756</v>
      </c>
      <c r="W28" s="63" t="n">
        <f aca="false">IFERROR(W26/W27,0)</f>
        <v>2.37863756628125</v>
      </c>
      <c r="X28" s="63" t="n">
        <f aca="false">IFERROR(X26/X27,0)</f>
        <v>2.41879880165782</v>
      </c>
      <c r="Y28" s="63" t="n">
        <f aca="false">IFERROR(Y26/Y27,0)</f>
        <v>2.4572826308913</v>
      </c>
      <c r="Z28" s="63" t="n">
        <f aca="false">IFERROR(Z26/Z27,0)</f>
        <v>2.49427510531751</v>
      </c>
      <c r="AA28" s="63" t="n">
        <f aca="false">IFERROR(AA26/AA27,0)</f>
        <v>2.52993254981946</v>
      </c>
      <c r="AB28" s="63" t="n">
        <f aca="false">IFERROR(AB26/AB27,0)</f>
        <v>2.56438691401546</v>
      </c>
      <c r="AC28" s="63" t="n">
        <f aca="false">IFERROR(AC26/AC27,0)</f>
        <v>2.59775033846839</v>
      </c>
      <c r="AD28" s="63" t="n">
        <f aca="false">IFERROR(AD26/AD27,0)</f>
        <v>2.63011880728493</v>
      </c>
      <c r="AE28" s="63" t="n">
        <f aca="false">IFERROR(AE26/AE27,0)</f>
        <v>2.66157504686698</v>
      </c>
      <c r="AF28" s="63" t="n">
        <f aca="false">IFERROR(AF26/AF27,0)</f>
        <v>2.69219083561241</v>
      </c>
      <c r="AG28" s="63" t="n">
        <f aca="false">IFERROR(AG26/AG27,0)</f>
        <v>2.7220288568524</v>
      </c>
      <c r="AH28" s="63" t="n">
        <f aca="false">IFERROR(AH26/AH27,0)</f>
        <v>2.73443782129976</v>
      </c>
      <c r="AI28" s="63" t="n">
        <f aca="false">IFERROR(AI26/AI27,0)</f>
        <v>2.71726492046664</v>
      </c>
      <c r="AJ28" s="63" t="n">
        <f aca="false">IFERROR(AJ26/AJ27,0)</f>
        <v>2.71128212393726</v>
      </c>
      <c r="AK28" s="63" t="n">
        <f aca="false">IFERROR(AK26/AK27,0)</f>
        <v>2.70643209134484</v>
      </c>
      <c r="AL28" s="63" t="n">
        <f aca="false">IFERROR(AL26/AL27,0)</f>
        <v>2.70125587322751</v>
      </c>
      <c r="AM28" s="63" t="n">
        <f aca="false">AVERAGE(N28:AL28)</f>
        <v>2.43651010311262</v>
      </c>
    </row>
    <row r="29" customFormat="false" ht="15" hidden="false" customHeight="false" outlineLevel="0" collapsed="false">
      <c r="A29" s="38" t="s">
        <v>745</v>
      </c>
      <c r="B29" s="9" t="s">
        <v>82</v>
      </c>
      <c r="C29" s="71" t="n">
        <f aca="false">C13+C15+C27</f>
        <v>16869.0197662803</v>
      </c>
      <c r="D29" s="71" t="n">
        <f aca="false">D13+D15+D27</f>
        <v>555345.894736842</v>
      </c>
      <c r="E29" s="71" t="n">
        <f aca="false">E13+E15+E27</f>
        <v>210212.30732</v>
      </c>
      <c r="F29" s="71" t="n">
        <f aca="false">F13+F15+F27</f>
        <v>233744.6090744</v>
      </c>
      <c r="G29" s="71" t="n">
        <f aca="false">G13+G15+G27</f>
        <v>280100.074204688</v>
      </c>
      <c r="H29" s="71" t="n">
        <f aca="false">H13+H15+H27</f>
        <v>347421.596133604</v>
      </c>
      <c r="I29" s="71" t="n">
        <f aca="false">I13+I15+I27</f>
        <v>397939.52706903</v>
      </c>
      <c r="J29" s="71" t="n">
        <f aca="false">J13+J15+J27</f>
        <v>445167.755849474</v>
      </c>
      <c r="K29" s="71" t="n">
        <f aca="false">K13+K15+K27</f>
        <v>492626.314048758</v>
      </c>
      <c r="L29" s="71" t="n">
        <f aca="false">L13+L15+L27</f>
        <v>541614.375676521</v>
      </c>
      <c r="M29" s="71" t="n">
        <f aca="false">M13+M15+M27</f>
        <v>592770.75516054</v>
      </c>
      <c r="N29" s="71" t="n">
        <f aca="false">N13+N15+N27</f>
        <v>646515.988223237</v>
      </c>
      <c r="O29" s="71" t="n">
        <f aca="false">O13+O15+O27</f>
        <v>703185.899272704</v>
      </c>
      <c r="P29" s="71" t="n">
        <f aca="false">P13+P15+P27</f>
        <v>763080.884578463</v>
      </c>
      <c r="Q29" s="71" t="n">
        <f aca="false">Q13+Q15+Q27</f>
        <v>826488.182385494</v>
      </c>
      <c r="R29" s="71" t="n">
        <f aca="false">R13+R15+R27</f>
        <v>893693.899857184</v>
      </c>
      <c r="S29" s="71" t="n">
        <f aca="false">S13+S15+S27</f>
        <v>964990.482307363</v>
      </c>
      <c r="T29" s="71" t="n">
        <f aca="false">T13+T15+T27</f>
        <v>1040681.9042692</v>
      </c>
      <c r="U29" s="71" t="n">
        <f aca="false">U13+U15+U27</f>
        <v>1119138.10355262</v>
      </c>
      <c r="V29" s="71" t="n">
        <f aca="false">V13+V15+V27</f>
        <v>1199982.71682787</v>
      </c>
      <c r="W29" s="71" t="n">
        <f aca="false">W13+W15+W27</f>
        <v>1283469.7487007</v>
      </c>
      <c r="X29" s="71" t="n">
        <f aca="false">X13+X15+X27</f>
        <v>1369725.90511617</v>
      </c>
      <c r="Y29" s="71" t="n">
        <f aca="false">Y13+Y15+Y27</f>
        <v>1458867.39266814</v>
      </c>
      <c r="Z29" s="71" t="n">
        <f aca="false">Z13+Z15+Z27</f>
        <v>1551016.98608323</v>
      </c>
      <c r="AA29" s="71" t="n">
        <f aca="false">AA13+AA15+AA27</f>
        <v>1646309.73731897</v>
      </c>
      <c r="AB29" s="71" t="n">
        <f aca="false">AB13+AB15+AB27</f>
        <v>1744895.95940041</v>
      </c>
      <c r="AC29" s="71" t="n">
        <f aca="false">AC13+AC15+AC27</f>
        <v>1846943.74977316</v>
      </c>
      <c r="AD29" s="71" t="n">
        <f aca="false">AD13+AD15+AD27</f>
        <v>1952641.55351147</v>
      </c>
      <c r="AE29" s="71" t="n">
        <f aca="false">AE13+AE15+AE27</f>
        <v>2062200.90716375</v>
      </c>
      <c r="AF29" s="71" t="n">
        <f aca="false">AF13+AF15+AF27</f>
        <v>2175859.42624722</v>
      </c>
      <c r="AG29" s="71" t="n">
        <f aca="false">AG13+AG15+AG27</f>
        <v>2293884.08309886</v>
      </c>
      <c r="AH29" s="71" t="n">
        <f aca="false">AH13+AH15+AH27</f>
        <v>2385888.57926738</v>
      </c>
      <c r="AI29" s="71" t="n">
        <f aca="false">AI13+AI15+AI27</f>
        <v>2413713.29588226</v>
      </c>
      <c r="AJ29" s="71" t="n">
        <f aca="false">AJ13+AJ15+AJ27</f>
        <v>2434253.27671376</v>
      </c>
      <c r="AK29" s="71" t="n">
        <f aca="false">AK13+AK15+AK27</f>
        <v>2455797.00263731</v>
      </c>
      <c r="AL29" s="71" t="n">
        <f aca="false">AL13+AL15+AL27</f>
        <v>2479758.62829215</v>
      </c>
      <c r="AM29" s="71" t="n">
        <f aca="false">SUM(C29:AL29)</f>
        <v>43826796.5221892</v>
      </c>
    </row>
    <row r="30" customFormat="false" ht="15" hidden="false" customHeight="false" outlineLevel="0" collapsed="false">
      <c r="A30" s="10" t="s">
        <v>746</v>
      </c>
      <c r="B30" s="9" t="s">
        <v>49</v>
      </c>
      <c r="C30" s="61" t="n">
        <f aca="false">C8*Assumptions!$F$47*Assumptions!$F$48^C10</f>
        <v>0</v>
      </c>
      <c r="D30" s="61" t="n">
        <f aca="false">D8*Assumptions!$F$47*Assumptions!$F$48^D10</f>
        <v>3000</v>
      </c>
      <c r="E30" s="61" t="n">
        <f aca="false">E8*Assumptions!$F$47*Assumptions!$F$48^E10</f>
        <v>4350</v>
      </c>
      <c r="F30" s="61" t="n">
        <f aca="false">F8*Assumptions!$F$47*Assumptions!$F$48^F10</f>
        <v>6307.5</v>
      </c>
      <c r="G30" s="61" t="n">
        <f aca="false">G8*Assumptions!$F$47*Assumptions!$F$48^G10</f>
        <v>9145.875</v>
      </c>
      <c r="H30" s="61" t="n">
        <f aca="false">H8*Assumptions!$F$47*Assumptions!$F$48^H10</f>
        <v>13261.51875</v>
      </c>
      <c r="I30" s="61" t="n">
        <f aca="false">I8*Assumptions!$F$47*Assumptions!$F$48^I10</f>
        <v>19229.2021875</v>
      </c>
      <c r="J30" s="61" t="n">
        <f aca="false">J8*Assumptions!$F$47*Assumptions!$F$48^J10</f>
        <v>27882.343171875</v>
      </c>
      <c r="K30" s="61" t="n">
        <f aca="false">K8*Assumptions!$F$47*Assumptions!$F$48^K10</f>
        <v>40429.3975992187</v>
      </c>
      <c r="L30" s="61" t="n">
        <f aca="false">L8*Assumptions!$F$47*Assumptions!$F$48^L10</f>
        <v>58622.6265188672</v>
      </c>
      <c r="M30" s="61" t="n">
        <f aca="false">M8*Assumptions!$F$47*Assumptions!$F$48^M10</f>
        <v>85002.8084523574</v>
      </c>
      <c r="N30" s="61" t="n">
        <f aca="false">N8*Assumptions!$F$47*Assumptions!$F$48^N10</f>
        <v>123254.072255918</v>
      </c>
      <c r="O30" s="61" t="n">
        <f aca="false">O8*Assumptions!$F$47*Assumptions!$F$48^O10</f>
        <v>178718.404771081</v>
      </c>
      <c r="P30" s="61" t="n">
        <f aca="false">P8*Assumptions!$F$47*Assumptions!$F$48^P10</f>
        <v>259141.686918068</v>
      </c>
      <c r="Q30" s="61" t="n">
        <f aca="false">Q8*Assumptions!$F$47*Assumptions!$F$48^Q10</f>
        <v>375755.446031199</v>
      </c>
      <c r="R30" s="61" t="n">
        <f aca="false">R8*Assumptions!$F$47*Assumptions!$F$48^R10</f>
        <v>544845.396745238</v>
      </c>
      <c r="S30" s="61" t="n">
        <f aca="false">S8*Assumptions!$F$47*Assumptions!$F$48^S10</f>
        <v>790025.825280595</v>
      </c>
      <c r="T30" s="61" t="n">
        <f aca="false">T8*Assumptions!$F$47*Assumptions!$F$48^T10</f>
        <v>1145537.44665686</v>
      </c>
      <c r="U30" s="61" t="n">
        <f aca="false">U8*Assumptions!$F$47*Assumptions!$F$48^U10</f>
        <v>1661029.29765245</v>
      </c>
      <c r="V30" s="61" t="n">
        <f aca="false">V8*Assumptions!$F$47*Assumptions!$F$48^V10</f>
        <v>2408492.48159605</v>
      </c>
      <c r="W30" s="61" t="n">
        <f aca="false">W8*Assumptions!$F$47*Assumptions!$F$48^W10</f>
        <v>3492314.09831428</v>
      </c>
      <c r="X30" s="61" t="n">
        <f aca="false">X8*Assumptions!$F$47*Assumptions!$F$48^X10</f>
        <v>5063855.4425557</v>
      </c>
      <c r="Y30" s="61" t="n">
        <f aca="false">Y8*Assumptions!$F$47*Assumptions!$F$48^Y10</f>
        <v>7342590.39170577</v>
      </c>
      <c r="Z30" s="61" t="n">
        <f aca="false">Z8*Assumptions!$F$47*Assumptions!$F$48^Z10</f>
        <v>10646756.0679734</v>
      </c>
      <c r="AA30" s="61" t="n">
        <f aca="false">AA8*Assumptions!$F$47*Assumptions!$F$48^AA10</f>
        <v>15437796.2985614</v>
      </c>
      <c r="AB30" s="61" t="n">
        <f aca="false">AB8*Assumptions!$F$47*Assumptions!$F$48^AB10</f>
        <v>22384804.632914</v>
      </c>
      <c r="AC30" s="61" t="n">
        <f aca="false">AC8*Assumptions!$F$47*Assumptions!$F$48^AC10</f>
        <v>32457966.7177253</v>
      </c>
      <c r="AD30" s="61" t="n">
        <f aca="false">AD8*Assumptions!$F$47*Assumptions!$F$48^AD10</f>
        <v>47064051.7407017</v>
      </c>
      <c r="AE30" s="61" t="n">
        <f aca="false">AE8*Assumptions!$F$47*Assumptions!$F$48^AE10</f>
        <v>68242875.0240174</v>
      </c>
      <c r="AF30" s="61" t="n">
        <f aca="false">AF8*Assumptions!$F$47*Assumptions!$F$48^AF10</f>
        <v>98952168.7848253</v>
      </c>
      <c r="AG30" s="61" t="n">
        <f aca="false">AG8*Assumptions!$F$47*Assumptions!$F$48^AG10</f>
        <v>143480644.737997</v>
      </c>
      <c r="AH30" s="61" t="n">
        <f aca="false">AH8*Assumptions!$F$47*Assumptions!$F$48^AH10</f>
        <v>208046934.870095</v>
      </c>
      <c r="AI30" s="61" t="n">
        <f aca="false">AI8*Assumptions!$F$47*Assumptions!$F$48^AI10</f>
        <v>301668055.561638</v>
      </c>
      <c r="AJ30" s="61" t="n">
        <f aca="false">AJ8*Assumptions!$F$47*Assumptions!$F$48^AJ10</f>
        <v>437418680.564375</v>
      </c>
      <c r="AK30" s="61" t="n">
        <f aca="false">AK8*Assumptions!$F$47*Assumptions!$F$48^AK10</f>
        <v>634257086.818344</v>
      </c>
      <c r="AL30" s="61" t="n">
        <f aca="false">AL8*Assumptions!$F$47*Assumptions!$F$48^AL10</f>
        <v>919672775.886599</v>
      </c>
      <c r="AM30" s="61" t="n">
        <f aca="false">AL30</f>
        <v>919672775.886599</v>
      </c>
    </row>
    <row r="31" customFormat="false" ht="15" hidden="false" customHeight="false" outlineLevel="0" collapsed="false">
      <c r="A31" s="10" t="s">
        <v>747</v>
      </c>
      <c r="B31" s="9" t="s">
        <v>49</v>
      </c>
      <c r="C31" s="61" t="n">
        <f aca="false">Assumptions!$F$49*C8*(C15+C13*Assumptions!$F$44+C19*Assumptions!$F$31*Assumptions!$F$32+C23*Assumptions!$F$38*Assumptions!$F$39+C25*Assumptions!$F$43)</f>
        <v>0</v>
      </c>
      <c r="D31" s="61" t="n">
        <f aca="false">Assumptions!$F$49*D8*(D15+D13*Assumptions!$F$44+D19*Assumptions!$F$31*Assumptions!$F$32+D23*Assumptions!$F$38*Assumptions!$F$39+D25*Assumptions!$F$43)</f>
        <v>20872.664</v>
      </c>
      <c r="E31" s="61" t="n">
        <f aca="false">Assumptions!$F$49*E8*(E15+E13*Assumptions!$F$44+E19*Assumptions!$F$31*Assumptions!$F$32+E23*Assumptions!$F$38*Assumptions!$F$39+E25*Assumptions!$F$43)</f>
        <v>7353.4124197418</v>
      </c>
      <c r="F31" s="61" t="n">
        <f aca="false">Assumptions!$F$49*F8*(F15+F13*Assumptions!$F$44+F19*Assumptions!$F$31*Assumptions!$F$32+F23*Assumptions!$F$38*Assumptions!$F$39+F25*Assumptions!$F$43)</f>
        <v>7532.00393763876</v>
      </c>
      <c r="G31" s="61" t="n">
        <f aca="false">Assumptions!$F$49*G8*(G15+G13*Assumptions!$F$44+G19*Assumptions!$F$31*Assumptions!$F$32+G23*Assumptions!$F$38*Assumptions!$F$39+G25*Assumptions!$F$43)</f>
        <v>8162.27872631236</v>
      </c>
      <c r="H31" s="61" t="n">
        <f aca="false">Assumptions!$F$49*H8*(H15+H13*Assumptions!$F$44+H19*Assumptions!$F$31*Assumptions!$F$32+H23*Assumptions!$F$38*Assumptions!$F$39+H25*Assumptions!$F$43)</f>
        <v>9255.06990713647</v>
      </c>
      <c r="I31" s="61" t="n">
        <f aca="false">Assumptions!$F$49*I8*(I15+I13*Assumptions!$F$44+I19*Assumptions!$F$31*Assumptions!$F$32+I23*Assumptions!$F$38*Assumptions!$F$39+I25*Assumptions!$F$43)</f>
        <v>10054.3848150365</v>
      </c>
      <c r="J31" s="61" t="n">
        <f aca="false">Assumptions!$F$49*J8*(J15+J13*Assumptions!$F$44+J19*Assumptions!$F$31*Assumptions!$F$32+J23*Assumptions!$F$38*Assumptions!$F$39+J25*Assumptions!$F$43)</f>
        <v>10815.0978425281</v>
      </c>
      <c r="K31" s="61" t="n">
        <f aca="false">Assumptions!$F$49*K8*(K15+K13*Assumptions!$F$44+K19*Assumptions!$F$31*Assumptions!$F$32+K23*Assumptions!$F$38*Assumptions!$F$39+K25*Assumptions!$F$43)</f>
        <v>11599.0103466148</v>
      </c>
      <c r="L31" s="61" t="n">
        <f aca="false">Assumptions!$F$49*L8*(L15+L13*Assumptions!$F$44+L19*Assumptions!$F$31*Assumptions!$F$32+L23*Assumptions!$F$38*Assumptions!$F$39+L25*Assumptions!$F$43)</f>
        <v>12427.7230141852</v>
      </c>
      <c r="M31" s="61" t="n">
        <f aca="false">Assumptions!$F$49*M8*(M15+M13*Assumptions!$F$44+M19*Assumptions!$F$31*Assumptions!$F$32+M23*Assumptions!$F$38*Assumptions!$F$39+M25*Assumptions!$F$43)</f>
        <v>13310.9988101402</v>
      </c>
      <c r="N31" s="61" t="n">
        <f aca="false">Assumptions!$F$49*N8*(N15+N13*Assumptions!$F$44+N19*Assumptions!$F$31*Assumptions!$F$32+N23*Assumptions!$F$38*Assumptions!$F$39+N25*Assumptions!$F$43)</f>
        <v>14254.8662132852</v>
      </c>
      <c r="O31" s="61" t="n">
        <f aca="false">Assumptions!$F$49*O8*(O15+O13*Assumptions!$F$44+O19*Assumptions!$F$31*Assumptions!$F$32+O23*Assumptions!$F$38*Assumptions!$F$39+O25*Assumptions!$F$43)</f>
        <v>15264.044502741</v>
      </c>
      <c r="P31" s="61" t="n">
        <f aca="false">Assumptions!$F$49*P8*(P15+P13*Assumptions!$F$44+P19*Assumptions!$F$31*Assumptions!$F$32+P23*Assumptions!$F$38*Assumptions!$F$39+P25*Assumptions!$F$43)</f>
        <v>16342.8224477224</v>
      </c>
      <c r="Q31" s="61" t="n">
        <f aca="false">Assumptions!$F$49*Q8*(Q15+Q13*Assumptions!$F$44+Q19*Assumptions!$F$31*Assumptions!$F$32+Q23*Assumptions!$F$38*Assumptions!$F$39+Q25*Assumptions!$F$43)</f>
        <v>17495.4422699228</v>
      </c>
      <c r="R31" s="61" t="n">
        <f aca="false">Assumptions!$F$49*R8*(R15+R13*Assumptions!$F$44+R19*Assumptions!$F$31*Assumptions!$F$32+R23*Assumptions!$F$38*Assumptions!$F$39+R25*Assumptions!$F$43)</f>
        <v>18726.2977345785</v>
      </c>
      <c r="S31" s="61" t="n">
        <f aca="false">Assumptions!$F$49*S8*(S15+S13*Assumptions!$F$44+S19*Assumptions!$F$31*Assumptions!$F$32+S23*Assumptions!$F$38*Assumptions!$F$39+S25*Assumptions!$F$43)</f>
        <v>20040.0511262289</v>
      </c>
      <c r="T31" s="61" t="n">
        <f aca="false">Assumptions!$F$49*T8*(T15+T13*Assumptions!$F$44+T19*Assumptions!$F$31*Assumptions!$F$32+T23*Assumptions!$F$38*Assumptions!$F$39+T25*Assumptions!$F$43)</f>
        <v>21441.7109926572</v>
      </c>
      <c r="U31" s="61" t="n">
        <f aca="false">Assumptions!$F$49*U8*(U15+U13*Assumptions!$F$44+U19*Assumptions!$F$31*Assumptions!$F$32+U23*Assumptions!$F$38*Assumptions!$F$39+U25*Assumptions!$F$43)</f>
        <v>22899.6487448408</v>
      </c>
      <c r="V31" s="61" t="n">
        <f aca="false">Assumptions!$F$49*V8*(V15+V13*Assumptions!$F$44+V19*Assumptions!$F$31*Assumptions!$F$32+V23*Assumptions!$F$38*Assumptions!$F$39+V25*Assumptions!$F$43)</f>
        <v>24406.4588520244</v>
      </c>
      <c r="W31" s="61" t="n">
        <f aca="false">Assumptions!$F$49*W8*(W15+W13*Assumptions!$F$44+W19*Assumptions!$F$31*Assumptions!$F$32+W23*Assumptions!$F$38*Assumptions!$F$39+W25*Assumptions!$F$43)</f>
        <v>25966.5994587945</v>
      </c>
      <c r="X31" s="61" t="n">
        <f aca="false">Assumptions!$F$49*X8*(X15+X13*Assumptions!$F$44+X19*Assumptions!$F$31*Assumptions!$F$32+X23*Assumptions!$F$38*Assumptions!$F$39+X25*Assumptions!$F$43)</f>
        <v>27582.0849517487</v>
      </c>
      <c r="Y31" s="61" t="n">
        <f aca="false">Assumptions!$F$49*Y8*(Y15+Y13*Assumptions!$F$44+Y19*Assumptions!$F$31*Assumptions!$F$32+Y23*Assumptions!$F$38*Assumptions!$F$39+Y25*Assumptions!$F$43)</f>
        <v>29254.8162460432</v>
      </c>
      <c r="Z31" s="61" t="n">
        <f aca="false">Assumptions!$F$49*Z8*(Z15+Z13*Assumptions!$F$44+Z19*Assumptions!$F$31*Assumptions!$F$32+Z23*Assumptions!$F$38*Assumptions!$F$39+Z25*Assumptions!$F$43)</f>
        <v>30986.8793578238</v>
      </c>
      <c r="AA31" s="61" t="n">
        <f aca="false">Assumptions!$F$49*AA8*(AA15+AA13*Assumptions!$F$44+AA19*Assumptions!$F$31*Assumptions!$F$32+AA23*Assumptions!$F$38*Assumptions!$F$39+AA25*Assumptions!$F$43)</f>
        <v>32780.6451848575</v>
      </c>
      <c r="AB31" s="61" t="n">
        <f aca="false">Assumptions!$F$49*AB8*(AB15+AB13*Assumptions!$F$44+AB19*Assumptions!$F$31*Assumptions!$F$32+AB23*Assumptions!$F$38*Assumptions!$F$39+AB25*Assumptions!$F$43)</f>
        <v>34638.8204078769</v>
      </c>
      <c r="AC31" s="61" t="n">
        <f aca="false">Assumptions!$F$49*AC8*(AC15+AC13*Assumptions!$F$44+AC19*Assumptions!$F$31*Assumptions!$F$32+AC23*Assumptions!$F$38*Assumptions!$F$39+AC25*Assumptions!$F$43)</f>
        <v>36564.491055889</v>
      </c>
      <c r="AD31" s="61" t="n">
        <f aca="false">Assumptions!$F$49*AD8*(AD15+AD13*Assumptions!$F$44+AD19*Assumptions!$F$31*Assumptions!$F$32+AD23*Assumptions!$F$38*Assumptions!$F$39+AD25*Assumptions!$F$43)</f>
        <v>38561.1677820841</v>
      </c>
      <c r="AE31" s="61" t="n">
        <f aca="false">Assumptions!$F$49*AE8*(AE15+AE13*Assumptions!$F$44+AE19*Assumptions!$F$31*Assumptions!$F$32+AE23*Assumptions!$F$38*Assumptions!$F$39+AE25*Assumptions!$F$43)</f>
        <v>40632.8353628733</v>
      </c>
      <c r="AF31" s="61" t="n">
        <f aca="false">Assumptions!$F$49*AF8*(AF15+AF13*Assumptions!$F$44+AF19*Assumptions!$F$31*Assumptions!$F$32+AF23*Assumptions!$F$38*Assumptions!$F$39+AF25*Assumptions!$F$43)</f>
        <v>42784.0075282331</v>
      </c>
      <c r="AG31" s="61" t="n">
        <f aca="false">Assumptions!$F$49*AG8*(AG15+AG13*Assumptions!$F$44+AG19*Assumptions!$F$31*Assumptions!$F$32+AG23*Assumptions!$F$38*Assumptions!$F$39+AG25*Assumptions!$F$43)</f>
        <v>45019.7879487808</v>
      </c>
      <c r="AH31" s="61" t="n">
        <f aca="false">Assumptions!$F$49*AH8*(AH15+AH13*Assumptions!$F$44+AH19*Assumptions!$F$31*Assumptions!$F$32+AH23*Assumptions!$F$38*Assumptions!$F$39+AH25*Assumptions!$F$43)</f>
        <v>46762.8996129646</v>
      </c>
      <c r="AI31" s="61" t="n">
        <f aca="false">Assumptions!$F$49*AI8*(AI15+AI13*Assumptions!$F$44+AI19*Assumptions!$F$31*Assumptions!$F$32+AI23*Assumptions!$F$38*Assumptions!$F$39+AI25*Assumptions!$F$43)</f>
        <v>47293.2546269182</v>
      </c>
      <c r="AJ31" s="61" t="n">
        <f aca="false">Assumptions!$F$49*AJ8*(AJ15+AJ13*Assumptions!$F$44+AJ19*Assumptions!$F$31*Assumptions!$F$32+AJ23*Assumptions!$F$38*Assumptions!$F$39+AJ25*Assumptions!$F$43)</f>
        <v>47698.0700609978</v>
      </c>
      <c r="AK31" s="61" t="n">
        <f aca="false">Assumptions!$F$49*AK8*(AK15+AK13*Assumptions!$F$44+AK19*Assumptions!$F$31*Assumptions!$F$32+AK23*Assumptions!$F$38*Assumptions!$F$39+AK25*Assumptions!$F$43)</f>
        <v>48126.0512411875</v>
      </c>
      <c r="AL31" s="61" t="n">
        <f aca="false">Assumptions!$F$49*AL8*(AL15+AL13*Assumptions!$F$44+AL19*Assumptions!$F$31*Assumptions!$F$32+AL23*Assumptions!$F$38*Assumptions!$F$39+AL25*Assumptions!$F$43)</f>
        <v>48603.016434945</v>
      </c>
      <c r="AM31" s="61" t="n">
        <f aca="false">SUM(C31:AL31)</f>
        <v>905509.413965353</v>
      </c>
    </row>
    <row r="32" customFormat="false" ht="15" hidden="false" customHeight="false" outlineLevel="0" collapsed="false">
      <c r="A32" s="38" t="s">
        <v>748</v>
      </c>
      <c r="B32" s="9" t="s">
        <v>49</v>
      </c>
      <c r="C32" s="71" t="n">
        <f aca="false">MIN(C31,C30)</f>
        <v>0</v>
      </c>
      <c r="D32" s="71" t="n">
        <f aca="false">MIN(D31,D30)</f>
        <v>3000</v>
      </c>
      <c r="E32" s="71" t="n">
        <f aca="false">MIN(E31,E30)</f>
        <v>4350</v>
      </c>
      <c r="F32" s="71" t="n">
        <f aca="false">MIN(F31,F30)</f>
        <v>6307.5</v>
      </c>
      <c r="G32" s="71" t="n">
        <f aca="false">MIN(G31,G30)</f>
        <v>8162.27872631236</v>
      </c>
      <c r="H32" s="71" t="n">
        <f aca="false">MIN(H31,H30)</f>
        <v>9255.06990713647</v>
      </c>
      <c r="I32" s="71" t="n">
        <f aca="false">MIN(I31,I30)</f>
        <v>10054.3848150365</v>
      </c>
      <c r="J32" s="71" t="n">
        <f aca="false">MIN(J31,J30)</f>
        <v>10815.0978425281</v>
      </c>
      <c r="K32" s="71" t="n">
        <f aca="false">MIN(K31,K30)</f>
        <v>11599.0103466148</v>
      </c>
      <c r="L32" s="71" t="n">
        <f aca="false">MIN(L31,L30)</f>
        <v>12427.7230141852</v>
      </c>
      <c r="M32" s="71" t="n">
        <f aca="false">MIN(M31,M30)</f>
        <v>13310.9988101402</v>
      </c>
      <c r="N32" s="71" t="n">
        <f aca="false">MIN(N31,N30)</f>
        <v>14254.8662132852</v>
      </c>
      <c r="O32" s="71" t="n">
        <f aca="false">MIN(O31,O30)</f>
        <v>15264.044502741</v>
      </c>
      <c r="P32" s="71" t="n">
        <f aca="false">MIN(P31,P30)</f>
        <v>16342.8224477224</v>
      </c>
      <c r="Q32" s="71" t="n">
        <f aca="false">MIN(Q31,Q30)</f>
        <v>17495.4422699228</v>
      </c>
      <c r="R32" s="71" t="n">
        <f aca="false">MIN(R31,R30)</f>
        <v>18726.2977345785</v>
      </c>
      <c r="S32" s="71" t="n">
        <f aca="false">MIN(S31,S30)</f>
        <v>20040.0511262289</v>
      </c>
      <c r="T32" s="71" t="n">
        <f aca="false">MIN(T31,T30)</f>
        <v>21441.7109926572</v>
      </c>
      <c r="U32" s="71" t="n">
        <f aca="false">MIN(U31,U30)</f>
        <v>22899.6487448408</v>
      </c>
      <c r="V32" s="71" t="n">
        <f aca="false">MIN(V31,V30)</f>
        <v>24406.4588520244</v>
      </c>
      <c r="W32" s="71" t="n">
        <f aca="false">MIN(W31,W30)</f>
        <v>25966.5994587945</v>
      </c>
      <c r="X32" s="71" t="n">
        <f aca="false">MIN(X31,X30)</f>
        <v>27582.0849517487</v>
      </c>
      <c r="Y32" s="71" t="n">
        <f aca="false">MIN(Y31,Y30)</f>
        <v>29254.8162460432</v>
      </c>
      <c r="Z32" s="71" t="n">
        <f aca="false">MIN(Z31,Z30)</f>
        <v>30986.8793578238</v>
      </c>
      <c r="AA32" s="71" t="n">
        <f aca="false">MIN(AA31,AA30)</f>
        <v>32780.6451848575</v>
      </c>
      <c r="AB32" s="71" t="n">
        <f aca="false">MIN(AB31,AB30)</f>
        <v>34638.8204078769</v>
      </c>
      <c r="AC32" s="71" t="n">
        <f aca="false">MIN(AC31,AC30)</f>
        <v>36564.491055889</v>
      </c>
      <c r="AD32" s="71" t="n">
        <f aca="false">MIN(AD31,AD30)</f>
        <v>38561.1677820841</v>
      </c>
      <c r="AE32" s="71" t="n">
        <f aca="false">MIN(AE31,AE30)</f>
        <v>40632.8353628733</v>
      </c>
      <c r="AF32" s="71" t="n">
        <f aca="false">MIN(AF31,AF30)</f>
        <v>42784.0075282331</v>
      </c>
      <c r="AG32" s="71" t="n">
        <f aca="false">MIN(AG31,AG30)</f>
        <v>45019.7879487808</v>
      </c>
      <c r="AH32" s="71" t="n">
        <f aca="false">MIN(AH31,AH30)</f>
        <v>46762.8996129646</v>
      </c>
      <c r="AI32" s="71" t="n">
        <f aca="false">MIN(AI31,AI30)</f>
        <v>47293.2546269182</v>
      </c>
      <c r="AJ32" s="71" t="n">
        <f aca="false">MIN(AJ31,AJ30)</f>
        <v>47698.0700609978</v>
      </c>
      <c r="AK32" s="71" t="n">
        <f aca="false">MIN(AK31,AK30)</f>
        <v>48126.0512411875</v>
      </c>
      <c r="AL32" s="71" t="n">
        <f aca="false">MIN(AL31,AL30)</f>
        <v>48603.016434945</v>
      </c>
      <c r="AM32" s="71" t="n">
        <f aca="false">SUM(C32:AL32)</f>
        <v>883408.833607973</v>
      </c>
    </row>
    <row r="33" customFormat="false" ht="15" hidden="false" customHeight="false" outlineLevel="0" collapsed="false">
      <c r="A33" s="10" t="s">
        <v>749</v>
      </c>
      <c r="B33" s="9" t="s">
        <v>49</v>
      </c>
      <c r="C33" s="61" t="n">
        <f aca="false">MAX(0,C31-C30)</f>
        <v>0</v>
      </c>
      <c r="D33" s="61" t="n">
        <f aca="false">MAX(0,D31-D30)</f>
        <v>17872.664</v>
      </c>
      <c r="E33" s="61" t="n">
        <f aca="false">MAX(0,E31-E30)</f>
        <v>3003.4124197418</v>
      </c>
      <c r="F33" s="61" t="n">
        <f aca="false">MAX(0,F31-F30)</f>
        <v>1224.50393763876</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22100.5803573806</v>
      </c>
    </row>
    <row r="34" customFormat="false" ht="15" hidden="false" customHeight="false" outlineLevel="0" collapsed="false">
      <c r="A34" s="10" t="s">
        <v>750</v>
      </c>
      <c r="B34" s="9" t="s">
        <v>49</v>
      </c>
      <c r="C34" s="61" t="n">
        <f aca="false">C32*Assumptions!$F$51</f>
        <v>0</v>
      </c>
      <c r="D34" s="61" t="n">
        <f aca="false">D32*Assumptions!$F$51</f>
        <v>1500</v>
      </c>
      <c r="E34" s="61" t="n">
        <f aca="false">E32*Assumptions!$F$51</f>
        <v>2175</v>
      </c>
      <c r="F34" s="61" t="n">
        <f aca="false">F32*Assumptions!$F$51</f>
        <v>3153.75</v>
      </c>
      <c r="G34" s="61" t="n">
        <f aca="false">G32*Assumptions!$F$51</f>
        <v>4081.13936315618</v>
      </c>
      <c r="H34" s="61" t="n">
        <f aca="false">H32*Assumptions!$F$51</f>
        <v>4627.53495356823</v>
      </c>
      <c r="I34" s="61" t="n">
        <f aca="false">I32*Assumptions!$F$51</f>
        <v>5027.19240751827</v>
      </c>
      <c r="J34" s="61" t="n">
        <f aca="false">J32*Assumptions!$F$51</f>
        <v>5407.54892126404</v>
      </c>
      <c r="K34" s="61" t="n">
        <f aca="false">K32*Assumptions!$F$51</f>
        <v>5799.50517330739</v>
      </c>
      <c r="L34" s="61" t="n">
        <f aca="false">L32*Assumptions!$F$51</f>
        <v>6213.86150709262</v>
      </c>
      <c r="M34" s="61" t="n">
        <f aca="false">M32*Assumptions!$F$51</f>
        <v>6655.49940507009</v>
      </c>
      <c r="N34" s="61" t="n">
        <f aca="false">N32*Assumptions!$F$51</f>
        <v>7127.43310664261</v>
      </c>
      <c r="O34" s="61" t="n">
        <f aca="false">O32*Assumptions!$F$51</f>
        <v>7632.02225137051</v>
      </c>
      <c r="P34" s="61" t="n">
        <f aca="false">P32*Assumptions!$F$51</f>
        <v>8171.41122386122</v>
      </c>
      <c r="Q34" s="61" t="n">
        <f aca="false">Q32*Assumptions!$F$51</f>
        <v>8747.72113496142</v>
      </c>
      <c r="R34" s="61" t="n">
        <f aca="false">R32*Assumptions!$F$51</f>
        <v>9363.14886728924</v>
      </c>
      <c r="S34" s="61" t="n">
        <f aca="false">S32*Assumptions!$F$51</f>
        <v>10020.0255631144</v>
      </c>
      <c r="T34" s="61" t="n">
        <f aca="false">T32*Assumptions!$F$51</f>
        <v>10720.8554963286</v>
      </c>
      <c r="U34" s="61" t="n">
        <f aca="false">U32*Assumptions!$F$51</f>
        <v>11449.8243724204</v>
      </c>
      <c r="V34" s="61" t="n">
        <f aca="false">V32*Assumptions!$F$51</f>
        <v>12203.2294260122</v>
      </c>
      <c r="W34" s="61" t="n">
        <f aca="false">W32*Assumptions!$F$51</f>
        <v>12983.2997293972</v>
      </c>
      <c r="X34" s="61" t="n">
        <f aca="false">X32*Assumptions!$F$51</f>
        <v>13791.0424758744</v>
      </c>
      <c r="Y34" s="61" t="n">
        <f aca="false">Y32*Assumptions!$F$51</f>
        <v>14627.4081230216</v>
      </c>
      <c r="Z34" s="61" t="n">
        <f aca="false">Z32*Assumptions!$F$51</f>
        <v>15493.4396789119</v>
      </c>
      <c r="AA34" s="61" t="n">
        <f aca="false">AA32*Assumptions!$F$51</f>
        <v>16390.3225924288</v>
      </c>
      <c r="AB34" s="61" t="n">
        <f aca="false">AB32*Assumptions!$F$51</f>
        <v>17319.4102039384</v>
      </c>
      <c r="AC34" s="61" t="n">
        <f aca="false">AC32*Assumptions!$F$51</f>
        <v>18282.2455279445</v>
      </c>
      <c r="AD34" s="61" t="n">
        <f aca="false">AD32*Assumptions!$F$51</f>
        <v>19280.5838910421</v>
      </c>
      <c r="AE34" s="61" t="n">
        <f aca="false">AE32*Assumptions!$F$51</f>
        <v>20316.4176814366</v>
      </c>
      <c r="AF34" s="61" t="n">
        <f aca="false">AF32*Assumptions!$F$51</f>
        <v>21392.0037641165</v>
      </c>
      <c r="AG34" s="61" t="n">
        <f aca="false">AG32*Assumptions!$F$51</f>
        <v>22509.8939743904</v>
      </c>
      <c r="AH34" s="61" t="n">
        <f aca="false">AH32*Assumptions!$F$51</f>
        <v>23381.4498064823</v>
      </c>
      <c r="AI34" s="61" t="n">
        <f aca="false">AI32*Assumptions!$F$51</f>
        <v>23646.6273134591</v>
      </c>
      <c r="AJ34" s="61" t="n">
        <f aca="false">AJ32*Assumptions!$F$51</f>
        <v>23849.0350304989</v>
      </c>
      <c r="AK34" s="61" t="n">
        <f aca="false">AK32*Assumptions!$F$51</f>
        <v>24063.0256205938</v>
      </c>
      <c r="AL34" s="61" t="n">
        <f aca="false">AL32*Assumptions!$F$51</f>
        <v>24301.5082174725</v>
      </c>
      <c r="AM34" s="61" t="n">
        <f aca="false">SUM(C34:AL34)</f>
        <v>441704.416803986</v>
      </c>
    </row>
    <row r="35" customFormat="false" ht="15" hidden="false" customHeight="false" outlineLevel="0" collapsed="false">
      <c r="A35" s="10" t="s">
        <v>751</v>
      </c>
      <c r="B35" s="9" t="s">
        <v>49</v>
      </c>
      <c r="C35" s="61" t="n">
        <f aca="false">C32*(1-Assumptions!$F$51)</f>
        <v>0</v>
      </c>
      <c r="D35" s="61" t="n">
        <f aca="false">D32*(1-Assumptions!$F$51)</f>
        <v>1500</v>
      </c>
      <c r="E35" s="61" t="n">
        <f aca="false">E32*(1-Assumptions!$F$51)</f>
        <v>2175</v>
      </c>
      <c r="F35" s="61" t="n">
        <f aca="false">F32*(1-Assumptions!$F$51)</f>
        <v>3153.75</v>
      </c>
      <c r="G35" s="61" t="n">
        <f aca="false">G32*(1-Assumptions!$F$51)</f>
        <v>4081.13936315618</v>
      </c>
      <c r="H35" s="61" t="n">
        <f aca="false">H32*(1-Assumptions!$F$51)</f>
        <v>4627.53495356823</v>
      </c>
      <c r="I35" s="61" t="n">
        <f aca="false">I32*(1-Assumptions!$F$51)</f>
        <v>5027.19240751827</v>
      </c>
      <c r="J35" s="61" t="n">
        <f aca="false">J32*(1-Assumptions!$F$51)</f>
        <v>5407.54892126404</v>
      </c>
      <c r="K35" s="61" t="n">
        <f aca="false">K32*(1-Assumptions!$F$51)</f>
        <v>5799.50517330739</v>
      </c>
      <c r="L35" s="61" t="n">
        <f aca="false">L32*(1-Assumptions!$F$51)</f>
        <v>6213.86150709262</v>
      </c>
      <c r="M35" s="61" t="n">
        <f aca="false">M32*(1-Assumptions!$F$51)</f>
        <v>6655.49940507009</v>
      </c>
      <c r="N35" s="61" t="n">
        <f aca="false">N32*(1-Assumptions!$F$51)</f>
        <v>7127.43310664261</v>
      </c>
      <c r="O35" s="61" t="n">
        <f aca="false">O32*(1-Assumptions!$F$51)</f>
        <v>7632.02225137051</v>
      </c>
      <c r="P35" s="61" t="n">
        <f aca="false">P32*(1-Assumptions!$F$51)</f>
        <v>8171.41122386122</v>
      </c>
      <c r="Q35" s="61" t="n">
        <f aca="false">Q32*(1-Assumptions!$F$51)</f>
        <v>8747.72113496142</v>
      </c>
      <c r="R35" s="61" t="n">
        <f aca="false">R32*(1-Assumptions!$F$51)</f>
        <v>9363.14886728924</v>
      </c>
      <c r="S35" s="61" t="n">
        <f aca="false">S32*(1-Assumptions!$F$51)</f>
        <v>10020.0255631144</v>
      </c>
      <c r="T35" s="61" t="n">
        <f aca="false">T32*(1-Assumptions!$F$51)</f>
        <v>10720.8554963286</v>
      </c>
      <c r="U35" s="61" t="n">
        <f aca="false">U32*(1-Assumptions!$F$51)</f>
        <v>11449.8243724204</v>
      </c>
      <c r="V35" s="61" t="n">
        <f aca="false">V32*(1-Assumptions!$F$51)</f>
        <v>12203.2294260122</v>
      </c>
      <c r="W35" s="61" t="n">
        <f aca="false">W32*(1-Assumptions!$F$51)</f>
        <v>12983.2997293972</v>
      </c>
      <c r="X35" s="61" t="n">
        <f aca="false">X32*(1-Assumptions!$F$51)</f>
        <v>13791.0424758744</v>
      </c>
      <c r="Y35" s="61" t="n">
        <f aca="false">Y32*(1-Assumptions!$F$51)</f>
        <v>14627.4081230216</v>
      </c>
      <c r="Z35" s="61" t="n">
        <f aca="false">Z32*(1-Assumptions!$F$51)</f>
        <v>15493.4396789119</v>
      </c>
      <c r="AA35" s="61" t="n">
        <f aca="false">AA32*(1-Assumptions!$F$51)</f>
        <v>16390.3225924288</v>
      </c>
      <c r="AB35" s="61" t="n">
        <f aca="false">AB32*(1-Assumptions!$F$51)</f>
        <v>17319.4102039384</v>
      </c>
      <c r="AC35" s="61" t="n">
        <f aca="false">AC32*(1-Assumptions!$F$51)</f>
        <v>18282.2455279445</v>
      </c>
      <c r="AD35" s="61" t="n">
        <f aca="false">AD32*(1-Assumptions!$F$51)</f>
        <v>19280.5838910421</v>
      </c>
      <c r="AE35" s="61" t="n">
        <f aca="false">AE32*(1-Assumptions!$F$51)</f>
        <v>20316.4176814366</v>
      </c>
      <c r="AF35" s="61" t="n">
        <f aca="false">AF32*(1-Assumptions!$F$51)</f>
        <v>21392.0037641165</v>
      </c>
      <c r="AG35" s="61" t="n">
        <f aca="false">AG32*(1-Assumptions!$F$51)</f>
        <v>22509.8939743904</v>
      </c>
      <c r="AH35" s="61" t="n">
        <f aca="false">AH32*(1-Assumptions!$F$51)</f>
        <v>23381.4498064823</v>
      </c>
      <c r="AI35" s="61" t="n">
        <f aca="false">AI32*(1-Assumptions!$F$51)</f>
        <v>23646.6273134591</v>
      </c>
      <c r="AJ35" s="61" t="n">
        <f aca="false">AJ32*(1-Assumptions!$F$51)</f>
        <v>23849.0350304989</v>
      </c>
      <c r="AK35" s="61" t="n">
        <f aca="false">AK32*(1-Assumptions!$F$51)</f>
        <v>24063.0256205938</v>
      </c>
      <c r="AL35" s="61" t="n">
        <f aca="false">AL32*(1-Assumptions!$F$51)</f>
        <v>24301.5082174725</v>
      </c>
      <c r="AM35" s="61" t="n">
        <f aca="false">SUM(C35:AL35)</f>
        <v>441704.416803986</v>
      </c>
    </row>
    <row r="36" customFormat="false" ht="15" hidden="false" customHeight="false" outlineLevel="0" collapsed="false">
      <c r="A36" s="38" t="s">
        <v>752</v>
      </c>
      <c r="B36" s="9" t="s">
        <v>49</v>
      </c>
      <c r="C36" s="71" t="n">
        <f aca="false">C34</f>
        <v>0</v>
      </c>
      <c r="D36" s="71" t="n">
        <f aca="false">C36*(1-Assumptions!$F$52)+D34</f>
        <v>1500</v>
      </c>
      <c r="E36" s="71" t="n">
        <f aca="false">D36*(1-Assumptions!$F$52)+E34</f>
        <v>3592.5</v>
      </c>
      <c r="F36" s="71" t="n">
        <f aca="false">E36*(1-Assumptions!$F$52)+F34</f>
        <v>6548.6625</v>
      </c>
      <c r="G36" s="71" t="n">
        <f aca="false">F36*(1-Assumptions!$F$52)+G34</f>
        <v>10269.6254256562</v>
      </c>
      <c r="H36" s="71" t="n">
        <f aca="false">G36*(1-Assumptions!$F$52)+H34</f>
        <v>14332.3309808133</v>
      </c>
      <c r="I36" s="71" t="n">
        <f aca="false">H36*(1-Assumptions!$F$52)+I34</f>
        <v>18571.2451843869</v>
      </c>
      <c r="J36" s="71" t="n">
        <f aca="false">I36*(1-Assumptions!$F$52)+J34</f>
        <v>22957.3756205096</v>
      </c>
      <c r="K36" s="71" t="n">
        <f aca="false">J36*(1-Assumptions!$F$52)+K34</f>
        <v>27494.225134689</v>
      </c>
      <c r="L36" s="71" t="n">
        <f aca="false">K36*(1-Assumptions!$F$52)+L34</f>
        <v>32195.9042593737</v>
      </c>
      <c r="M36" s="71" t="n">
        <f aca="false">L36*(1-Assumptions!$F$52)+M34</f>
        <v>37080.6289301782</v>
      </c>
      <c r="N36" s="71" t="n">
        <f aca="false">M36*(1-Assumptions!$F$52)+N34</f>
        <v>42168.627445661</v>
      </c>
      <c r="O36" s="71" t="n">
        <f aca="false">N36*(1-Assumptions!$F$52)+O34</f>
        <v>47481.3751875202</v>
      </c>
      <c r="P36" s="71" t="n">
        <f aca="false">O36*(1-Assumptions!$F$52)+P34</f>
        <v>53041.3107760678</v>
      </c>
      <c r="Q36" s="71" t="n">
        <f aca="false">P36*(1-Assumptions!$F$52)+Q34</f>
        <v>58871.7598183455</v>
      </c>
      <c r="R36" s="71" t="n">
        <f aca="false">Q36*(1-Assumptions!$F$52)+R34</f>
        <v>64996.9618956257</v>
      </c>
      <c r="S36" s="71" t="n">
        <f aca="false">R36*(1-Assumptions!$F$52)+S34</f>
        <v>71442.1545544807</v>
      </c>
      <c r="T36" s="71" t="n">
        <f aca="false">S36*(1-Assumptions!$F$52)+T34</f>
        <v>78233.6915503129</v>
      </c>
      <c r="U36" s="71" t="n">
        <f aca="false">T36*(1-Assumptions!$F$52)+U34</f>
        <v>85380.6628874661</v>
      </c>
      <c r="V36" s="71" t="n">
        <f aca="false">U36*(1-Assumptions!$F$52)+V34</f>
        <v>92887.9558546676</v>
      </c>
      <c r="W36" s="71" t="n">
        <f aca="false">V36*(1-Assumptions!$F$52)+W34</f>
        <v>100762.418012058</v>
      </c>
      <c r="X36" s="71" t="n">
        <f aca="false">W36*(1-Assumptions!$F$52)+X34</f>
        <v>109011.527497269</v>
      </c>
      <c r="Y36" s="71" t="n">
        <f aca="false">X36*(1-Assumptions!$F$52)+Y34</f>
        <v>117643.301607941</v>
      </c>
      <c r="Z36" s="71" t="n">
        <f aca="false">Y36*(1-Assumptions!$F$52)+Z34</f>
        <v>126666.359698416</v>
      </c>
      <c r="AA36" s="71" t="n">
        <f aca="false">Z36*(1-Assumptions!$F$52)+AA34</f>
        <v>136090.032507432</v>
      </c>
      <c r="AB36" s="71" t="n">
        <f aca="false">AA36*(1-Assumptions!$F$52)+AB34</f>
        <v>145924.490923462</v>
      </c>
      <c r="AC36" s="71" t="n">
        <f aca="false">AB36*(1-Assumptions!$F$52)+AC34</f>
        <v>156180.889450616</v>
      </c>
      <c r="AD36" s="71" t="n">
        <f aca="false">AC36*(1-Assumptions!$F$52)+AD34</f>
        <v>166871.524421874</v>
      </c>
      <c r="AE36" s="71" t="n">
        <f aca="false">AD36*(1-Assumptions!$F$52)+AE34</f>
        <v>178010.008260108</v>
      </c>
      <c r="AF36" s="71" t="n">
        <f aca="false">AE36*(1-Assumptions!$F$52)+AF34</f>
        <v>189611.461569918</v>
      </c>
      <c r="AG36" s="71" t="n">
        <f aca="false">AF36*(1-Assumptions!$F$52)+AG34</f>
        <v>201692.725157963</v>
      </c>
      <c r="AH36" s="71" t="n">
        <f aca="false">AG36*(1-Assumptions!$F$52)+AH34</f>
        <v>213981.075080757</v>
      </c>
      <c r="AI36" s="71" t="n">
        <f aca="false">AH36*(1-Assumptions!$F$52)+AI34</f>
        <v>225858.743264775</v>
      </c>
      <c r="AJ36" s="71" t="n">
        <f aca="false">AI36*(1-Assumptions!$F$52)+AJ34</f>
        <v>237285.547415711</v>
      </c>
      <c r="AK36" s="71" t="n">
        <f aca="false">AJ36*(1-Assumptions!$F$52)+AK34</f>
        <v>248297.867928441</v>
      </c>
      <c r="AL36" s="71" t="n">
        <f aca="false">AK36*(1-Assumptions!$F$52)+AL34</f>
        <v>258942.993409849</v>
      </c>
      <c r="AM36" s="71" t="n">
        <f aca="false">AL36</f>
        <v>258942.993409849</v>
      </c>
    </row>
    <row r="37" customFormat="false" ht="15" hidden="false" customHeight="false" outlineLevel="0" collapsed="false">
      <c r="A37" s="10" t="s">
        <v>753</v>
      </c>
      <c r="B37" s="9" t="s">
        <v>49</v>
      </c>
      <c r="C37" s="61" t="n">
        <f aca="false">0</f>
        <v>0</v>
      </c>
      <c r="D37" s="61" t="n">
        <f aca="false">C36*Assumptions!$F$52</f>
        <v>0</v>
      </c>
      <c r="E37" s="61" t="n">
        <f aca="false">D36*Assumptions!$F$52</f>
        <v>82.5</v>
      </c>
      <c r="F37" s="61" t="n">
        <f aca="false">E36*Assumptions!$F$52</f>
        <v>197.5875</v>
      </c>
      <c r="G37" s="61" t="n">
        <f aca="false">F36*Assumptions!$F$52</f>
        <v>360.1764375</v>
      </c>
      <c r="H37" s="61" t="n">
        <f aca="false">G36*Assumptions!$F$52</f>
        <v>564.82939841109</v>
      </c>
      <c r="I37" s="61" t="n">
        <f aca="false">H36*Assumptions!$F$52</f>
        <v>788.278203944733</v>
      </c>
      <c r="J37" s="61" t="n">
        <f aca="false">I36*Assumptions!$F$52</f>
        <v>1021.41848514128</v>
      </c>
      <c r="K37" s="61" t="n">
        <f aca="false">J36*Assumptions!$F$52</f>
        <v>1262.65565912803</v>
      </c>
      <c r="L37" s="61" t="n">
        <f aca="false">K36*Assumptions!$F$52</f>
        <v>1512.18238240789</v>
      </c>
      <c r="M37" s="61" t="n">
        <f aca="false">L36*Assumptions!$F$52</f>
        <v>1770.77473426555</v>
      </c>
      <c r="N37" s="61" t="n">
        <f aca="false">M36*Assumptions!$F$52</f>
        <v>2039.4345911598</v>
      </c>
      <c r="O37" s="61" t="n">
        <f aca="false">N36*Assumptions!$F$52</f>
        <v>2319.27450951136</v>
      </c>
      <c r="P37" s="61" t="n">
        <f aca="false">O36*Assumptions!$F$52</f>
        <v>2611.47563531361</v>
      </c>
      <c r="Q37" s="61" t="n">
        <f aca="false">P36*Assumptions!$F$52</f>
        <v>2917.27209268373</v>
      </c>
      <c r="R37" s="61" t="n">
        <f aca="false">Q36*Assumptions!$F$52</f>
        <v>3237.946790009</v>
      </c>
      <c r="S37" s="61" t="n">
        <f aca="false">R36*Assumptions!$F$52</f>
        <v>3574.83290425941</v>
      </c>
      <c r="T37" s="61" t="n">
        <f aca="false">S36*Assumptions!$F$52</f>
        <v>3929.31850049644</v>
      </c>
      <c r="U37" s="61" t="n">
        <f aca="false">T36*Assumptions!$F$52</f>
        <v>4302.85303526721</v>
      </c>
      <c r="V37" s="61" t="n">
        <f aca="false">U36*Assumptions!$F$52</f>
        <v>4695.93645881063</v>
      </c>
      <c r="W37" s="61" t="n">
        <f aca="false">V36*Assumptions!$F$52</f>
        <v>5108.83757200672</v>
      </c>
      <c r="X37" s="61" t="n">
        <f aca="false">W36*Assumptions!$F$52</f>
        <v>5541.9329906632</v>
      </c>
      <c r="Y37" s="61" t="n">
        <f aca="false">X36*Assumptions!$F$52</f>
        <v>5995.63401234981</v>
      </c>
      <c r="Z37" s="61" t="n">
        <f aca="false">Y36*Assumptions!$F$52</f>
        <v>6470.38158843676</v>
      </c>
      <c r="AA37" s="61" t="n">
        <f aca="false">Z36*Assumptions!$F$52</f>
        <v>6966.64978341289</v>
      </c>
      <c r="AB37" s="61" t="n">
        <f aca="false">AA36*Assumptions!$F$52</f>
        <v>7484.95178790877</v>
      </c>
      <c r="AC37" s="61" t="n">
        <f aca="false">AB36*Assumptions!$F$52</f>
        <v>8025.8470007904</v>
      </c>
      <c r="AD37" s="61" t="n">
        <f aca="false">AC36*Assumptions!$F$52</f>
        <v>8589.94891978387</v>
      </c>
      <c r="AE37" s="61" t="n">
        <f aca="false">AD36*Assumptions!$F$52</f>
        <v>9177.93384320307</v>
      </c>
      <c r="AF37" s="61" t="n">
        <f aca="false">AE36*Assumptions!$F$52</f>
        <v>9790.55045430592</v>
      </c>
      <c r="AG37" s="61" t="n">
        <f aca="false">AF36*Assumptions!$F$52</f>
        <v>10428.6303863455</v>
      </c>
      <c r="AH37" s="61" t="n">
        <f aca="false">AG36*Assumptions!$F$52</f>
        <v>11093.099883688</v>
      </c>
      <c r="AI37" s="61" t="n">
        <f aca="false">AH36*Assumptions!$F$52</f>
        <v>11768.9591294417</v>
      </c>
      <c r="AJ37" s="61" t="n">
        <f aca="false">AI36*Assumptions!$F$52</f>
        <v>12422.2308795626</v>
      </c>
      <c r="AK37" s="61" t="n">
        <f aca="false">AJ36*Assumptions!$F$52</f>
        <v>13050.7051078641</v>
      </c>
      <c r="AL37" s="61" t="n">
        <f aca="false">AK36*Assumptions!$F$52</f>
        <v>13656.3827360642</v>
      </c>
      <c r="AM37" s="61" t="n">
        <f aca="false">SUM(C37:AL37)</f>
        <v>182761.423394137</v>
      </c>
    </row>
    <row r="38" customFormat="false" ht="15" hidden="false" customHeight="false" outlineLevel="0" collapsed="false">
      <c r="A38" s="10" t="s">
        <v>754</v>
      </c>
      <c r="B38" s="9" t="s">
        <v>49</v>
      </c>
      <c r="C38" s="61" t="n">
        <f aca="false">0</f>
        <v>0</v>
      </c>
      <c r="D38" s="61" t="n">
        <f aca="false">C35*Assumptions!$F$53</f>
        <v>0</v>
      </c>
      <c r="E38" s="61" t="n">
        <f aca="false">D35*Assumptions!$F$53</f>
        <v>210</v>
      </c>
      <c r="F38" s="61" t="n">
        <f aca="false">E35*Assumptions!$F$53</f>
        <v>304.5</v>
      </c>
      <c r="G38" s="61" t="n">
        <f aca="false">F35*Assumptions!$F$53</f>
        <v>441.525</v>
      </c>
      <c r="H38" s="61" t="n">
        <f aca="false">G35*Assumptions!$F$53</f>
        <v>571.359510841865</v>
      </c>
      <c r="I38" s="61" t="n">
        <f aca="false">H35*Assumptions!$F$53</f>
        <v>647.854893499553</v>
      </c>
      <c r="J38" s="61" t="n">
        <f aca="false">I35*Assumptions!$F$53</f>
        <v>703.806937052558</v>
      </c>
      <c r="K38" s="61" t="n">
        <f aca="false">J35*Assumptions!$F$53</f>
        <v>757.056848976966</v>
      </c>
      <c r="L38" s="61" t="n">
        <f aca="false">K35*Assumptions!$F$53</f>
        <v>811.930724263034</v>
      </c>
      <c r="M38" s="61" t="n">
        <f aca="false">L35*Assumptions!$F$53</f>
        <v>869.940610992968</v>
      </c>
      <c r="N38" s="61" t="n">
        <f aca="false">M35*Assumptions!$F$53</f>
        <v>931.769916709812</v>
      </c>
      <c r="O38" s="61" t="n">
        <f aca="false">N35*Assumptions!$F$53</f>
        <v>997.840634929966</v>
      </c>
      <c r="P38" s="61" t="n">
        <f aca="false">O35*Assumptions!$F$53</f>
        <v>1068.48311519187</v>
      </c>
      <c r="Q38" s="61" t="n">
        <f aca="false">P35*Assumptions!$F$53</f>
        <v>1143.99757134057</v>
      </c>
      <c r="R38" s="61" t="n">
        <f aca="false">Q35*Assumptions!$F$53</f>
        <v>1224.6809588946</v>
      </c>
      <c r="S38" s="61" t="n">
        <f aca="false">R35*Assumptions!$F$53</f>
        <v>1310.84084142049</v>
      </c>
      <c r="T38" s="61" t="n">
        <f aca="false">S35*Assumptions!$F$53</f>
        <v>1402.80357883602</v>
      </c>
      <c r="U38" s="61" t="n">
        <f aca="false">T35*Assumptions!$F$53</f>
        <v>1500.919769486</v>
      </c>
      <c r="V38" s="61" t="n">
        <f aca="false">U35*Assumptions!$F$53</f>
        <v>1602.97541213886</v>
      </c>
      <c r="W38" s="61" t="n">
        <f aca="false">V35*Assumptions!$F$53</f>
        <v>1708.45211964171</v>
      </c>
      <c r="X38" s="61" t="n">
        <f aca="false">W35*Assumptions!$F$53</f>
        <v>1817.66196211561</v>
      </c>
      <c r="Y38" s="61" t="n">
        <f aca="false">X35*Assumptions!$F$53</f>
        <v>1930.74594662241</v>
      </c>
      <c r="Z38" s="61" t="n">
        <f aca="false">Y35*Assumptions!$F$53</f>
        <v>2047.83713722303</v>
      </c>
      <c r="AA38" s="61" t="n">
        <f aca="false">Z35*Assumptions!$F$53</f>
        <v>2169.08155504766</v>
      </c>
      <c r="AB38" s="61" t="n">
        <f aca="false">AA35*Assumptions!$F$53</f>
        <v>2294.64516294003</v>
      </c>
      <c r="AC38" s="61" t="n">
        <f aca="false">AB35*Assumptions!$F$53</f>
        <v>2424.71742855138</v>
      </c>
      <c r="AD38" s="61" t="n">
        <f aca="false">AC35*Assumptions!$F$53</f>
        <v>2559.51437391223</v>
      </c>
      <c r="AE38" s="61" t="n">
        <f aca="false">AD35*Assumptions!$F$53</f>
        <v>2699.28174474589</v>
      </c>
      <c r="AF38" s="61" t="n">
        <f aca="false">AE35*Assumptions!$F$53</f>
        <v>2844.29847540113</v>
      </c>
      <c r="AG38" s="61" t="n">
        <f aca="false">AF35*Assumptions!$F$53</f>
        <v>2994.88052697632</v>
      </c>
      <c r="AH38" s="61" t="n">
        <f aca="false">AG35*Assumptions!$F$53</f>
        <v>3151.38515641466</v>
      </c>
      <c r="AI38" s="61" t="n">
        <f aca="false">AH35*Assumptions!$F$53</f>
        <v>3273.40297290752</v>
      </c>
      <c r="AJ38" s="61" t="n">
        <f aca="false">AI35*Assumptions!$F$53</f>
        <v>3310.52782388427</v>
      </c>
      <c r="AK38" s="61" t="n">
        <f aca="false">AJ35*Assumptions!$F$53</f>
        <v>3338.86490426985</v>
      </c>
      <c r="AL38" s="61" t="n">
        <f aca="false">AK35*Assumptions!$F$53</f>
        <v>3368.82358688313</v>
      </c>
      <c r="AM38" s="61" t="n">
        <f aca="false">SUM(C38:AL38)</f>
        <v>58436.407202112</v>
      </c>
    </row>
    <row r="39" customFormat="false" ht="15" hidden="false" customHeight="false" outlineLevel="0" collapsed="false">
      <c r="A39" s="38" t="s">
        <v>755</v>
      </c>
      <c r="B39" s="9" t="s">
        <v>49</v>
      </c>
      <c r="C39" s="71" t="n">
        <f aca="false">C35+C36+C38</f>
        <v>0</v>
      </c>
      <c r="D39" s="71" t="n">
        <f aca="false">D35+D36+D38</f>
        <v>3000</v>
      </c>
      <c r="E39" s="71" t="n">
        <f aca="false">E35+E36+E38</f>
        <v>5977.5</v>
      </c>
      <c r="F39" s="71" t="n">
        <f aca="false">F35+F36+F38</f>
        <v>10006.9125</v>
      </c>
      <c r="G39" s="71" t="n">
        <f aca="false">G35+G36+G38</f>
        <v>14792.2897888124</v>
      </c>
      <c r="H39" s="71" t="n">
        <f aca="false">H35+H36+H38</f>
        <v>19531.2254452234</v>
      </c>
      <c r="I39" s="71" t="n">
        <f aca="false">I35+I36+I38</f>
        <v>24246.2924854047</v>
      </c>
      <c r="J39" s="71" t="n">
        <f aca="false">J35+J36+J38</f>
        <v>29068.7314788262</v>
      </c>
      <c r="K39" s="71" t="n">
        <f aca="false">K35+K36+K38</f>
        <v>34050.7871569733</v>
      </c>
      <c r="L39" s="71" t="n">
        <f aca="false">L35+L36+L38</f>
        <v>39221.6964907294</v>
      </c>
      <c r="M39" s="71" t="n">
        <f aca="false">M35+M36+M38</f>
        <v>44606.0689462413</v>
      </c>
      <c r="N39" s="71" t="n">
        <f aca="false">N35+N36+N38</f>
        <v>50227.8304690135</v>
      </c>
      <c r="O39" s="71" t="n">
        <f aca="false">O35+O36+O38</f>
        <v>56111.2380738207</v>
      </c>
      <c r="P39" s="71" t="n">
        <f aca="false">P35+P36+P38</f>
        <v>62281.2051151209</v>
      </c>
      <c r="Q39" s="71" t="n">
        <f aca="false">Q35+Q36+Q38</f>
        <v>68763.4785246475</v>
      </c>
      <c r="R39" s="71" t="n">
        <f aca="false">R35+R36+R38</f>
        <v>75584.7917218096</v>
      </c>
      <c r="S39" s="71" t="n">
        <f aca="false">S35+S36+S38</f>
        <v>82773.0209590156</v>
      </c>
      <c r="T39" s="71" t="n">
        <f aca="false">T35+T36+T38</f>
        <v>90357.3506254775</v>
      </c>
      <c r="U39" s="71" t="n">
        <f aca="false">U35+U36+U38</f>
        <v>98331.4070293725</v>
      </c>
      <c r="V39" s="71" t="n">
        <f aca="false">V35+V36+V38</f>
        <v>106694.160692819</v>
      </c>
      <c r="W39" s="71" t="n">
        <f aca="false">W35+W36+W38</f>
        <v>115454.169861097</v>
      </c>
      <c r="X39" s="71" t="n">
        <f aca="false">X35+X36+X38</f>
        <v>124620.231935259</v>
      </c>
      <c r="Y39" s="71" t="n">
        <f aca="false">Y35+Y36+Y38</f>
        <v>134201.455677585</v>
      </c>
      <c r="Z39" s="71" t="n">
        <f aca="false">Z35+Z36+Z38</f>
        <v>144207.636514551</v>
      </c>
      <c r="AA39" s="71" t="n">
        <f aca="false">AA35+AA36+AA38</f>
        <v>154649.436654909</v>
      </c>
      <c r="AB39" s="71" t="n">
        <f aca="false">AB35+AB36+AB38</f>
        <v>165538.54629034</v>
      </c>
      <c r="AC39" s="71" t="n">
        <f aca="false">AC35+AC36+AC38</f>
        <v>176887.852407112</v>
      </c>
      <c r="AD39" s="71" t="n">
        <f aca="false">AD35+AD36+AD38</f>
        <v>188711.622686828</v>
      </c>
      <c r="AE39" s="71" t="n">
        <f aca="false">AE35+AE36+AE38</f>
        <v>201025.70768629</v>
      </c>
      <c r="AF39" s="71" t="n">
        <f aca="false">AF35+AF36+AF38</f>
        <v>213847.763809436</v>
      </c>
      <c r="AG39" s="71" t="n">
        <f aca="false">AG35+AG36+AG38</f>
        <v>227197.49965933</v>
      </c>
      <c r="AH39" s="71" t="n">
        <f aca="false">AH35+AH36+AH38</f>
        <v>240513.910043654</v>
      </c>
      <c r="AI39" s="71" t="n">
        <f aca="false">AI35+AI36+AI38</f>
        <v>252778.773551141</v>
      </c>
      <c r="AJ39" s="71" t="n">
        <f aca="false">AJ35+AJ36+AJ38</f>
        <v>264445.110270094</v>
      </c>
      <c r="AK39" s="71" t="n">
        <f aca="false">AK35+AK36+AK38</f>
        <v>275699.758453304</v>
      </c>
      <c r="AL39" s="71" t="n">
        <f aca="false">AL35+AL36+AL38</f>
        <v>286613.325214205</v>
      </c>
      <c r="AM39" s="71" t="n">
        <f aca="false">SUM(C39:AL39)</f>
        <v>4082018.78821844</v>
      </c>
    </row>
    <row r="40" customFormat="false" ht="15" hidden="false" customHeight="false" outlineLevel="0" collapsed="false">
      <c r="A40" s="10" t="s">
        <v>756</v>
      </c>
      <c r="B40" s="9" t="s">
        <v>95</v>
      </c>
      <c r="C40" s="70" t="n">
        <f aca="false">C39*Assumptions!$F$50</f>
        <v>0</v>
      </c>
      <c r="D40" s="70" t="n">
        <f aca="false">D39*Assumptions!$F$50</f>
        <v>264000</v>
      </c>
      <c r="E40" s="70" t="n">
        <f aca="false">E39*Assumptions!$F$50</f>
        <v>526020</v>
      </c>
      <c r="F40" s="70" t="n">
        <f aca="false">F39*Assumptions!$F$50</f>
        <v>880608.3</v>
      </c>
      <c r="G40" s="70" t="n">
        <f aca="false">G39*Assumptions!$F$50</f>
        <v>1301721.50141549</v>
      </c>
      <c r="H40" s="70" t="n">
        <f aca="false">H39*Assumptions!$F$50</f>
        <v>1718747.83917966</v>
      </c>
      <c r="I40" s="70" t="n">
        <f aca="false">I39*Assumptions!$F$50</f>
        <v>2133673.73871561</v>
      </c>
      <c r="J40" s="70" t="n">
        <f aca="false">J39*Assumptions!$F$50</f>
        <v>2558048.37013671</v>
      </c>
      <c r="K40" s="70" t="n">
        <f aca="false">K39*Assumptions!$F$50</f>
        <v>2996469.26981365</v>
      </c>
      <c r="L40" s="70" t="n">
        <f aca="false">L39*Assumptions!$F$50</f>
        <v>3451509.29118418</v>
      </c>
      <c r="M40" s="70" t="n">
        <f aca="false">M39*Assumptions!$F$50</f>
        <v>3925334.06726923</v>
      </c>
      <c r="N40" s="70" t="n">
        <f aca="false">N39*Assumptions!$F$50</f>
        <v>4420049.08127318</v>
      </c>
      <c r="O40" s="70" t="n">
        <f aca="false">O39*Assumptions!$F$50</f>
        <v>4937788.95049622</v>
      </c>
      <c r="P40" s="70" t="n">
        <f aca="false">P39*Assumptions!$F$50</f>
        <v>5480746.05013064</v>
      </c>
      <c r="Q40" s="70" t="n">
        <f aca="false">Q39*Assumptions!$F$50</f>
        <v>6051186.11016898</v>
      </c>
      <c r="R40" s="70" t="n">
        <f aca="false">R39*Assumptions!$F$50</f>
        <v>6651461.67151924</v>
      </c>
      <c r="S40" s="70" t="n">
        <f aca="false">S39*Assumptions!$F$50</f>
        <v>7284025.84439338</v>
      </c>
      <c r="T40" s="70" t="n">
        <f aca="false">T39*Assumptions!$F$50</f>
        <v>7951446.85504202</v>
      </c>
      <c r="U40" s="70" t="n">
        <f aca="false">U39*Assumptions!$F$50</f>
        <v>8653163.81858478</v>
      </c>
      <c r="V40" s="70" t="n">
        <f aca="false">V39*Assumptions!$F$50</f>
        <v>9389086.14096804</v>
      </c>
      <c r="W40" s="70" t="n">
        <f aca="false">W39*Assumptions!$F$50</f>
        <v>10159966.9477765</v>
      </c>
      <c r="X40" s="70" t="n">
        <f aca="false">X39*Assumptions!$F$50</f>
        <v>10966580.4103028</v>
      </c>
      <c r="Y40" s="70" t="n">
        <f aca="false">Y39*Assumptions!$F$50</f>
        <v>11809728.0996275</v>
      </c>
      <c r="Z40" s="70" t="n">
        <f aca="false">Z39*Assumptions!$F$50</f>
        <v>12690272.0132805</v>
      </c>
      <c r="AA40" s="70" t="n">
        <f aca="false">AA39*Assumptions!$F$50</f>
        <v>13609150.425632</v>
      </c>
      <c r="AB40" s="70" t="n">
        <f aca="false">AB39*Assumptions!$F$50</f>
        <v>14567392.0735499</v>
      </c>
      <c r="AC40" s="70" t="n">
        <f aca="false">AC39*Assumptions!$F$50</f>
        <v>15566131.0118258</v>
      </c>
      <c r="AD40" s="70" t="n">
        <f aca="false">AD39*Assumptions!$F$50</f>
        <v>16606622.7964409</v>
      </c>
      <c r="AE40" s="70" t="n">
        <f aca="false">AE39*Assumptions!$F$50</f>
        <v>17690262.2763935</v>
      </c>
      <c r="AF40" s="70" t="n">
        <f aca="false">AF39*Assumptions!$F$50</f>
        <v>18818603.2152304</v>
      </c>
      <c r="AG40" s="70" t="n">
        <f aca="false">AG39*Assumptions!$F$50</f>
        <v>19993379.970021</v>
      </c>
      <c r="AH40" s="70" t="n">
        <f aca="false">AH39*Assumptions!$F$50</f>
        <v>21165224.0838416</v>
      </c>
      <c r="AI40" s="70" t="n">
        <f aca="false">AI39*Assumptions!$F$50</f>
        <v>22244532.0725005</v>
      </c>
      <c r="AJ40" s="70" t="n">
        <f aca="false">AJ39*Assumptions!$F$50</f>
        <v>23271169.7037683</v>
      </c>
      <c r="AK40" s="70" t="n">
        <f aca="false">AK39*Assumptions!$F$50</f>
        <v>24261578.7438908</v>
      </c>
      <c r="AL40" s="70" t="n">
        <f aca="false">AL39*Assumptions!$F$50</f>
        <v>25221972.61885</v>
      </c>
      <c r="AM40" s="70" t="n">
        <f aca="false">SUM(C40:AL40)</f>
        <v>359217653.363223</v>
      </c>
    </row>
    <row r="41" customFormat="false" ht="15" hidden="false" customHeight="false" outlineLevel="0" collapsed="false">
      <c r="A41" s="10" t="s">
        <v>757</v>
      </c>
      <c r="B41" s="9" t="s">
        <v>95</v>
      </c>
      <c r="C41" s="70" t="n">
        <f aca="false">-C40*Assumptions!$F$80</f>
        <v>-0</v>
      </c>
      <c r="D41" s="70" t="n">
        <f aca="false">-D40*Assumptions!$F$80</f>
        <v>-5808</v>
      </c>
      <c r="E41" s="70" t="n">
        <f aca="false">-E40*Assumptions!$F$80</f>
        <v>-11572.44</v>
      </c>
      <c r="F41" s="70" t="n">
        <f aca="false">-F40*Assumptions!$F$80</f>
        <v>-19373.3826</v>
      </c>
      <c r="G41" s="70" t="n">
        <f aca="false">-G40*Assumptions!$F$80</f>
        <v>-28637.8730311407</v>
      </c>
      <c r="H41" s="70" t="n">
        <f aca="false">-H40*Assumptions!$F$80</f>
        <v>-37812.4524619525</v>
      </c>
      <c r="I41" s="70" t="n">
        <f aca="false">-I40*Assumptions!$F$80</f>
        <v>-46940.8222517435</v>
      </c>
      <c r="J41" s="70" t="n">
        <f aca="false">-J40*Assumptions!$F$80</f>
        <v>-56277.0641430075</v>
      </c>
      <c r="K41" s="70" t="n">
        <f aca="false">-K40*Assumptions!$F$80</f>
        <v>-65922.3239359004</v>
      </c>
      <c r="L41" s="70" t="n">
        <f aca="false">-L40*Assumptions!$F$80</f>
        <v>-75933.204406052</v>
      </c>
      <c r="M41" s="70" t="n">
        <f aca="false">-M40*Assumptions!$F$80</f>
        <v>-86357.3494799231</v>
      </c>
      <c r="N41" s="70" t="n">
        <f aca="false">-N40*Assumptions!$F$80</f>
        <v>-97241.07978801</v>
      </c>
      <c r="O41" s="70" t="n">
        <f aca="false">-O40*Assumptions!$F$80</f>
        <v>-108631.356910917</v>
      </c>
      <c r="P41" s="70" t="n">
        <f aca="false">-P40*Assumptions!$F$80</f>
        <v>-120576.413102874</v>
      </c>
      <c r="Q41" s="70" t="n">
        <f aca="false">-Q40*Assumptions!$F$80</f>
        <v>-133126.094423718</v>
      </c>
      <c r="R41" s="70" t="n">
        <f aca="false">-R40*Assumptions!$F$80</f>
        <v>-146332.156773423</v>
      </c>
      <c r="S41" s="70" t="n">
        <f aca="false">-S40*Assumptions!$F$80</f>
        <v>-160248.568576654</v>
      </c>
      <c r="T41" s="70" t="n">
        <f aca="false">-T40*Assumptions!$F$80</f>
        <v>-174931.830810924</v>
      </c>
      <c r="U41" s="70" t="n">
        <f aca="false">-U40*Assumptions!$F$80</f>
        <v>-190369.604008865</v>
      </c>
      <c r="V41" s="70" t="n">
        <f aca="false">-V40*Assumptions!$F$80</f>
        <v>-206559.895101297</v>
      </c>
      <c r="W41" s="70" t="n">
        <f aca="false">-W40*Assumptions!$F$80</f>
        <v>-223519.272851084</v>
      </c>
      <c r="X41" s="70" t="n">
        <f aca="false">-X40*Assumptions!$F$80</f>
        <v>-241264.769026662</v>
      </c>
      <c r="Y41" s="70" t="n">
        <f aca="false">-Y40*Assumptions!$F$80</f>
        <v>-259814.018191805</v>
      </c>
      <c r="Z41" s="70" t="n">
        <f aca="false">-Z40*Assumptions!$F$80</f>
        <v>-279185.984292171</v>
      </c>
      <c r="AA41" s="70" t="n">
        <f aca="false">-AA40*Assumptions!$F$80</f>
        <v>-299401.309363903</v>
      </c>
      <c r="AB41" s="70" t="n">
        <f aca="false">-AB40*Assumptions!$F$80</f>
        <v>-320482.625618099</v>
      </c>
      <c r="AC41" s="70" t="n">
        <f aca="false">-AC40*Assumptions!$F$80</f>
        <v>-342454.882260168</v>
      </c>
      <c r="AD41" s="70" t="n">
        <f aca="false">-AD40*Assumptions!$F$80</f>
        <v>-365345.7015217</v>
      </c>
      <c r="AE41" s="70" t="n">
        <f aca="false">-AE40*Assumptions!$F$80</f>
        <v>-389185.770080658</v>
      </c>
      <c r="AF41" s="70" t="n">
        <f aca="false">-AF40*Assumptions!$F$80</f>
        <v>-414009.270735068</v>
      </c>
      <c r="AG41" s="70" t="n">
        <f aca="false">-AG40*Assumptions!$F$80</f>
        <v>-439854.359340463</v>
      </c>
      <c r="AH41" s="70" t="n">
        <f aca="false">-AH40*Assumptions!$F$80</f>
        <v>-465634.929844515</v>
      </c>
      <c r="AI41" s="70" t="n">
        <f aca="false">-AI40*Assumptions!$F$80</f>
        <v>-489379.70559501</v>
      </c>
      <c r="AJ41" s="70" t="n">
        <f aca="false">-AJ40*Assumptions!$F$80</f>
        <v>-511965.733482903</v>
      </c>
      <c r="AK41" s="70" t="n">
        <f aca="false">-AK40*Assumptions!$F$80</f>
        <v>-533754.732365597</v>
      </c>
      <c r="AL41" s="70" t="n">
        <f aca="false">-AL40*Assumptions!$F$80</f>
        <v>-554883.3976147</v>
      </c>
      <c r="AM41" s="70" t="n">
        <f aca="false">SUM(C41:AL41)</f>
        <v>-7902788.37399091</v>
      </c>
    </row>
    <row r="42" customFormat="false" ht="15" hidden="false" customHeight="false" outlineLevel="0" collapsed="false">
      <c r="A42" s="38" t="s">
        <v>758</v>
      </c>
      <c r="B42" s="9" t="s">
        <v>95</v>
      </c>
      <c r="C42" s="53" t="n">
        <f aca="false">C40+C41</f>
        <v>0</v>
      </c>
      <c r="D42" s="53" t="n">
        <f aca="false">D40+D41</f>
        <v>258192</v>
      </c>
      <c r="E42" s="53" t="n">
        <f aca="false">E40+E41</f>
        <v>514447.56</v>
      </c>
      <c r="F42" s="53" t="n">
        <f aca="false">F40+F41</f>
        <v>861234.9174</v>
      </c>
      <c r="G42" s="53" t="n">
        <f aca="false">G40+G41</f>
        <v>1273083.62838435</v>
      </c>
      <c r="H42" s="53" t="n">
        <f aca="false">H40+H41</f>
        <v>1680935.38671771</v>
      </c>
      <c r="I42" s="53" t="n">
        <f aca="false">I40+I41</f>
        <v>2086732.91646387</v>
      </c>
      <c r="J42" s="53" t="n">
        <f aca="false">J40+J41</f>
        <v>2501771.3059937</v>
      </c>
      <c r="K42" s="53" t="n">
        <f aca="false">K40+K41</f>
        <v>2930546.94587775</v>
      </c>
      <c r="L42" s="53" t="n">
        <f aca="false">L40+L41</f>
        <v>3375576.08677813</v>
      </c>
      <c r="M42" s="53" t="n">
        <f aca="false">M40+M41</f>
        <v>3838976.71778931</v>
      </c>
      <c r="N42" s="53" t="n">
        <f aca="false">N40+N41</f>
        <v>4322808.00148517</v>
      </c>
      <c r="O42" s="53" t="n">
        <f aca="false">O40+O41</f>
        <v>4829157.5935853</v>
      </c>
      <c r="P42" s="53" t="n">
        <f aca="false">P40+P41</f>
        <v>5360169.63702776</v>
      </c>
      <c r="Q42" s="53" t="n">
        <f aca="false">Q40+Q41</f>
        <v>5918060.01574526</v>
      </c>
      <c r="R42" s="53" t="n">
        <f aca="false">R40+R41</f>
        <v>6505129.51474582</v>
      </c>
      <c r="S42" s="53" t="n">
        <f aca="false">S40+S41</f>
        <v>7123777.27581672</v>
      </c>
      <c r="T42" s="53" t="n">
        <f aca="false">T40+T41</f>
        <v>7776515.0242311</v>
      </c>
      <c r="U42" s="53" t="n">
        <f aca="false">U40+U41</f>
        <v>8462794.21457591</v>
      </c>
      <c r="V42" s="53" t="n">
        <f aca="false">V40+V41</f>
        <v>9182526.24586675</v>
      </c>
      <c r="W42" s="53" t="n">
        <f aca="false">W40+W41</f>
        <v>9936447.67492546</v>
      </c>
      <c r="X42" s="53" t="n">
        <f aca="false">X40+X41</f>
        <v>10725315.6412762</v>
      </c>
      <c r="Y42" s="53" t="n">
        <f aca="false">Y40+Y41</f>
        <v>11549914.0814357</v>
      </c>
      <c r="Z42" s="53" t="n">
        <f aca="false">Z40+Z41</f>
        <v>12411086.0289883</v>
      </c>
      <c r="AA42" s="53" t="n">
        <f aca="false">AA40+AA41</f>
        <v>13309749.116268</v>
      </c>
      <c r="AB42" s="53" t="n">
        <f aca="false">AB40+AB41</f>
        <v>14246909.4479318</v>
      </c>
      <c r="AC42" s="53" t="n">
        <f aca="false">AC40+AC41</f>
        <v>15223676.1295657</v>
      </c>
      <c r="AD42" s="53" t="n">
        <f aca="false">AD40+AD41</f>
        <v>16241277.0949192</v>
      </c>
      <c r="AE42" s="53" t="n">
        <f aca="false">AE40+AE41</f>
        <v>17301076.5063129</v>
      </c>
      <c r="AF42" s="53" t="n">
        <f aca="false">AF40+AF41</f>
        <v>18404593.9444953</v>
      </c>
      <c r="AG42" s="53" t="n">
        <f aca="false">AG40+AG41</f>
        <v>19553525.6106806</v>
      </c>
      <c r="AH42" s="53" t="n">
        <f aca="false">AH40+AH41</f>
        <v>20699589.1539971</v>
      </c>
      <c r="AI42" s="53" t="n">
        <f aca="false">AI40+AI41</f>
        <v>21755152.3669054</v>
      </c>
      <c r="AJ42" s="53" t="n">
        <f aca="false">AJ40+AJ41</f>
        <v>22759203.9702854</v>
      </c>
      <c r="AK42" s="53" t="n">
        <f aca="false">AK40+AK41</f>
        <v>23727824.0115252</v>
      </c>
      <c r="AL42" s="53" t="n">
        <f aca="false">AL40+AL41</f>
        <v>24667089.2212353</v>
      </c>
      <c r="AM42" s="53" t="n">
        <f aca="false">SUM(C42:AL42)</f>
        <v>351314864.989232</v>
      </c>
    </row>
    <row r="43" customFormat="false" ht="15" hidden="false" customHeight="false" outlineLevel="0" collapsed="false">
      <c r="A43" s="10" t="s">
        <v>759</v>
      </c>
      <c r="B43" s="9" t="s">
        <v>95</v>
      </c>
      <c r="C43" s="70" t="n">
        <f aca="false">-C40*Assumptions!$F$55</f>
        <v>-0</v>
      </c>
      <c r="D43" s="70" t="n">
        <f aca="false">-D40*Assumptions!$F$55</f>
        <v>-58080</v>
      </c>
      <c r="E43" s="70" t="n">
        <f aca="false">-E40*Assumptions!$F$55</f>
        <v>-115724.4</v>
      </c>
      <c r="F43" s="70" t="n">
        <f aca="false">-F40*Assumptions!$F$55</f>
        <v>-193733.826</v>
      </c>
      <c r="G43" s="70" t="n">
        <f aca="false">-G40*Assumptions!$F$55</f>
        <v>-286378.730311407</v>
      </c>
      <c r="H43" s="70" t="n">
        <f aca="false">-H40*Assumptions!$F$55</f>
        <v>-378124.524619525</v>
      </c>
      <c r="I43" s="70" t="n">
        <f aca="false">-I40*Assumptions!$F$55</f>
        <v>-469408.222517435</v>
      </c>
      <c r="J43" s="70" t="n">
        <f aca="false">-J40*Assumptions!$F$55</f>
        <v>-562770.641430076</v>
      </c>
      <c r="K43" s="70" t="n">
        <f aca="false">-K40*Assumptions!$F$55</f>
        <v>-659223.239359004</v>
      </c>
      <c r="L43" s="70" t="n">
        <f aca="false">-L40*Assumptions!$F$55</f>
        <v>-759332.04406052</v>
      </c>
      <c r="M43" s="70" t="n">
        <f aca="false">-M40*Assumptions!$F$55</f>
        <v>-863573.494799231</v>
      </c>
      <c r="N43" s="70" t="n">
        <f aca="false">-N40*Assumptions!$F$55</f>
        <v>-972410.797880101</v>
      </c>
      <c r="O43" s="70" t="n">
        <f aca="false">-O40*Assumptions!$F$55</f>
        <v>-1086313.56910917</v>
      </c>
      <c r="P43" s="70" t="n">
        <f aca="false">-P40*Assumptions!$F$55</f>
        <v>-1205764.13102874</v>
      </c>
      <c r="Q43" s="70" t="n">
        <f aca="false">-Q40*Assumptions!$F$55</f>
        <v>-1331260.94423718</v>
      </c>
      <c r="R43" s="70" t="n">
        <f aca="false">-R40*Assumptions!$F$55</f>
        <v>-1463321.56773423</v>
      </c>
      <c r="S43" s="70" t="n">
        <f aca="false">-S40*Assumptions!$F$55</f>
        <v>-1602485.68576654</v>
      </c>
      <c r="T43" s="70" t="n">
        <f aca="false">-T40*Assumptions!$F$55</f>
        <v>-1749318.30810924</v>
      </c>
      <c r="U43" s="70" t="n">
        <f aca="false">-U40*Assumptions!$F$55</f>
        <v>-1903696.04008865</v>
      </c>
      <c r="V43" s="70" t="n">
        <f aca="false">-V40*Assumptions!$F$55</f>
        <v>-2065598.95101297</v>
      </c>
      <c r="W43" s="70" t="n">
        <f aca="false">-W40*Assumptions!$F$55</f>
        <v>-2235192.72851084</v>
      </c>
      <c r="X43" s="70" t="n">
        <f aca="false">-X40*Assumptions!$F$55</f>
        <v>-2412647.69026662</v>
      </c>
      <c r="Y43" s="70" t="n">
        <f aca="false">-Y40*Assumptions!$F$55</f>
        <v>-2598140.18191805</v>
      </c>
      <c r="Z43" s="70" t="n">
        <f aca="false">-Z40*Assumptions!$F$55</f>
        <v>-2791859.84292171</v>
      </c>
      <c r="AA43" s="70" t="n">
        <f aca="false">-AA40*Assumptions!$F$55</f>
        <v>-2994013.09363903</v>
      </c>
      <c r="AB43" s="70" t="n">
        <f aca="false">-AB40*Assumptions!$F$55</f>
        <v>-3204826.25618099</v>
      </c>
      <c r="AC43" s="70" t="n">
        <f aca="false">-AC40*Assumptions!$F$55</f>
        <v>-3424548.82260168</v>
      </c>
      <c r="AD43" s="70" t="n">
        <f aca="false">-AD40*Assumptions!$F$55</f>
        <v>-3653457.015217</v>
      </c>
      <c r="AE43" s="70" t="n">
        <f aca="false">-AE40*Assumptions!$F$55</f>
        <v>-3891857.70080658</v>
      </c>
      <c r="AF43" s="70" t="n">
        <f aca="false">-AF40*Assumptions!$F$55</f>
        <v>-4140092.70735068</v>
      </c>
      <c r="AG43" s="70" t="n">
        <f aca="false">-AG40*Assumptions!$F$55</f>
        <v>-4398543.59340463</v>
      </c>
      <c r="AH43" s="70" t="n">
        <f aca="false">-AH40*Assumptions!$F$55</f>
        <v>-4656349.29844515</v>
      </c>
      <c r="AI43" s="70" t="n">
        <f aca="false">-AI40*Assumptions!$F$55</f>
        <v>-4893797.0559501</v>
      </c>
      <c r="AJ43" s="70" t="n">
        <f aca="false">-AJ40*Assumptions!$F$55</f>
        <v>-5119657.33482903</v>
      </c>
      <c r="AK43" s="70" t="n">
        <f aca="false">-AK40*Assumptions!$F$55</f>
        <v>-5337547.32365597</v>
      </c>
      <c r="AL43" s="70" t="n">
        <f aca="false">-AL40*Assumptions!$F$55</f>
        <v>-5548833.976147</v>
      </c>
      <c r="AM43" s="70" t="n">
        <f aca="false">SUM(C43:AL43)</f>
        <v>-79027883.7399091</v>
      </c>
    </row>
    <row r="44" customFormat="false" ht="15" hidden="false" customHeight="false" outlineLevel="0" collapsed="false">
      <c r="A44" s="10" t="s">
        <v>760</v>
      </c>
      <c r="B44" s="9" t="s">
        <v>95</v>
      </c>
      <c r="C44" s="70" t="n">
        <f aca="false">-C39*Assumptions!$F$56</f>
        <v>-0</v>
      </c>
      <c r="D44" s="70" t="n">
        <f aca="false">-D39*Assumptions!$F$56</f>
        <v>-19500</v>
      </c>
      <c r="E44" s="70" t="n">
        <f aca="false">-E39*Assumptions!$F$56</f>
        <v>-38853.75</v>
      </c>
      <c r="F44" s="70" t="n">
        <f aca="false">-F39*Assumptions!$F$56</f>
        <v>-65044.93125</v>
      </c>
      <c r="G44" s="70" t="n">
        <f aca="false">-G39*Assumptions!$F$56</f>
        <v>-96149.8836272803</v>
      </c>
      <c r="H44" s="70" t="n">
        <f aca="false">-H39*Assumptions!$F$56</f>
        <v>-126952.965393952</v>
      </c>
      <c r="I44" s="70" t="n">
        <f aca="false">-I39*Assumptions!$F$56</f>
        <v>-157600.90115513</v>
      </c>
      <c r="J44" s="70" t="n">
        <f aca="false">-J39*Assumptions!$F$56</f>
        <v>-188946.75461237</v>
      </c>
      <c r="K44" s="70" t="n">
        <f aca="false">-K39*Assumptions!$F$56</f>
        <v>-221330.116520327</v>
      </c>
      <c r="L44" s="70" t="n">
        <f aca="false">-L39*Assumptions!$F$56</f>
        <v>-254941.027189741</v>
      </c>
      <c r="M44" s="70" t="n">
        <f aca="false">-M39*Assumptions!$F$56</f>
        <v>-289939.448150568</v>
      </c>
      <c r="N44" s="70" t="n">
        <f aca="false">-N39*Assumptions!$F$56</f>
        <v>-326480.898048588</v>
      </c>
      <c r="O44" s="70" t="n">
        <f aca="false">-O39*Assumptions!$F$56</f>
        <v>-364723.047479834</v>
      </c>
      <c r="P44" s="70" t="n">
        <f aca="false">-P39*Assumptions!$F$56</f>
        <v>-404827.833248286</v>
      </c>
      <c r="Q44" s="70" t="n">
        <f aca="false">-Q39*Assumptions!$F$56</f>
        <v>-446962.610410209</v>
      </c>
      <c r="R44" s="70" t="n">
        <f aca="false">-R39*Assumptions!$F$56</f>
        <v>-491301.146191762</v>
      </c>
      <c r="S44" s="70" t="n">
        <f aca="false">-S39*Assumptions!$F$56</f>
        <v>-538024.636233602</v>
      </c>
      <c r="T44" s="70" t="n">
        <f aca="false">-T39*Assumptions!$F$56</f>
        <v>-587322.779065604</v>
      </c>
      <c r="U44" s="70" t="n">
        <f aca="false">-U39*Assumptions!$F$56</f>
        <v>-639154.145690921</v>
      </c>
      <c r="V44" s="70" t="n">
        <f aca="false">-V39*Assumptions!$F$56</f>
        <v>-693512.044503321</v>
      </c>
      <c r="W44" s="70" t="n">
        <f aca="false">-W39*Assumptions!$F$56</f>
        <v>-750452.104097131</v>
      </c>
      <c r="X44" s="70" t="n">
        <f aca="false">-X39*Assumptions!$F$56</f>
        <v>-810031.507579186</v>
      </c>
      <c r="Y44" s="70" t="n">
        <f aca="false">-Y39*Assumptions!$F$56</f>
        <v>-872309.461904304</v>
      </c>
      <c r="Z44" s="70" t="n">
        <f aca="false">-Z39*Assumptions!$F$56</f>
        <v>-937349.637344582</v>
      </c>
      <c r="AA44" s="70" t="n">
        <f aca="false">-AA39*Assumptions!$F$56</f>
        <v>-1005221.33825691</v>
      </c>
      <c r="AB44" s="70" t="n">
        <f aca="false">-AB39*Assumptions!$F$56</f>
        <v>-1076000.55088721</v>
      </c>
      <c r="AC44" s="70" t="n">
        <f aca="false">-AC39*Assumptions!$F$56</f>
        <v>-1149771.04064623</v>
      </c>
      <c r="AD44" s="70" t="n">
        <f aca="false">-AD39*Assumptions!$F$56</f>
        <v>-1226625.54746438</v>
      </c>
      <c r="AE44" s="70" t="n">
        <f aca="false">-AE39*Assumptions!$F$56</f>
        <v>-1306667.09996089</v>
      </c>
      <c r="AF44" s="70" t="n">
        <f aca="false">-AF39*Assumptions!$F$56</f>
        <v>-1390010.46476133</v>
      </c>
      <c r="AG44" s="70" t="n">
        <f aca="false">-AG39*Assumptions!$F$56</f>
        <v>-1476783.74778564</v>
      </c>
      <c r="AH44" s="70" t="n">
        <f aca="false">-AH39*Assumptions!$F$56</f>
        <v>-1563340.41528375</v>
      </c>
      <c r="AI44" s="70" t="n">
        <f aca="false">-AI39*Assumptions!$F$56</f>
        <v>-1643062.02808242</v>
      </c>
      <c r="AJ44" s="70" t="n">
        <f aca="false">-AJ39*Assumptions!$F$56</f>
        <v>-1718893.21675561</v>
      </c>
      <c r="AK44" s="70" t="n">
        <f aca="false">-AK39*Assumptions!$F$56</f>
        <v>-1792048.42994648</v>
      </c>
      <c r="AL44" s="70" t="n">
        <f aca="false">-AL39*Assumptions!$F$56</f>
        <v>-1862986.61389233</v>
      </c>
      <c r="AM44" s="70" t="n">
        <f aca="false">SUM(C44:AL44)</f>
        <v>-26533122.1234199</v>
      </c>
    </row>
    <row r="45" customFormat="false" ht="15" hidden="false" customHeight="false" outlineLevel="0" collapsed="false">
      <c r="A45" s="10" t="s">
        <v>761</v>
      </c>
      <c r="B45" s="9" t="s">
        <v>95</v>
      </c>
      <c r="C45" s="70" t="n">
        <f aca="false">-C42*Assumptions!$F$79</f>
        <v>-0</v>
      </c>
      <c r="D45" s="70" t="n">
        <f aca="false">-D42*Assumptions!$F$79</f>
        <v>-6971.184</v>
      </c>
      <c r="E45" s="70" t="n">
        <f aca="false">-E42*Assumptions!$F$79</f>
        <v>-13890.08412</v>
      </c>
      <c r="F45" s="70" t="n">
        <f aca="false">-F42*Assumptions!$F$79</f>
        <v>-23253.3427698</v>
      </c>
      <c r="G45" s="70" t="n">
        <f aca="false">-G42*Assumptions!$F$79</f>
        <v>-34373.2579663774</v>
      </c>
      <c r="H45" s="70" t="n">
        <f aca="false">-H42*Assumptions!$F$79</f>
        <v>-45385.2554413781</v>
      </c>
      <c r="I45" s="70" t="n">
        <f aca="false">-I42*Assumptions!$F$79</f>
        <v>-56341.7887445244</v>
      </c>
      <c r="J45" s="70" t="n">
        <f aca="false">-J42*Assumptions!$F$79</f>
        <v>-67547.8252618299</v>
      </c>
      <c r="K45" s="70" t="n">
        <f aca="false">-K42*Assumptions!$F$79</f>
        <v>-79124.7675386993</v>
      </c>
      <c r="L45" s="70" t="n">
        <f aca="false">-L42*Assumptions!$F$79</f>
        <v>-91140.5543430096</v>
      </c>
      <c r="M45" s="70" t="n">
        <f aca="false">-M42*Assumptions!$F$79</f>
        <v>-103652.371380311</v>
      </c>
      <c r="N45" s="70" t="n">
        <f aca="false">-N42*Assumptions!$F$79</f>
        <v>-116715.8160401</v>
      </c>
      <c r="O45" s="70" t="n">
        <f aca="false">-O42*Assumptions!$F$79</f>
        <v>-130387.255026803</v>
      </c>
      <c r="P45" s="70" t="n">
        <f aca="false">-P42*Assumptions!$F$79</f>
        <v>-144724.58019975</v>
      </c>
      <c r="Q45" s="70" t="n">
        <f aca="false">-Q42*Assumptions!$F$79</f>
        <v>-159787.620425122</v>
      </c>
      <c r="R45" s="70" t="n">
        <f aca="false">-R42*Assumptions!$F$79</f>
        <v>-175638.496898137</v>
      </c>
      <c r="S45" s="70" t="n">
        <f aca="false">-S42*Assumptions!$F$79</f>
        <v>-192341.986447052</v>
      </c>
      <c r="T45" s="70" t="n">
        <f aca="false">-T42*Assumptions!$F$79</f>
        <v>-209965.90565424</v>
      </c>
      <c r="U45" s="70" t="n">
        <f aca="false">-U42*Assumptions!$F$79</f>
        <v>-228495.44379355</v>
      </c>
      <c r="V45" s="70" t="n">
        <f aca="false">-V42*Assumptions!$F$79</f>
        <v>-247928.208638402</v>
      </c>
      <c r="W45" s="70" t="n">
        <f aca="false">-W42*Assumptions!$F$79</f>
        <v>-268284.087222987</v>
      </c>
      <c r="X45" s="70" t="n">
        <f aca="false">-X42*Assumptions!$F$79</f>
        <v>-289583.522314456</v>
      </c>
      <c r="Y45" s="70" t="n">
        <f aca="false">-Y42*Assumptions!$F$79</f>
        <v>-311847.680198764</v>
      </c>
      <c r="Z45" s="70" t="n">
        <f aca="false">-Z42*Assumptions!$F$79</f>
        <v>-335099.322782685</v>
      </c>
      <c r="AA45" s="70" t="n">
        <f aca="false">-AA42*Assumptions!$F$79</f>
        <v>-359363.226139237</v>
      </c>
      <c r="AB45" s="70" t="n">
        <f aca="false">-AB42*Assumptions!$F$79</f>
        <v>-384666.55509416</v>
      </c>
      <c r="AC45" s="70" t="n">
        <f aca="false">-AC42*Assumptions!$F$79</f>
        <v>-411039.255498273</v>
      </c>
      <c r="AD45" s="70" t="n">
        <f aca="false">-AD42*Assumptions!$F$79</f>
        <v>-438514.481562818</v>
      </c>
      <c r="AE45" s="70" t="n">
        <f aca="false">-AE42*Assumptions!$F$79</f>
        <v>-467129.065670448</v>
      </c>
      <c r="AF45" s="70" t="n">
        <f aca="false">-AF42*Assumptions!$F$79</f>
        <v>-496924.036501373</v>
      </c>
      <c r="AG45" s="70" t="n">
        <f aca="false">-AG42*Assumptions!$F$79</f>
        <v>-527945.191488375</v>
      </c>
      <c r="AH45" s="70" t="n">
        <f aca="false">-AH42*Assumptions!$F$79</f>
        <v>-558888.907157921</v>
      </c>
      <c r="AI45" s="70" t="n">
        <f aca="false">-AI42*Assumptions!$F$79</f>
        <v>-587389.113906447</v>
      </c>
      <c r="AJ45" s="70" t="n">
        <f aca="false">-AJ42*Assumptions!$F$79</f>
        <v>-614498.507197706</v>
      </c>
      <c r="AK45" s="70" t="n">
        <f aca="false">-AK42*Assumptions!$F$79</f>
        <v>-640651.24831118</v>
      </c>
      <c r="AL45" s="70" t="n">
        <f aca="false">-AL42*Assumptions!$F$79</f>
        <v>-666011.408973353</v>
      </c>
      <c r="AM45" s="70" t="n">
        <f aca="false">SUM(C45:AL45)</f>
        <v>-9485501.35470927</v>
      </c>
    </row>
    <row r="46" customFormat="false" ht="15" hidden="false" customHeight="false" outlineLevel="0" collapsed="false">
      <c r="A46" s="38" t="s">
        <v>762</v>
      </c>
      <c r="B46" s="9" t="s">
        <v>95</v>
      </c>
      <c r="C46" s="53" t="n">
        <f aca="false">C42+C43+C44+C45</f>
        <v>0</v>
      </c>
      <c r="D46" s="53" t="n">
        <f aca="false">D42+D43+D44+D45</f>
        <v>173640.816</v>
      </c>
      <c r="E46" s="53" t="n">
        <f aca="false">E42+E43+E44+E45</f>
        <v>345979.32588</v>
      </c>
      <c r="F46" s="53" t="n">
        <f aca="false">F42+F43+F44+F45</f>
        <v>579202.8173802</v>
      </c>
      <c r="G46" s="53" t="n">
        <f aca="false">G42+G43+G44+G45</f>
        <v>856181.756479282</v>
      </c>
      <c r="H46" s="53" t="n">
        <f aca="false">H42+H43+H44+H45</f>
        <v>1130472.64126285</v>
      </c>
      <c r="I46" s="53" t="n">
        <f aca="false">I42+I43+I44+I45</f>
        <v>1403382.00404678</v>
      </c>
      <c r="J46" s="53" t="n">
        <f aca="false">J42+J43+J44+J45</f>
        <v>1682506.08468942</v>
      </c>
      <c r="K46" s="53" t="n">
        <f aca="false">K42+K43+K44+K45</f>
        <v>1970868.82245972</v>
      </c>
      <c r="L46" s="53" t="n">
        <f aca="false">L42+L43+L44+L45</f>
        <v>2270162.46118486</v>
      </c>
      <c r="M46" s="53" t="n">
        <f aca="false">M42+M43+M44+M45</f>
        <v>2581811.4034592</v>
      </c>
      <c r="N46" s="53" t="n">
        <f aca="false">N42+N43+N44+N45</f>
        <v>2907200.48951639</v>
      </c>
      <c r="O46" s="53" t="n">
        <f aca="false">O42+O43+O44+O45</f>
        <v>3247733.7219695</v>
      </c>
      <c r="P46" s="53" t="n">
        <f aca="false">P42+P43+P44+P45</f>
        <v>3604853.09255099</v>
      </c>
      <c r="Q46" s="53" t="n">
        <f aca="false">Q42+Q43+Q44+Q45</f>
        <v>3980048.84067275</v>
      </c>
      <c r="R46" s="53" t="n">
        <f aca="false">R42+R43+R44+R45</f>
        <v>4374868.30392169</v>
      </c>
      <c r="S46" s="53" t="n">
        <f aca="false">S42+S43+S44+S45</f>
        <v>4790924.96736953</v>
      </c>
      <c r="T46" s="53" t="n">
        <f aca="false">T42+T43+T44+T45</f>
        <v>5229908.03140201</v>
      </c>
      <c r="U46" s="53" t="n">
        <f aca="false">U42+U43+U44+U45</f>
        <v>5691448.58500279</v>
      </c>
      <c r="V46" s="53" t="n">
        <f aca="false">V42+V43+V44+V45</f>
        <v>6175487.04171205</v>
      </c>
      <c r="W46" s="53" t="n">
        <f aca="false">W42+W43+W44+W45</f>
        <v>6682518.7550945</v>
      </c>
      <c r="X46" s="53" t="n">
        <f aca="false">X42+X43+X44+X45</f>
        <v>7213052.9211159</v>
      </c>
      <c r="Y46" s="53" t="n">
        <f aca="false">Y42+Y43+Y44+Y45</f>
        <v>7767616.75741457</v>
      </c>
      <c r="Z46" s="53" t="n">
        <f aca="false">Z42+Z43+Z44+Z45</f>
        <v>8346777.22593935</v>
      </c>
      <c r="AA46" s="53" t="n">
        <f aca="false">AA42+AA43+AA44+AA45</f>
        <v>8951151.45823287</v>
      </c>
      <c r="AB46" s="53" t="n">
        <f aca="false">AB42+AB43+AB44+AB45</f>
        <v>9581416.08576948</v>
      </c>
      <c r="AC46" s="53" t="n">
        <f aca="false">AC42+AC43+AC44+AC45</f>
        <v>10238317.0108195</v>
      </c>
      <c r="AD46" s="53" t="n">
        <f aca="false">AD42+AD43+AD44+AD45</f>
        <v>10922680.050675</v>
      </c>
      <c r="AE46" s="53" t="n">
        <f aca="false">AE42+AE43+AE44+AE45</f>
        <v>11635422.639875</v>
      </c>
      <c r="AF46" s="53" t="n">
        <f aca="false">AF42+AF43+AF44+AF45</f>
        <v>12377566.7358819</v>
      </c>
      <c r="AG46" s="53" t="n">
        <f aca="false">AG42+AG43+AG44+AG45</f>
        <v>13150253.0780019</v>
      </c>
      <c r="AH46" s="53" t="n">
        <f aca="false">AH42+AH43+AH44+AH45</f>
        <v>13921010.5331103</v>
      </c>
      <c r="AI46" s="53" t="n">
        <f aca="false">AI42+AI43+AI44+AI45</f>
        <v>14630904.1689665</v>
      </c>
      <c r="AJ46" s="53" t="n">
        <f aca="false">AJ42+AJ43+AJ44+AJ45</f>
        <v>15306154.9115031</v>
      </c>
      <c r="AK46" s="53" t="n">
        <f aca="false">AK42+AK43+AK44+AK45</f>
        <v>15957577.0096116</v>
      </c>
      <c r="AL46" s="53" t="n">
        <f aca="false">AL42+AL43+AL44+AL45</f>
        <v>16589257.2222226</v>
      </c>
      <c r="AM46" s="53" t="n">
        <f aca="false">SUM(C46:AL46)</f>
        <v>236268357.771194</v>
      </c>
    </row>
    <row r="47" customFormat="false" ht="15" hidden="false" customHeight="false" outlineLevel="0" collapsed="false">
      <c r="A47" s="10" t="s">
        <v>763</v>
      </c>
      <c r="B47" s="9" t="s">
        <v>59</v>
      </c>
      <c r="C47" s="62" t="n">
        <f aca="false">IFERROR(C46/C42,0)</f>
        <v>0</v>
      </c>
      <c r="D47" s="62" t="n">
        <f aca="false">IFERROR(D46/D42,0)</f>
        <v>0.672525934188511</v>
      </c>
      <c r="E47" s="62" t="n">
        <f aca="false">IFERROR(E46/E42,0)</f>
        <v>0.672525934188511</v>
      </c>
      <c r="F47" s="62" t="n">
        <f aca="false">IFERROR(F46/F42,0)</f>
        <v>0.672525934188511</v>
      </c>
      <c r="G47" s="62" t="n">
        <f aca="false">IFERROR(G46/G42,0)</f>
        <v>0.672525934188511</v>
      </c>
      <c r="H47" s="62" t="n">
        <f aca="false">IFERROR(H46/H42,0)</f>
        <v>0.672525934188511</v>
      </c>
      <c r="I47" s="62" t="n">
        <f aca="false">IFERROR(I46/I42,0)</f>
        <v>0.672525934188511</v>
      </c>
      <c r="J47" s="62" t="n">
        <f aca="false">IFERROR(J46/J42,0)</f>
        <v>0.672525934188511</v>
      </c>
      <c r="K47" s="62" t="n">
        <f aca="false">IFERROR(K46/K42,0)</f>
        <v>0.672525934188511</v>
      </c>
      <c r="L47" s="62" t="n">
        <f aca="false">IFERROR(L46/L42,0)</f>
        <v>0.672525934188511</v>
      </c>
      <c r="M47" s="62" t="n">
        <f aca="false">IFERROR(M46/M42,0)</f>
        <v>0.672525934188511</v>
      </c>
      <c r="N47" s="62" t="n">
        <f aca="false">IFERROR(N46/N42,0)</f>
        <v>0.672525934188511</v>
      </c>
      <c r="O47" s="62" t="n">
        <f aca="false">IFERROR(O46/O42,0)</f>
        <v>0.672525934188511</v>
      </c>
      <c r="P47" s="62" t="n">
        <f aca="false">IFERROR(P46/P42,0)</f>
        <v>0.672525934188511</v>
      </c>
      <c r="Q47" s="62" t="n">
        <f aca="false">IFERROR(Q46/Q42,0)</f>
        <v>0.672525934188511</v>
      </c>
      <c r="R47" s="62" t="n">
        <f aca="false">IFERROR(R46/R42,0)</f>
        <v>0.672525934188511</v>
      </c>
      <c r="S47" s="62" t="n">
        <f aca="false">IFERROR(S46/S42,0)</f>
        <v>0.672525934188511</v>
      </c>
      <c r="T47" s="62" t="n">
        <f aca="false">IFERROR(T46/T42,0)</f>
        <v>0.672525934188511</v>
      </c>
      <c r="U47" s="62" t="n">
        <f aca="false">IFERROR(U46/U42,0)</f>
        <v>0.672525934188511</v>
      </c>
      <c r="V47" s="62" t="n">
        <f aca="false">IFERROR(V46/V42,0)</f>
        <v>0.672525934188511</v>
      </c>
      <c r="W47" s="62" t="n">
        <f aca="false">IFERROR(W46/W42,0)</f>
        <v>0.672525934188511</v>
      </c>
      <c r="X47" s="62" t="n">
        <f aca="false">IFERROR(X46/X42,0)</f>
        <v>0.672525934188511</v>
      </c>
      <c r="Y47" s="62" t="n">
        <f aca="false">IFERROR(Y46/Y42,0)</f>
        <v>0.672525934188511</v>
      </c>
      <c r="Z47" s="62" t="n">
        <f aca="false">IFERROR(Z46/Z42,0)</f>
        <v>0.672525934188511</v>
      </c>
      <c r="AA47" s="62" t="n">
        <f aca="false">IFERROR(AA46/AA42,0)</f>
        <v>0.672525934188511</v>
      </c>
      <c r="AB47" s="62" t="n">
        <f aca="false">IFERROR(AB46/AB42,0)</f>
        <v>0.672525934188511</v>
      </c>
      <c r="AC47" s="62" t="n">
        <f aca="false">IFERROR(AC46/AC42,0)</f>
        <v>0.672525934188511</v>
      </c>
      <c r="AD47" s="62" t="n">
        <f aca="false">IFERROR(AD46/AD42,0)</f>
        <v>0.672525934188511</v>
      </c>
      <c r="AE47" s="62" t="n">
        <f aca="false">IFERROR(AE46/AE42,0)</f>
        <v>0.672525934188511</v>
      </c>
      <c r="AF47" s="62" t="n">
        <f aca="false">IFERROR(AF46/AF42,0)</f>
        <v>0.672525934188511</v>
      </c>
      <c r="AG47" s="62" t="n">
        <f aca="false">IFERROR(AG46/AG42,0)</f>
        <v>0.672525934188511</v>
      </c>
      <c r="AH47" s="62" t="n">
        <f aca="false">IFERROR(AH46/AH42,0)</f>
        <v>0.672525934188511</v>
      </c>
      <c r="AI47" s="62" t="n">
        <f aca="false">IFERROR(AI46/AI42,0)</f>
        <v>0.672525934188511</v>
      </c>
      <c r="AJ47" s="62" t="n">
        <f aca="false">IFERROR(AJ46/AJ42,0)</f>
        <v>0.672525934188511</v>
      </c>
      <c r="AK47" s="62" t="n">
        <f aca="false">IFERROR(AK46/AK42,0)</f>
        <v>0.672525934188511</v>
      </c>
      <c r="AL47" s="62" t="n">
        <f aca="false">IFERROR(AL46/AL42,0)</f>
        <v>0.672525934188511</v>
      </c>
      <c r="AM47" s="62" t="n">
        <f aca="false">AVERAGE(N47:AL47)</f>
        <v>0.672525934188511</v>
      </c>
    </row>
    <row r="48" customFormat="false" ht="15" hidden="false" customHeight="false" outlineLevel="0" collapsed="false">
      <c r="A48" s="10" t="s">
        <v>764</v>
      </c>
      <c r="B48" s="9" t="s">
        <v>59</v>
      </c>
      <c r="C48" s="62" t="n">
        <f aca="false">IF(C9=0,0,MIN(Assumptions!$F$63,Assumptions!$F$61+Assumptions!$F$62*(C$5-Assumptions!$F$7)))</f>
        <v>0</v>
      </c>
      <c r="D48" s="62" t="n">
        <f aca="false">IF(D9=0,0,MIN(Assumptions!$F$63,Assumptions!$F$61+Assumptions!$F$62*(D$5-Assumptions!$F$7)))</f>
        <v>0</v>
      </c>
      <c r="E48" s="62" t="n">
        <f aca="false">IF(E9=0,0,MIN(Assumptions!$F$63,Assumptions!$F$61+Assumptions!$F$62*(E$5-Assumptions!$F$7)))</f>
        <v>0</v>
      </c>
      <c r="F48" s="62" t="n">
        <f aca="false">IF(F9=0,0,MIN(Assumptions!$F$63,Assumptions!$F$61+Assumptions!$F$62*(F$5-Assumptions!$F$7)))</f>
        <v>0</v>
      </c>
      <c r="G48" s="62" t="n">
        <f aca="false">IF(G9=0,0,MIN(Assumptions!$F$63,Assumptions!$F$61+Assumptions!$F$62*(G$5-Assumptions!$F$7)))</f>
        <v>0.45</v>
      </c>
      <c r="H48" s="62" t="n">
        <f aca="false">IF(H9=0,0,MIN(Assumptions!$F$63,Assumptions!$F$61+Assumptions!$F$62*(H$5-Assumptions!$F$7)))</f>
        <v>0.485</v>
      </c>
      <c r="I48" s="62" t="n">
        <f aca="false">IF(I9=0,0,MIN(Assumptions!$F$63,Assumptions!$F$61+Assumptions!$F$62*(I$5-Assumptions!$F$7)))</f>
        <v>0.52</v>
      </c>
      <c r="J48" s="62" t="n">
        <f aca="false">IF(J9=0,0,MIN(Assumptions!$F$63,Assumptions!$F$61+Assumptions!$F$62*(J$5-Assumptions!$F$7)))</f>
        <v>0.555</v>
      </c>
      <c r="K48" s="62" t="n">
        <f aca="false">IF(K9=0,0,MIN(Assumptions!$F$63,Assumptions!$F$61+Assumptions!$F$62*(K$5-Assumptions!$F$7)))</f>
        <v>0.59</v>
      </c>
      <c r="L48" s="62" t="n">
        <f aca="false">IF(L9=0,0,MIN(Assumptions!$F$63,Assumptions!$F$61+Assumptions!$F$62*(L$5-Assumptions!$F$7)))</f>
        <v>0.625</v>
      </c>
      <c r="M48" s="62" t="n">
        <f aca="false">IF(M9=0,0,MIN(Assumptions!$F$63,Assumptions!$F$61+Assumptions!$F$62*(M$5-Assumptions!$F$7)))</f>
        <v>0.66</v>
      </c>
      <c r="N48" s="62" t="n">
        <f aca="false">IF(N9=0,0,MIN(Assumptions!$F$63,Assumptions!$F$61+Assumptions!$F$62*(N$5-Assumptions!$F$7)))</f>
        <v>0.695</v>
      </c>
      <c r="O48" s="62" t="n">
        <f aca="false">IF(O9=0,0,MIN(Assumptions!$F$63,Assumptions!$F$61+Assumptions!$F$62*(O$5-Assumptions!$F$7)))</f>
        <v>0.73</v>
      </c>
      <c r="P48" s="62" t="n">
        <f aca="false">IF(P9=0,0,MIN(Assumptions!$F$63,Assumptions!$F$61+Assumptions!$F$62*(P$5-Assumptions!$F$7)))</f>
        <v>0.765</v>
      </c>
      <c r="Q48" s="62" t="n">
        <f aca="false">IF(Q9=0,0,MIN(Assumptions!$F$63,Assumptions!$F$61+Assumptions!$F$62*(Q$5-Assumptions!$F$7)))</f>
        <v>0.8</v>
      </c>
      <c r="R48" s="62" t="n">
        <f aca="false">IF(R9=0,0,MIN(Assumptions!$F$63,Assumptions!$F$61+Assumptions!$F$62*(R$5-Assumptions!$F$7)))</f>
        <v>0.835</v>
      </c>
      <c r="S48" s="62" t="n">
        <f aca="false">IF(S9=0,0,MIN(Assumptions!$F$63,Assumptions!$F$61+Assumptions!$F$62*(S$5-Assumptions!$F$7)))</f>
        <v>0.87</v>
      </c>
      <c r="T48" s="62" t="n">
        <f aca="false">IF(T9=0,0,MIN(Assumptions!$F$63,Assumptions!$F$61+Assumptions!$F$62*(T$5-Assumptions!$F$7)))</f>
        <v>0.88</v>
      </c>
      <c r="U48" s="62" t="n">
        <f aca="false">IF(U9=0,0,MIN(Assumptions!$F$63,Assumptions!$F$61+Assumptions!$F$62*(U$5-Assumptions!$F$7)))</f>
        <v>0.88</v>
      </c>
      <c r="V48" s="62" t="n">
        <f aca="false">IF(V9=0,0,MIN(Assumptions!$F$63,Assumptions!$F$61+Assumptions!$F$62*(V$5-Assumptions!$F$7)))</f>
        <v>0.88</v>
      </c>
      <c r="W48" s="62" t="n">
        <f aca="false">IF(W9=0,0,MIN(Assumptions!$F$63,Assumptions!$F$61+Assumptions!$F$62*(W$5-Assumptions!$F$7)))</f>
        <v>0.88</v>
      </c>
      <c r="X48" s="62" t="n">
        <f aca="false">IF(X9=0,0,MIN(Assumptions!$F$63,Assumptions!$F$61+Assumptions!$F$62*(X$5-Assumptions!$F$7)))</f>
        <v>0.88</v>
      </c>
      <c r="Y48" s="62" t="n">
        <f aca="false">IF(Y9=0,0,MIN(Assumptions!$F$63,Assumptions!$F$61+Assumptions!$F$62*(Y$5-Assumptions!$F$7)))</f>
        <v>0.88</v>
      </c>
      <c r="Z48" s="62" t="n">
        <f aca="false">IF(Z9=0,0,MIN(Assumptions!$F$63,Assumptions!$F$61+Assumptions!$F$62*(Z$5-Assumptions!$F$7)))</f>
        <v>0.88</v>
      </c>
      <c r="AA48" s="62" t="n">
        <f aca="false">IF(AA9=0,0,MIN(Assumptions!$F$63,Assumptions!$F$61+Assumptions!$F$62*(AA$5-Assumptions!$F$7)))</f>
        <v>0.88</v>
      </c>
      <c r="AB48" s="62" t="n">
        <f aca="false">IF(AB9=0,0,MIN(Assumptions!$F$63,Assumptions!$F$61+Assumptions!$F$62*(AB$5-Assumptions!$F$7)))</f>
        <v>0.88</v>
      </c>
      <c r="AC48" s="62" t="n">
        <f aca="false">IF(AC9=0,0,MIN(Assumptions!$F$63,Assumptions!$F$61+Assumptions!$F$62*(AC$5-Assumptions!$F$7)))</f>
        <v>0.88</v>
      </c>
      <c r="AD48" s="62" t="n">
        <f aca="false">IF(AD9=0,0,MIN(Assumptions!$F$63,Assumptions!$F$61+Assumptions!$F$62*(AD$5-Assumptions!$F$7)))</f>
        <v>0.88</v>
      </c>
      <c r="AE48" s="62" t="n">
        <f aca="false">IF(AE9=0,0,MIN(Assumptions!$F$63,Assumptions!$F$61+Assumptions!$F$62*(AE$5-Assumptions!$F$7)))</f>
        <v>0.88</v>
      </c>
      <c r="AF48" s="62" t="n">
        <f aca="false">IF(AF9=0,0,MIN(Assumptions!$F$63,Assumptions!$F$61+Assumptions!$F$62*(AF$5-Assumptions!$F$7)))</f>
        <v>0.88</v>
      </c>
      <c r="AG48" s="62" t="n">
        <f aca="false">IF(AG9=0,0,MIN(Assumptions!$F$63,Assumptions!$F$61+Assumptions!$F$62*(AG$5-Assumptions!$F$7)))</f>
        <v>0.88</v>
      </c>
      <c r="AH48" s="62" t="n">
        <f aca="false">IF(AH9=0,0,MIN(Assumptions!$F$63,Assumptions!$F$61+Assumptions!$F$62*(AH$5-Assumptions!$F$7)))</f>
        <v>0.88</v>
      </c>
      <c r="AI48" s="62" t="n">
        <f aca="false">IF(AI9=0,0,MIN(Assumptions!$F$63,Assumptions!$F$61+Assumptions!$F$62*(AI$5-Assumptions!$F$7)))</f>
        <v>0.88</v>
      </c>
      <c r="AJ48" s="62" t="n">
        <f aca="false">IF(AJ9=0,0,MIN(Assumptions!$F$63,Assumptions!$F$61+Assumptions!$F$62*(AJ$5-Assumptions!$F$7)))</f>
        <v>0.88</v>
      </c>
      <c r="AK48" s="62" t="n">
        <f aca="false">IF(AK9=0,0,MIN(Assumptions!$F$63,Assumptions!$F$61+Assumptions!$F$62*(AK$5-Assumptions!$F$7)))</f>
        <v>0.88</v>
      </c>
      <c r="AL48" s="62" t="n">
        <f aca="false">IF(AL9=0,0,MIN(Assumptions!$F$63,Assumptions!$F$61+Assumptions!$F$62*(AL$5-Assumptions!$F$7)))</f>
        <v>0.88</v>
      </c>
      <c r="AM48" s="62" t="n">
        <f aca="false">AL48</f>
        <v>0.88</v>
      </c>
    </row>
    <row r="49" customFormat="false" ht="15" hidden="false" customHeight="false" outlineLevel="0" collapsed="false">
      <c r="A49" s="10" t="s">
        <v>765</v>
      </c>
      <c r="B49" s="9" t="s">
        <v>82</v>
      </c>
      <c r="C49" s="61" t="n">
        <f aca="false">C15+C19+C23+(C13+C25)*Assumptions!$F$45</f>
        <v>13526.7648247102</v>
      </c>
      <c r="D49" s="61" t="n">
        <f aca="false">D15+D19+D23+(D13+D25)*Assumptions!$F$45</f>
        <v>433278.894736842</v>
      </c>
      <c r="E49" s="61" t="n">
        <f aca="false">E15+E19+E23+(E13+E25)*Assumptions!$F$45</f>
        <v>172656.36032</v>
      </c>
      <c r="F49" s="61" t="n">
        <f aca="false">F15+F19+F23+(F13+F25)*Assumptions!$F$45</f>
        <v>198883.0876544</v>
      </c>
      <c r="G49" s="61" t="n">
        <f aca="false">G15+G19+G23+(G13+G25)*Assumptions!$F$45</f>
        <v>247555.758783488</v>
      </c>
      <c r="H49" s="61" t="n">
        <f aca="false">H15+H19+H23+(H13+H25)*Assumptions!$F$45</f>
        <v>300545.987887937</v>
      </c>
      <c r="I49" s="61" t="n">
        <f aca="false">I15+I19+I23+(I13+I25)*Assumptions!$F$45</f>
        <v>340803.459628133</v>
      </c>
      <c r="J49" s="61" t="n">
        <f aca="false">J15+J19+J23+(J13+J25)*Assumptions!$F$45</f>
        <v>377930.386566672</v>
      </c>
      <c r="K49" s="61" t="n">
        <f aca="false">K15+K19+K23+(K13+K25)*Assumptions!$F$45</f>
        <v>415246.291746491</v>
      </c>
      <c r="L49" s="61" t="n">
        <f aca="false">L15+L19+L23+(L13+L25)*Assumptions!$F$45</f>
        <v>453889.375628343</v>
      </c>
      <c r="M49" s="61" t="n">
        <f aca="false">M15+M19+M23+(M13+M25)*Assumptions!$F$45</f>
        <v>494390.615394592</v>
      </c>
      <c r="N49" s="61" t="n">
        <f aca="false">N15+N19+N23+(N13+N25)*Assumptions!$F$45</f>
        <v>537086.077957281</v>
      </c>
      <c r="O49" s="61" t="n">
        <f aca="false">O15+O19+O23+(O13+O25)*Assumptions!$F$45</f>
        <v>582239.757354304</v>
      </c>
      <c r="P49" s="61" t="n">
        <f aca="false">P15+P19+P23+(P13+P25)*Assumptions!$F$45</f>
        <v>630087.215519207</v>
      </c>
      <c r="Q49" s="61" t="n">
        <f aca="false">Q15+Q19+Q23+(Q13+Q25)*Assumptions!$F$45</f>
        <v>680854.633044375</v>
      </c>
      <c r="R49" s="61" t="n">
        <f aca="false">R15+R19+R23+(R13+R25)*Assumptions!$F$45</f>
        <v>734768.819916653</v>
      </c>
      <c r="S49" s="61" t="n">
        <f aca="false">S15+S19+S23+(S13+S25)*Assumptions!$F$45</f>
        <v>792063.317809829</v>
      </c>
      <c r="T49" s="61" t="n">
        <f aca="false">T15+T19+T23+(T13+T25)*Assumptions!$F$45</f>
        <v>852982.595574756</v>
      </c>
      <c r="U49" s="61" t="n">
        <f aca="false">U15+U19+U23+(U13+U25)*Assumptions!$F$45</f>
        <v>916323.094450377</v>
      </c>
      <c r="V49" s="61" t="n">
        <f aca="false">V15+V19+V23+(V13+V25)*Assumptions!$F$45</f>
        <v>981722.843831488</v>
      </c>
      <c r="W49" s="61" t="n">
        <f aca="false">W15+W19+W23+(W13+W25)*Assumptions!$F$45</f>
        <v>1049359.74109135</v>
      </c>
      <c r="X49" s="61" t="n">
        <f aca="false">X15+X19+X23+(X13+X25)*Assumptions!$F$45</f>
        <v>1119350.93552684</v>
      </c>
      <c r="Y49" s="61" t="n">
        <f aca="false">Y15+Y19+Y23+(Y13+Y25)*Assumptions!$F$45</f>
        <v>1191801.10725069</v>
      </c>
      <c r="Z49" s="61" t="n">
        <f aca="false">Z15+Z19+Z23+(Z13+Z25)*Assumptions!$F$45</f>
        <v>1266821.45058617</v>
      </c>
      <c r="AA49" s="61" t="n">
        <f aca="false">AA15+AA19+AA23+(AA13+AA25)*Assumptions!$F$45</f>
        <v>1344534.98445087</v>
      </c>
      <c r="AB49" s="61" t="n">
        <f aca="false">AB15+AB19+AB23+(AB13+AB25)*Assumptions!$F$45</f>
        <v>1425079.26118967</v>
      </c>
      <c r="AC49" s="61" t="n">
        <f aca="false">AC15+AC19+AC23+(AC13+AC25)*Assumptions!$F$45</f>
        <v>1508608.62307199</v>
      </c>
      <c r="AD49" s="61" t="n">
        <f aca="false">AD15+AD19+AD23+(AD13+AD25)*Assumptions!$F$45</f>
        <v>1595296.50170535</v>
      </c>
      <c r="AE49" s="61" t="n">
        <f aca="false">AE15+AE19+AE23+(AE13+AE25)*Assumptions!$F$45</f>
        <v>1685337.89473872</v>
      </c>
      <c r="AF49" s="61" t="n">
        <f aca="false">AF15+AF19+AF23+(AF13+AF25)*Assumptions!$F$45</f>
        <v>1778952.07776943</v>
      </c>
      <c r="AG49" s="61" t="n">
        <f aca="false">AG15+AG19+AG23+(AG13+AG25)*Assumptions!$F$45</f>
        <v>1876385.59369611</v>
      </c>
      <c r="AH49" s="61" t="n">
        <f aca="false">AH15+AH19+AH23+(AH13+AH25)*Assumptions!$F$45</f>
        <v>1954900.87966561</v>
      </c>
      <c r="AI49" s="61" t="n">
        <f aca="false">AI15+AI19+AI23+(AI13+AI25)*Assumptions!$F$45</f>
        <v>1984341.21728669</v>
      </c>
      <c r="AJ49" s="61" t="n">
        <f aca="false">AJ15+AJ19+AJ23+(AJ13+AJ25)*Assumptions!$F$45</f>
        <v>2005442.02432469</v>
      </c>
      <c r="AK49" s="61" t="n">
        <f aca="false">AK15+AK19+AK23+(AK13+AK25)*Assumptions!$F$45</f>
        <v>2027432.60743123</v>
      </c>
      <c r="AL49" s="61" t="n">
        <f aca="false">AL15+AL19+AL23+(AL13+AL25)*Assumptions!$F$45</f>
        <v>2051865.65024839</v>
      </c>
      <c r="AM49" s="61" t="n">
        <f aca="false">SUM(C49:AL49)</f>
        <v>36022345.8886637</v>
      </c>
    </row>
    <row r="50" customFormat="false" ht="15" hidden="false" customHeight="false" outlineLevel="0" collapsed="false">
      <c r="A50" s="10" t="s">
        <v>766</v>
      </c>
      <c r="B50" s="9" t="s">
        <v>49</v>
      </c>
      <c r="C50" s="61" t="n">
        <f aca="false">C49*Assumptions!$F$58*C9</f>
        <v>0</v>
      </c>
      <c r="D50" s="61" t="n">
        <f aca="false">D49*Assumptions!$F$58*D9</f>
        <v>0</v>
      </c>
      <c r="E50" s="61" t="n">
        <f aca="false">E49*Assumptions!$F$58*E9</f>
        <v>0</v>
      </c>
      <c r="F50" s="61" t="n">
        <f aca="false">F49*Assumptions!$F$58*F9</f>
        <v>0</v>
      </c>
      <c r="G50" s="61" t="n">
        <f aca="false">G49*Assumptions!$F$58*G9</f>
        <v>6188.8939695872</v>
      </c>
      <c r="H50" s="61" t="n">
        <f aca="false">H49*Assumptions!$F$58*H9</f>
        <v>7513.64969719843</v>
      </c>
      <c r="I50" s="61" t="n">
        <f aca="false">I49*Assumptions!$F$58*I9</f>
        <v>8520.08649070332</v>
      </c>
      <c r="J50" s="61" t="n">
        <f aca="false">J49*Assumptions!$F$58*J9</f>
        <v>9448.2596641668</v>
      </c>
      <c r="K50" s="61" t="n">
        <f aca="false">K49*Assumptions!$F$58*K9</f>
        <v>10381.1572936623</v>
      </c>
      <c r="L50" s="61" t="n">
        <f aca="false">L49*Assumptions!$F$58*L9</f>
        <v>11347.2343907086</v>
      </c>
      <c r="M50" s="61" t="n">
        <f aca="false">M49*Assumptions!$F$58*M9</f>
        <v>12359.7653848648</v>
      </c>
      <c r="N50" s="61" t="n">
        <f aca="false">N49*Assumptions!$F$58*N9</f>
        <v>13427.151948932</v>
      </c>
      <c r="O50" s="61" t="n">
        <f aca="false">O49*Assumptions!$F$58*O9</f>
        <v>14555.9939338576</v>
      </c>
      <c r="P50" s="61" t="n">
        <f aca="false">P49*Assumptions!$F$58*P9</f>
        <v>15752.1803879802</v>
      </c>
      <c r="Q50" s="61" t="n">
        <f aca="false">Q49*Assumptions!$F$58*Q9</f>
        <v>17021.3658261094</v>
      </c>
      <c r="R50" s="61" t="n">
        <f aca="false">R49*Assumptions!$F$58*R9</f>
        <v>18369.2204979163</v>
      </c>
      <c r="S50" s="61" t="n">
        <f aca="false">S49*Assumptions!$F$58*S9</f>
        <v>19801.5829452457</v>
      </c>
      <c r="T50" s="61" t="n">
        <f aca="false">T49*Assumptions!$F$58*T9</f>
        <v>21324.5648893689</v>
      </c>
      <c r="U50" s="61" t="n">
        <f aca="false">U49*Assumptions!$F$58*U9</f>
        <v>22908.0773612594</v>
      </c>
      <c r="V50" s="61" t="n">
        <f aca="false">V49*Assumptions!$F$58*V9</f>
        <v>24543.0710957872</v>
      </c>
      <c r="W50" s="61" t="n">
        <f aca="false">W49*Assumptions!$F$58*W9</f>
        <v>26233.9935272837</v>
      </c>
      <c r="X50" s="61" t="n">
        <f aca="false">X49*Assumptions!$F$58*X9</f>
        <v>27983.7733881711</v>
      </c>
      <c r="Y50" s="61" t="n">
        <f aca="false">Y49*Assumptions!$F$58*Y9</f>
        <v>29795.0276812673</v>
      </c>
      <c r="Z50" s="61" t="n">
        <f aca="false">Z49*Assumptions!$F$58*Z9</f>
        <v>31670.5362646542</v>
      </c>
      <c r="AA50" s="61" t="n">
        <f aca="false">AA49*Assumptions!$F$58*AA9</f>
        <v>33613.3746112717</v>
      </c>
      <c r="AB50" s="61" t="n">
        <f aca="false">AB49*Assumptions!$F$58*AB9</f>
        <v>35626.9815297418</v>
      </c>
      <c r="AC50" s="61" t="n">
        <f aca="false">AC49*Assumptions!$F$58*AC9</f>
        <v>37715.2155767998</v>
      </c>
      <c r="AD50" s="61" t="n">
        <f aca="false">AD49*Assumptions!$F$58*AD9</f>
        <v>39882.4125426337</v>
      </c>
      <c r="AE50" s="61" t="n">
        <f aca="false">AE49*Assumptions!$F$58*AE9</f>
        <v>42133.4473684681</v>
      </c>
      <c r="AF50" s="61" t="n">
        <f aca="false">AF49*Assumptions!$F$58*AF9</f>
        <v>44473.8019442357</v>
      </c>
      <c r="AG50" s="61" t="n">
        <f aca="false">AG49*Assumptions!$F$58*AG9</f>
        <v>46909.6398424028</v>
      </c>
      <c r="AH50" s="61" t="n">
        <f aca="false">AH49*Assumptions!$F$58*AH9</f>
        <v>48872.5219916402</v>
      </c>
      <c r="AI50" s="61" t="n">
        <f aca="false">AI49*Assumptions!$F$58*AI9</f>
        <v>49608.5304321672</v>
      </c>
      <c r="AJ50" s="61" t="n">
        <f aca="false">AJ49*Assumptions!$F$58*AJ9</f>
        <v>50136.0506081172</v>
      </c>
      <c r="AK50" s="61" t="n">
        <f aca="false">AK49*Assumptions!$F$58*AK9</f>
        <v>50685.8151857807</v>
      </c>
      <c r="AL50" s="61" t="n">
        <f aca="false">AL49*Assumptions!$F$58*AL9</f>
        <v>51296.6412562097</v>
      </c>
      <c r="AM50" s="61" t="n">
        <f aca="false">SUM(C50:AL50)</f>
        <v>880100.019528193</v>
      </c>
    </row>
    <row r="51" customFormat="false" ht="15" hidden="false" customHeight="false" outlineLevel="0" collapsed="false">
      <c r="A51" s="10" t="s">
        <v>767</v>
      </c>
      <c r="B51" s="9" t="s">
        <v>49</v>
      </c>
      <c r="C51" s="61" t="n">
        <f aca="false">C50*Assumptions!$F$59</f>
        <v>0</v>
      </c>
      <c r="D51" s="61" t="n">
        <f aca="false">D50*Assumptions!$F$59</f>
        <v>0</v>
      </c>
      <c r="E51" s="61" t="n">
        <f aca="false">E50*Assumptions!$F$59</f>
        <v>0</v>
      </c>
      <c r="F51" s="61" t="n">
        <f aca="false">F50*Assumptions!$F$59</f>
        <v>0</v>
      </c>
      <c r="G51" s="61" t="n">
        <f aca="false">G50*Assumptions!$F$59</f>
        <v>4703.55941688627</v>
      </c>
      <c r="H51" s="61" t="n">
        <f aca="false">H50*Assumptions!$F$59</f>
        <v>5710.37376987081</v>
      </c>
      <c r="I51" s="61" t="n">
        <f aca="false">I50*Assumptions!$F$59</f>
        <v>6475.26573293453</v>
      </c>
      <c r="J51" s="61" t="n">
        <f aca="false">J50*Assumptions!$F$59</f>
        <v>7180.67734476677</v>
      </c>
      <c r="K51" s="61" t="n">
        <f aca="false">K50*Assumptions!$F$59</f>
        <v>7889.67954318334</v>
      </c>
      <c r="L51" s="61" t="n">
        <f aca="false">L50*Assumptions!$F$59</f>
        <v>8623.89813693852</v>
      </c>
      <c r="M51" s="61" t="n">
        <f aca="false">M50*Assumptions!$F$59</f>
        <v>9393.42169249725</v>
      </c>
      <c r="N51" s="61" t="n">
        <f aca="false">N50*Assumptions!$F$59</f>
        <v>10204.6354811883</v>
      </c>
      <c r="O51" s="61" t="n">
        <f aca="false">O50*Assumptions!$F$59</f>
        <v>11062.5553897318</v>
      </c>
      <c r="P51" s="61" t="n">
        <f aca="false">P50*Assumptions!$F$59</f>
        <v>11971.6570948649</v>
      </c>
      <c r="Q51" s="61" t="n">
        <f aca="false">Q50*Assumptions!$F$59</f>
        <v>12936.2380278431</v>
      </c>
      <c r="R51" s="61" t="n">
        <f aca="false">R50*Assumptions!$F$59</f>
        <v>13960.6075784164</v>
      </c>
      <c r="S51" s="61" t="n">
        <f aca="false">S50*Assumptions!$F$59</f>
        <v>15049.2030383868</v>
      </c>
      <c r="T51" s="61" t="n">
        <f aca="false">T50*Assumptions!$F$59</f>
        <v>16206.6693159204</v>
      </c>
      <c r="U51" s="61" t="n">
        <f aca="false">U50*Assumptions!$F$59</f>
        <v>17410.1387945572</v>
      </c>
      <c r="V51" s="61" t="n">
        <f aca="false">V50*Assumptions!$F$59</f>
        <v>18652.7340327983</v>
      </c>
      <c r="W51" s="61" t="n">
        <f aca="false">W50*Assumptions!$F$59</f>
        <v>19937.8350807356</v>
      </c>
      <c r="X51" s="61" t="n">
        <f aca="false">X50*Assumptions!$F$59</f>
        <v>21267.66777501</v>
      </c>
      <c r="Y51" s="61" t="n">
        <f aca="false">Y50*Assumptions!$F$59</f>
        <v>22644.2210377631</v>
      </c>
      <c r="Z51" s="61" t="n">
        <f aca="false">Z50*Assumptions!$F$59</f>
        <v>24069.6075611372</v>
      </c>
      <c r="AA51" s="61" t="n">
        <f aca="false">AA50*Assumptions!$F$59</f>
        <v>25546.1647045665</v>
      </c>
      <c r="AB51" s="61" t="n">
        <f aca="false">AB50*Assumptions!$F$59</f>
        <v>27076.5059626038</v>
      </c>
      <c r="AC51" s="61" t="n">
        <f aca="false">AC50*Assumptions!$F$59</f>
        <v>28663.5638383678</v>
      </c>
      <c r="AD51" s="61" t="n">
        <f aca="false">AD50*Assumptions!$F$59</f>
        <v>30310.6335324016</v>
      </c>
      <c r="AE51" s="61" t="n">
        <f aca="false">AE50*Assumptions!$F$59</f>
        <v>32021.4200000357</v>
      </c>
      <c r="AF51" s="61" t="n">
        <f aca="false">AF50*Assumptions!$F$59</f>
        <v>33800.0894776191</v>
      </c>
      <c r="AG51" s="61" t="n">
        <f aca="false">AG50*Assumptions!$F$59</f>
        <v>35651.3262802261</v>
      </c>
      <c r="AH51" s="61" t="n">
        <f aca="false">AH50*Assumptions!$F$59</f>
        <v>37143.1167136466</v>
      </c>
      <c r="AI51" s="61" t="n">
        <f aca="false">AI50*Assumptions!$F$59</f>
        <v>37702.4831284471</v>
      </c>
      <c r="AJ51" s="61" t="n">
        <f aca="false">AJ50*Assumptions!$F$59</f>
        <v>38103.3984621691</v>
      </c>
      <c r="AK51" s="61" t="n">
        <f aca="false">AK50*Assumptions!$F$59</f>
        <v>38521.2195411933</v>
      </c>
      <c r="AL51" s="61" t="n">
        <f aca="false">AL50*Assumptions!$F$59</f>
        <v>38985.4473547194</v>
      </c>
      <c r="AM51" s="61" t="n">
        <f aca="false">SUM(C51:AL51)</f>
        <v>668876.014841427</v>
      </c>
    </row>
    <row r="52" customFormat="false" ht="15" hidden="false" customHeight="false" outlineLevel="0" collapsed="false">
      <c r="A52" s="10" t="s">
        <v>768</v>
      </c>
      <c r="B52" s="9" t="s">
        <v>49</v>
      </c>
      <c r="C52" s="61" t="n">
        <f aca="false">C51*Assumptions!$F$60*C48</f>
        <v>0</v>
      </c>
      <c r="D52" s="61" t="n">
        <f aca="false">D51*Assumptions!$F$60*D48</f>
        <v>0</v>
      </c>
      <c r="E52" s="61" t="n">
        <f aca="false">E51*Assumptions!$F$60*E48</f>
        <v>0</v>
      </c>
      <c r="F52" s="61" t="n">
        <f aca="false">F51*Assumptions!$F$60*F48</f>
        <v>0</v>
      </c>
      <c r="G52" s="61" t="n">
        <f aca="false">G51*Assumptions!$F$60*G48</f>
        <v>1354.62511206325</v>
      </c>
      <c r="H52" s="61" t="n">
        <f aca="false">H51*Assumptions!$F$60*H48</f>
        <v>1772.5000181679</v>
      </c>
      <c r="I52" s="61" t="n">
        <f aca="false">I51*Assumptions!$F$60*I48</f>
        <v>2154.96843592061</v>
      </c>
      <c r="J52" s="61" t="n">
        <f aca="false">J51*Assumptions!$F$60*J48</f>
        <v>2550.57659286116</v>
      </c>
      <c r="K52" s="61" t="n">
        <f aca="false">K51*Assumptions!$F$60*K48</f>
        <v>2979.14299550603</v>
      </c>
      <c r="L52" s="61" t="n">
        <f aca="false">L51*Assumptions!$F$60*L48</f>
        <v>3449.55925477541</v>
      </c>
      <c r="M52" s="61" t="n">
        <f aca="false">M51*Assumptions!$F$60*M48</f>
        <v>3967.78132291084</v>
      </c>
      <c r="N52" s="61" t="n">
        <f aca="false">N51*Assumptions!$F$60*N48</f>
        <v>4539.02186203257</v>
      </c>
      <c r="O52" s="61" t="n">
        <f aca="false">O51*Assumptions!$F$60*O48</f>
        <v>5168.42587808269</v>
      </c>
      <c r="P52" s="61" t="n">
        <f aca="false">P51*Assumptions!$F$60*P48</f>
        <v>5861.32331364588</v>
      </c>
      <c r="Q52" s="61" t="n">
        <f aca="false">Q51*Assumptions!$F$60*Q48</f>
        <v>6623.35387025568</v>
      </c>
      <c r="R52" s="61" t="n">
        <f aca="false">R51*Assumptions!$F$60*R48</f>
        <v>7460.54868990572</v>
      </c>
      <c r="S52" s="61" t="n">
        <f aca="false">S51*Assumptions!$F$60*S48</f>
        <v>8379.39625177375</v>
      </c>
      <c r="T52" s="61" t="n">
        <f aca="false">T51*Assumptions!$F$60*T48</f>
        <v>9127.59615872635</v>
      </c>
      <c r="U52" s="61" t="n">
        <f aca="false">U51*Assumptions!$F$60*U48</f>
        <v>9805.39016909459</v>
      </c>
      <c r="V52" s="61" t="n">
        <f aca="false">V51*Assumptions!$F$60*V48</f>
        <v>10505.219807272</v>
      </c>
      <c r="W52" s="61" t="n">
        <f aca="false">W51*Assumptions!$F$60*W48</f>
        <v>11228.9887174703</v>
      </c>
      <c r="X52" s="61" t="n">
        <f aca="false">X51*Assumptions!$F$60*X48</f>
        <v>11977.9504908856</v>
      </c>
      <c r="Y52" s="61" t="n">
        <f aca="false">Y51*Assumptions!$F$60*Y48</f>
        <v>12753.2252884682</v>
      </c>
      <c r="Z52" s="61" t="n">
        <f aca="false">Z51*Assumptions!$F$60*Z48</f>
        <v>13556.0029784324</v>
      </c>
      <c r="AA52" s="61" t="n">
        <f aca="false">AA51*Assumptions!$F$60*AA48</f>
        <v>14387.5999616118</v>
      </c>
      <c r="AB52" s="61" t="n">
        <f aca="false">AB51*Assumptions!$F$60*AB48</f>
        <v>15249.4881581385</v>
      </c>
      <c r="AC52" s="61" t="n">
        <f aca="false">AC51*Assumptions!$F$60*AC48</f>
        <v>16143.3191537688</v>
      </c>
      <c r="AD52" s="61" t="n">
        <f aca="false">AD51*Assumptions!$F$60*AD48</f>
        <v>17070.9488054486</v>
      </c>
      <c r="AE52" s="61" t="n">
        <f aca="false">AE51*Assumptions!$F$60*AE48</f>
        <v>18034.4637440201</v>
      </c>
      <c r="AF52" s="61" t="n">
        <f aca="false">AF51*Assumptions!$F$60*AF48</f>
        <v>19036.2103937951</v>
      </c>
      <c r="AG52" s="61" t="n">
        <f aca="false">AG51*Assumptions!$F$60*AG48</f>
        <v>20078.8269610233</v>
      </c>
      <c r="AH52" s="61" t="n">
        <f aca="false">AH51*Assumptions!$F$60*AH48</f>
        <v>20919.0033331257</v>
      </c>
      <c r="AI52" s="61" t="n">
        <f aca="false">AI51*Assumptions!$F$60*AI48</f>
        <v>21234.0384979414</v>
      </c>
      <c r="AJ52" s="61" t="n">
        <f aca="false">AJ51*Assumptions!$F$60*AJ48</f>
        <v>21459.8340138936</v>
      </c>
      <c r="AK52" s="61" t="n">
        <f aca="false">AK51*Assumptions!$F$60*AK48</f>
        <v>21695.1508456001</v>
      </c>
      <c r="AL52" s="61" t="n">
        <f aca="false">AL51*Assumptions!$F$60*AL48</f>
        <v>21956.603950178</v>
      </c>
      <c r="AM52" s="61" t="n">
        <f aca="false">SUM(C52:AL52)</f>
        <v>362481.085026796</v>
      </c>
    </row>
    <row r="53" customFormat="false" ht="15" hidden="false" customHeight="false" outlineLevel="0" collapsed="false">
      <c r="A53" s="10" t="s">
        <v>769</v>
      </c>
      <c r="B53" s="9" t="s">
        <v>49</v>
      </c>
      <c r="C53" s="61" t="n">
        <f aca="false">C52*Assumptions!$F$64</f>
        <v>0</v>
      </c>
      <c r="D53" s="61" t="n">
        <f aca="false">D52*Assumptions!$F$64</f>
        <v>0</v>
      </c>
      <c r="E53" s="61" t="n">
        <f aca="false">E52*Assumptions!$F$64</f>
        <v>0</v>
      </c>
      <c r="F53" s="61" t="n">
        <f aca="false">F52*Assumptions!$F$64</f>
        <v>0</v>
      </c>
      <c r="G53" s="61" t="n">
        <f aca="false">G52*Assumptions!$F$64</f>
        <v>839.867569479213</v>
      </c>
      <c r="H53" s="61" t="n">
        <f aca="false">H52*Assumptions!$F$64</f>
        <v>1098.9500112641</v>
      </c>
      <c r="I53" s="61" t="n">
        <f aca="false">I52*Assumptions!$F$64</f>
        <v>1336.08043027078</v>
      </c>
      <c r="J53" s="61" t="n">
        <f aca="false">J52*Assumptions!$F$64</f>
        <v>1581.35748757392</v>
      </c>
      <c r="K53" s="61" t="n">
        <f aca="false">K52*Assumptions!$F$64</f>
        <v>1847.06865721374</v>
      </c>
      <c r="L53" s="61" t="n">
        <f aca="false">L52*Assumptions!$F$64</f>
        <v>2138.72673796075</v>
      </c>
      <c r="M53" s="61" t="n">
        <f aca="false">M52*Assumptions!$F$64</f>
        <v>2460.02442020472</v>
      </c>
      <c r="N53" s="61" t="n">
        <f aca="false">N52*Assumptions!$F$64</f>
        <v>2814.19355446019</v>
      </c>
      <c r="O53" s="61" t="n">
        <f aca="false">O52*Assumptions!$F$64</f>
        <v>3204.42404441127</v>
      </c>
      <c r="P53" s="61" t="n">
        <f aca="false">P52*Assumptions!$F$64</f>
        <v>3634.02045446044</v>
      </c>
      <c r="Q53" s="61" t="n">
        <f aca="false">Q52*Assumptions!$F$64</f>
        <v>4106.47939955852</v>
      </c>
      <c r="R53" s="61" t="n">
        <f aca="false">R52*Assumptions!$F$64</f>
        <v>4625.54018774155</v>
      </c>
      <c r="S53" s="61" t="n">
        <f aca="false">S52*Assumptions!$F$64</f>
        <v>5195.22567609972</v>
      </c>
      <c r="T53" s="61" t="n">
        <f aca="false">T52*Assumptions!$F$64</f>
        <v>5659.10961841034</v>
      </c>
      <c r="U53" s="61" t="n">
        <f aca="false">U52*Assumptions!$F$64</f>
        <v>6079.34190483865</v>
      </c>
      <c r="V53" s="61" t="n">
        <f aca="false">V52*Assumptions!$F$64</f>
        <v>6513.23628050863</v>
      </c>
      <c r="W53" s="61" t="n">
        <f aca="false">W52*Assumptions!$F$64</f>
        <v>6961.97300483159</v>
      </c>
      <c r="X53" s="61" t="n">
        <f aca="false">X52*Assumptions!$F$64</f>
        <v>7426.3293043491</v>
      </c>
      <c r="Y53" s="61" t="n">
        <f aca="false">Y52*Assumptions!$F$64</f>
        <v>7906.99967885028</v>
      </c>
      <c r="Z53" s="61" t="n">
        <f aca="false">Z52*Assumptions!$F$64</f>
        <v>8404.72184662812</v>
      </c>
      <c r="AA53" s="61" t="n">
        <f aca="false">AA52*Assumptions!$F$64</f>
        <v>8920.31197619934</v>
      </c>
      <c r="AB53" s="61" t="n">
        <f aca="false">AB52*Assumptions!$F$64</f>
        <v>9454.68265804584</v>
      </c>
      <c r="AC53" s="61" t="n">
        <f aca="false">AC52*Assumptions!$F$64</f>
        <v>10008.8578753366</v>
      </c>
      <c r="AD53" s="61" t="n">
        <f aca="false">AD52*Assumptions!$F$64</f>
        <v>10583.9882593781</v>
      </c>
      <c r="AE53" s="61" t="n">
        <f aca="false">AE52*Assumptions!$F$64</f>
        <v>11181.3675212925</v>
      </c>
      <c r="AF53" s="61" t="n">
        <f aca="false">AF52*Assumptions!$F$64</f>
        <v>11802.450444153</v>
      </c>
      <c r="AG53" s="61" t="n">
        <f aca="false">AG52*Assumptions!$F$64</f>
        <v>12448.8727158345</v>
      </c>
      <c r="AH53" s="61" t="n">
        <f aca="false">AH52*Assumptions!$F$64</f>
        <v>12969.782066538</v>
      </c>
      <c r="AI53" s="61" t="n">
        <f aca="false">AI52*Assumptions!$F$64</f>
        <v>13165.1038687237</v>
      </c>
      <c r="AJ53" s="61" t="n">
        <f aca="false">AJ52*Assumptions!$F$64</f>
        <v>13305.097088614</v>
      </c>
      <c r="AK53" s="61" t="n">
        <f aca="false">AK52*Assumptions!$F$64</f>
        <v>13450.9935242721</v>
      </c>
      <c r="AL53" s="61" t="n">
        <f aca="false">AL52*Assumptions!$F$64</f>
        <v>13613.0944491103</v>
      </c>
      <c r="AM53" s="61" t="n">
        <f aca="false">SUM(C53:AL53)</f>
        <v>224738.272716614</v>
      </c>
    </row>
    <row r="54" customFormat="false" ht="15" hidden="false" customHeight="false" outlineLevel="0" collapsed="false">
      <c r="A54" s="10" t="s">
        <v>770</v>
      </c>
      <c r="B54" s="9" t="s">
        <v>49</v>
      </c>
      <c r="C54" s="61" t="n">
        <f aca="false">C53*Assumptions!$F$65</f>
        <v>0</v>
      </c>
      <c r="D54" s="61" t="n">
        <f aca="false">D53*Assumptions!$F$65</f>
        <v>0</v>
      </c>
      <c r="E54" s="61" t="n">
        <f aca="false">E53*Assumptions!$F$65</f>
        <v>0</v>
      </c>
      <c r="F54" s="61" t="n">
        <f aca="false">F53*Assumptions!$F$65</f>
        <v>0</v>
      </c>
      <c r="G54" s="61" t="n">
        <f aca="false">G53*Assumptions!$F$65</f>
        <v>739.083461141708</v>
      </c>
      <c r="H54" s="61" t="n">
        <f aca="false">H53*Assumptions!$F$65</f>
        <v>967.076009912406</v>
      </c>
      <c r="I54" s="61" t="n">
        <f aca="false">I53*Assumptions!$F$65</f>
        <v>1175.75077863829</v>
      </c>
      <c r="J54" s="61" t="n">
        <f aca="false">J53*Assumptions!$F$65</f>
        <v>1391.59458906505</v>
      </c>
      <c r="K54" s="61" t="n">
        <f aca="false">K53*Assumptions!$F$65</f>
        <v>1625.42041834809</v>
      </c>
      <c r="L54" s="61" t="n">
        <f aca="false">L53*Assumptions!$F$65</f>
        <v>1882.07952940546</v>
      </c>
      <c r="M54" s="61" t="n">
        <f aca="false">M53*Assumptions!$F$65</f>
        <v>2164.82148978015</v>
      </c>
      <c r="N54" s="61" t="n">
        <f aca="false">N53*Assumptions!$F$65</f>
        <v>2476.49032792497</v>
      </c>
      <c r="O54" s="61" t="n">
        <f aca="false">O53*Assumptions!$F$65</f>
        <v>2819.89315908192</v>
      </c>
      <c r="P54" s="61" t="n">
        <f aca="false">P53*Assumptions!$F$65</f>
        <v>3197.93799992519</v>
      </c>
      <c r="Q54" s="61" t="n">
        <f aca="false">Q53*Assumptions!$F$65</f>
        <v>3613.7018716115</v>
      </c>
      <c r="R54" s="61" t="n">
        <f aca="false">R53*Assumptions!$F$65</f>
        <v>4070.47536521256</v>
      </c>
      <c r="S54" s="61" t="n">
        <f aca="false">S53*Assumptions!$F$65</f>
        <v>4571.79859496776</v>
      </c>
      <c r="T54" s="61" t="n">
        <f aca="false">T53*Assumptions!$F$65</f>
        <v>4980.0164642011</v>
      </c>
      <c r="U54" s="61" t="n">
        <f aca="false">U53*Assumptions!$F$65</f>
        <v>5349.82087625801</v>
      </c>
      <c r="V54" s="61" t="n">
        <f aca="false">V53*Assumptions!$F$65</f>
        <v>5731.6479268476</v>
      </c>
      <c r="W54" s="61" t="n">
        <f aca="false">W53*Assumptions!$F$65</f>
        <v>6126.5362442518</v>
      </c>
      <c r="X54" s="61" t="n">
        <f aca="false">X53*Assumptions!$F$65</f>
        <v>6535.1697878272</v>
      </c>
      <c r="Y54" s="61" t="n">
        <f aca="false">Y53*Assumptions!$F$65</f>
        <v>6958.15971738825</v>
      </c>
      <c r="Z54" s="61" t="n">
        <f aca="false">Z53*Assumptions!$F$65</f>
        <v>7396.15522503274</v>
      </c>
      <c r="AA54" s="61" t="n">
        <f aca="false">AA53*Assumptions!$F$65</f>
        <v>7849.87453905542</v>
      </c>
      <c r="AB54" s="61" t="n">
        <f aca="false">AB53*Assumptions!$F$65</f>
        <v>8320.12073908034</v>
      </c>
      <c r="AC54" s="61" t="n">
        <f aca="false">AC53*Assumptions!$F$65</f>
        <v>8807.79493029623</v>
      </c>
      <c r="AD54" s="61" t="n">
        <f aca="false">AD53*Assumptions!$F$65</f>
        <v>9313.90966825275</v>
      </c>
      <c r="AE54" s="61" t="n">
        <f aca="false">AE53*Assumptions!$F$65</f>
        <v>9839.60341873738</v>
      </c>
      <c r="AF54" s="61" t="n">
        <f aca="false">AF53*Assumptions!$F$65</f>
        <v>10386.1563908546</v>
      </c>
      <c r="AG54" s="61" t="n">
        <f aca="false">AG53*Assumptions!$F$65</f>
        <v>10955.0079899343</v>
      </c>
      <c r="AH54" s="61" t="n">
        <f aca="false">AH53*Assumptions!$F$65</f>
        <v>11413.4082185534</v>
      </c>
      <c r="AI54" s="61" t="n">
        <f aca="false">AI53*Assumptions!$F$65</f>
        <v>11585.2914044768</v>
      </c>
      <c r="AJ54" s="61" t="n">
        <f aca="false">AJ53*Assumptions!$F$65</f>
        <v>11708.4854379804</v>
      </c>
      <c r="AK54" s="61" t="n">
        <f aca="false">AK53*Assumptions!$F$65</f>
        <v>11836.8743013594</v>
      </c>
      <c r="AL54" s="61" t="n">
        <f aca="false">AL53*Assumptions!$F$65</f>
        <v>11979.5231152171</v>
      </c>
      <c r="AM54" s="61" t="n">
        <f aca="false">SUM(C54:AL54)</f>
        <v>197769.67999062</v>
      </c>
    </row>
    <row r="55" customFormat="false" ht="15" hidden="false" customHeight="false" outlineLevel="0" collapsed="false">
      <c r="A55" s="10" t="s">
        <v>771</v>
      </c>
      <c r="B55" s="9" t="s">
        <v>49</v>
      </c>
      <c r="C55" s="61" t="n">
        <f aca="false">C54*Assumptions!$F$66</f>
        <v>0</v>
      </c>
      <c r="D55" s="61" t="n">
        <f aca="false">D54*Assumptions!$F$66</f>
        <v>0</v>
      </c>
      <c r="E55" s="61" t="n">
        <f aca="false">E54*Assumptions!$F$66</f>
        <v>0</v>
      </c>
      <c r="F55" s="61" t="n">
        <f aca="false">F54*Assumptions!$F$66</f>
        <v>0</v>
      </c>
      <c r="G55" s="61" t="n">
        <f aca="false">G54*Assumptions!$F$66</f>
        <v>502.576753576361</v>
      </c>
      <c r="H55" s="61" t="n">
        <f aca="false">H54*Assumptions!$F$66</f>
        <v>657.611686740436</v>
      </c>
      <c r="I55" s="61" t="n">
        <f aca="false">I54*Assumptions!$F$66</f>
        <v>799.510529474034</v>
      </c>
      <c r="J55" s="61" t="n">
        <f aca="false">J54*Assumptions!$F$66</f>
        <v>946.284320564232</v>
      </c>
      <c r="K55" s="61" t="n">
        <f aca="false">K54*Assumptions!$F$66</f>
        <v>1105.2858844767</v>
      </c>
      <c r="L55" s="61" t="n">
        <f aca="false">L54*Assumptions!$F$66</f>
        <v>1279.81407999571</v>
      </c>
      <c r="M55" s="61" t="n">
        <f aca="false">M54*Assumptions!$F$66</f>
        <v>1472.0786130505</v>
      </c>
      <c r="N55" s="61" t="n">
        <f aca="false">N54*Assumptions!$F$66</f>
        <v>1684.01342298898</v>
      </c>
      <c r="O55" s="61" t="n">
        <f aca="false">O54*Assumptions!$F$66</f>
        <v>1917.5273481757</v>
      </c>
      <c r="P55" s="61" t="n">
        <f aca="false">P54*Assumptions!$F$66</f>
        <v>2174.59783994913</v>
      </c>
      <c r="Q55" s="61" t="n">
        <f aca="false">Q54*Assumptions!$F$66</f>
        <v>2457.31727269582</v>
      </c>
      <c r="R55" s="61" t="n">
        <f aca="false">R54*Assumptions!$F$66</f>
        <v>2767.92324834454</v>
      </c>
      <c r="S55" s="61" t="n">
        <f aca="false">S54*Assumptions!$F$66</f>
        <v>3108.82304457807</v>
      </c>
      <c r="T55" s="61" t="n">
        <f aca="false">T54*Assumptions!$F$66</f>
        <v>3386.41119565675</v>
      </c>
      <c r="U55" s="61" t="n">
        <f aca="false">U54*Assumptions!$F$66</f>
        <v>3637.87819585545</v>
      </c>
      <c r="V55" s="61" t="n">
        <f aca="false">V54*Assumptions!$F$66</f>
        <v>3897.52059025637</v>
      </c>
      <c r="W55" s="61" t="n">
        <f aca="false">W54*Assumptions!$F$66</f>
        <v>4166.04464609122</v>
      </c>
      <c r="X55" s="61" t="n">
        <f aca="false">X54*Assumptions!$F$66</f>
        <v>4443.9154557225</v>
      </c>
      <c r="Y55" s="61" t="n">
        <f aca="false">Y54*Assumptions!$F$66</f>
        <v>4731.54860782401</v>
      </c>
      <c r="Z55" s="61" t="n">
        <f aca="false">Z54*Assumptions!$F$66</f>
        <v>5029.38555302227</v>
      </c>
      <c r="AA55" s="61" t="n">
        <f aca="false">AA54*Assumptions!$F$66</f>
        <v>5337.91468655768</v>
      </c>
      <c r="AB55" s="61" t="n">
        <f aca="false">AB54*Assumptions!$F$66</f>
        <v>5657.68210257463</v>
      </c>
      <c r="AC55" s="61" t="n">
        <f aca="false">AC54*Assumptions!$F$66</f>
        <v>5989.30055260144</v>
      </c>
      <c r="AD55" s="61" t="n">
        <f aca="false">AD54*Assumptions!$F$66</f>
        <v>6333.45857441187</v>
      </c>
      <c r="AE55" s="61" t="n">
        <f aca="false">AE54*Assumptions!$F$66</f>
        <v>6690.93032474142</v>
      </c>
      <c r="AF55" s="61" t="n">
        <f aca="false">AF54*Assumptions!$F$66</f>
        <v>7062.58634578113</v>
      </c>
      <c r="AG55" s="61" t="n">
        <f aca="false">AG54*Assumptions!$F$66</f>
        <v>7449.40543315535</v>
      </c>
      <c r="AH55" s="61" t="n">
        <f aca="false">AH54*Assumptions!$F$66</f>
        <v>7761.11758861632</v>
      </c>
      <c r="AI55" s="61" t="n">
        <f aca="false">AI54*Assumptions!$F$66</f>
        <v>7877.99815504424</v>
      </c>
      <c r="AJ55" s="61" t="n">
        <f aca="false">AJ54*Assumptions!$F$66</f>
        <v>7961.77009782665</v>
      </c>
      <c r="AK55" s="61" t="n">
        <f aca="false">AK54*Assumptions!$F$66</f>
        <v>8049.0745249244</v>
      </c>
      <c r="AL55" s="61" t="n">
        <f aca="false">AL54*Assumptions!$F$66</f>
        <v>8146.07571834762</v>
      </c>
      <c r="AM55" s="61" t="n">
        <f aca="false">SUM(C55:AL55)</f>
        <v>134483.382393622</v>
      </c>
    </row>
    <row r="56" customFormat="false" ht="15" hidden="false" customHeight="false" outlineLevel="0" collapsed="false">
      <c r="A56" s="10" t="s">
        <v>772</v>
      </c>
      <c r="B56" s="9" t="s">
        <v>49</v>
      </c>
      <c r="C56" s="61" t="n">
        <f aca="false">C55*Assumptions!$F$67</f>
        <v>0</v>
      </c>
      <c r="D56" s="61" t="n">
        <f aca="false">D55*Assumptions!$F$67</f>
        <v>0</v>
      </c>
      <c r="E56" s="61" t="n">
        <f aca="false">E55*Assumptions!$F$67</f>
        <v>0</v>
      </c>
      <c r="F56" s="61" t="n">
        <f aca="false">F55*Assumptions!$F$67</f>
        <v>0</v>
      </c>
      <c r="G56" s="61" t="n">
        <f aca="false">G55*Assumptions!$F$67</f>
        <v>351.803727503453</v>
      </c>
      <c r="H56" s="61" t="n">
        <f aca="false">H55*Assumptions!$F$67</f>
        <v>460.328180718305</v>
      </c>
      <c r="I56" s="61" t="n">
        <f aca="false">I55*Assumptions!$F$67</f>
        <v>559.657370631824</v>
      </c>
      <c r="J56" s="61" t="n">
        <f aca="false">J55*Assumptions!$F$67</f>
        <v>662.399024394962</v>
      </c>
      <c r="K56" s="61" t="n">
        <f aca="false">K55*Assumptions!$F$67</f>
        <v>773.70011913369</v>
      </c>
      <c r="L56" s="61" t="n">
        <f aca="false">L55*Assumptions!$F$67</f>
        <v>895.869855997</v>
      </c>
      <c r="M56" s="61" t="n">
        <f aca="false">M55*Assumptions!$F$67</f>
        <v>1030.45502913535</v>
      </c>
      <c r="N56" s="61" t="n">
        <f aca="false">N55*Assumptions!$F$67</f>
        <v>1178.80939609229</v>
      </c>
      <c r="O56" s="61" t="n">
        <f aca="false">O55*Assumptions!$F$67</f>
        <v>1342.26914372299</v>
      </c>
      <c r="P56" s="61" t="n">
        <f aca="false">P55*Assumptions!$F$67</f>
        <v>1522.21848796439</v>
      </c>
      <c r="Q56" s="61" t="n">
        <f aca="false">Q55*Assumptions!$F$67</f>
        <v>1720.12209088707</v>
      </c>
      <c r="R56" s="61" t="n">
        <f aca="false">R55*Assumptions!$F$67</f>
        <v>1937.54627384118</v>
      </c>
      <c r="S56" s="61" t="n">
        <f aca="false">S55*Assumptions!$F$67</f>
        <v>2176.17613120465</v>
      </c>
      <c r="T56" s="61" t="n">
        <f aca="false">T55*Assumptions!$F$67</f>
        <v>2370.48783695972</v>
      </c>
      <c r="U56" s="61" t="n">
        <f aca="false">U55*Assumptions!$F$67</f>
        <v>2546.51473709881</v>
      </c>
      <c r="V56" s="61" t="n">
        <f aca="false">V55*Assumptions!$F$67</f>
        <v>2728.26441317946</v>
      </c>
      <c r="W56" s="61" t="n">
        <f aca="false">W55*Assumptions!$F$67</f>
        <v>2916.23125226386</v>
      </c>
      <c r="X56" s="61" t="n">
        <f aca="false">X55*Assumptions!$F$67</f>
        <v>3110.74081900575</v>
      </c>
      <c r="Y56" s="61" t="n">
        <f aca="false">Y55*Assumptions!$F$67</f>
        <v>3312.0840254768</v>
      </c>
      <c r="Z56" s="61" t="n">
        <f aca="false">Z55*Assumptions!$F$67</f>
        <v>3520.56988711559</v>
      </c>
      <c r="AA56" s="61" t="n">
        <f aca="false">AA55*Assumptions!$F$67</f>
        <v>3736.54028059038</v>
      </c>
      <c r="AB56" s="61" t="n">
        <f aca="false">AB55*Assumptions!$F$67</f>
        <v>3960.37747180224</v>
      </c>
      <c r="AC56" s="61" t="n">
        <f aca="false">AC55*Assumptions!$F$67</f>
        <v>4192.51038682101</v>
      </c>
      <c r="AD56" s="61" t="n">
        <f aca="false">AD55*Assumptions!$F$67</f>
        <v>4433.42100208831</v>
      </c>
      <c r="AE56" s="61" t="n">
        <f aca="false">AE55*Assumptions!$F$67</f>
        <v>4683.65122731899</v>
      </c>
      <c r="AF56" s="61" t="n">
        <f aca="false">AF55*Assumptions!$F$67</f>
        <v>4943.81044204679</v>
      </c>
      <c r="AG56" s="61" t="n">
        <f aca="false">AG55*Assumptions!$F$67</f>
        <v>5214.58380320874</v>
      </c>
      <c r="AH56" s="61" t="n">
        <f aca="false">AH55*Assumptions!$F$67</f>
        <v>5432.78231203142</v>
      </c>
      <c r="AI56" s="61" t="n">
        <f aca="false">AI55*Assumptions!$F$67</f>
        <v>5514.59870853097</v>
      </c>
      <c r="AJ56" s="61" t="n">
        <f aca="false">AJ55*Assumptions!$F$67</f>
        <v>5573.23906847865</v>
      </c>
      <c r="AK56" s="61" t="n">
        <f aca="false">AK55*Assumptions!$F$67</f>
        <v>5634.35216744708</v>
      </c>
      <c r="AL56" s="61" t="n">
        <f aca="false">AL55*Assumptions!$F$67</f>
        <v>5702.25300284333</v>
      </c>
      <c r="AM56" s="61" t="n">
        <f aca="false">SUM(C56:AL56)</f>
        <v>94138.3676755351</v>
      </c>
    </row>
    <row r="57" customFormat="false" ht="15" hidden="false" customHeight="false" outlineLevel="0" collapsed="false">
      <c r="A57" s="38" t="s">
        <v>773</v>
      </c>
      <c r="B57" s="9" t="s">
        <v>49</v>
      </c>
      <c r="C57" s="71" t="n">
        <f aca="false">C56</f>
        <v>0</v>
      </c>
      <c r="D57" s="71" t="n">
        <f aca="false">C57*(1-Assumptions!$F$68)+D56</f>
        <v>0</v>
      </c>
      <c r="E57" s="71" t="n">
        <f aca="false">D57*(1-Assumptions!$F$68)+E56</f>
        <v>0</v>
      </c>
      <c r="F57" s="71" t="n">
        <f aca="false">E57*(1-Assumptions!$F$68)+F56</f>
        <v>0</v>
      </c>
      <c r="G57" s="71" t="n">
        <f aca="false">F57*(1-Assumptions!$F$68)+G56</f>
        <v>351.803727503453</v>
      </c>
      <c r="H57" s="71" t="n">
        <f aca="false">G57*(1-Assumptions!$F$68)+H56</f>
        <v>778.71055410893</v>
      </c>
      <c r="I57" s="71" t="n">
        <f aca="false">H57*(1-Assumptions!$F$68)+I56</f>
        <v>1264.39042210041</v>
      </c>
      <c r="J57" s="71" t="n">
        <f aca="false">I57*(1-Assumptions!$F$68)+J56</f>
        <v>1806.67235639583</v>
      </c>
      <c r="K57" s="71" t="n">
        <f aca="false">J57*(1-Assumptions!$F$68)+K56</f>
        <v>2408.73860167192</v>
      </c>
      <c r="L57" s="71" t="n">
        <f aca="false">K57*(1-Assumptions!$F$68)+L56</f>
        <v>3075.77829051008</v>
      </c>
      <c r="M57" s="71" t="n">
        <f aca="false">L57*(1-Assumptions!$F$68)+M56</f>
        <v>3814.03438204698</v>
      </c>
      <c r="N57" s="71" t="n">
        <f aca="false">M57*(1-Assumptions!$F$68)+N56</f>
        <v>4630.5105118448</v>
      </c>
      <c r="O57" s="71" t="n">
        <f aca="false">N57*(1-Assumptions!$F$68)+O56</f>
        <v>5532.88115694254</v>
      </c>
      <c r="P57" s="71" t="n">
        <f aca="false">O57*(1-Assumptions!$F$68)+P56</f>
        <v>6529.47593499739</v>
      </c>
      <c r="Q57" s="71" t="n">
        <f aca="false">P57*(1-Assumptions!$F$68)+Q56</f>
        <v>7629.29781205971</v>
      </c>
      <c r="R57" s="71" t="n">
        <f aca="false">Q57*(1-Assumptions!$F$68)+R56</f>
        <v>8842.06079375522</v>
      </c>
      <c r="S57" s="71" t="n">
        <f aca="false">R57*(1-Assumptions!$F$68)+S56</f>
        <v>10178.2411495531</v>
      </c>
      <c r="T57" s="71" t="n">
        <f aca="false">S57*(1-Assumptions!$F$68)+T56</f>
        <v>11581.7960773053</v>
      </c>
      <c r="U57" s="71" t="n">
        <f aca="false">T57*(1-Assumptions!$F$68)+U56</f>
        <v>13028.0401870601</v>
      </c>
      <c r="V57" s="71" t="n">
        <f aca="false">U57*(1-Assumptions!$F$68)+V56</f>
        <v>14518.6407824689</v>
      </c>
      <c r="W57" s="71" t="n">
        <f aca="false">V57*(1-Assumptions!$F$68)+W56</f>
        <v>16055.6011603982</v>
      </c>
      <c r="X57" s="71" t="n">
        <f aca="false">W57*(1-Assumptions!$F$68)+X56</f>
        <v>17641.0598691661</v>
      </c>
      <c r="Y57" s="71" t="n">
        <f aca="false">X57*(1-Assumptions!$F$68)+Y56</f>
        <v>19277.2432070721</v>
      </c>
      <c r="Z57" s="71" t="n">
        <f aca="false">Y57*(1-Assumptions!$F$68)+Z56</f>
        <v>20966.4749895159</v>
      </c>
      <c r="AA57" s="71" t="n">
        <f aca="false">Z57*(1-Assumptions!$F$68)+AA56</f>
        <v>22711.2001461022</v>
      </c>
      <c r="AB57" s="71" t="n">
        <f aca="false">AA57*(1-Assumptions!$F$68)+AB56</f>
        <v>24514.0136040248</v>
      </c>
      <c r="AC57" s="71" t="n">
        <f aca="false">AB57*(1-Assumptions!$F$68)+AC56</f>
        <v>26377.6926984634</v>
      </c>
      <c r="AD57" s="71" t="n">
        <f aca="false">AC57*(1-Assumptions!$F$68)+AD56</f>
        <v>28305.2328941977</v>
      </c>
      <c r="AE57" s="71" t="n">
        <f aca="false">AD57*(1-Assumptions!$F$68)+AE56</f>
        <v>30299.8869965679</v>
      </c>
      <c r="AF57" s="71" t="n">
        <f aca="false">AE57*(1-Assumptions!$F$68)+AF56</f>
        <v>32365.2081739408</v>
      </c>
      <c r="AG57" s="71" t="n">
        <f aca="false">AF57*(1-Assumptions!$F$68)+AG56</f>
        <v>34505.0972006251</v>
      </c>
      <c r="AH57" s="71" t="n">
        <f aca="false">AG57*(1-Assumptions!$F$68)+AH56</f>
        <v>36659.8952785972</v>
      </c>
      <c r="AI57" s="71" t="n">
        <f aca="false">AH57*(1-Assumptions!$F$68)+AI56</f>
        <v>38691.8039356614</v>
      </c>
      <c r="AJ57" s="71" t="n">
        <f aca="false">AI57*(1-Assumptions!$F$68)+AJ56</f>
        <v>40589.3216302522</v>
      </c>
      <c r="AK57" s="71" t="n">
        <f aca="false">AJ57*(1-Assumptions!$F$68)+AK56</f>
        <v>42367.6882428253</v>
      </c>
      <c r="AL57" s="71" t="n">
        <f aca="false">AK57*(1-Assumptions!$F$68)+AL56</f>
        <v>44045.0108626003</v>
      </c>
      <c r="AM57" s="71" t="n">
        <f aca="false">AL57</f>
        <v>44045.0108626003</v>
      </c>
    </row>
    <row r="58" customFormat="false" ht="15" hidden="false" customHeight="false" outlineLevel="0" collapsed="false">
      <c r="A58" s="10" t="s">
        <v>774</v>
      </c>
      <c r="B58" s="9" t="s">
        <v>49</v>
      </c>
      <c r="C58" s="61" t="n">
        <f aca="false">0</f>
        <v>0</v>
      </c>
      <c r="D58" s="61" t="n">
        <f aca="false">C57*Assumptions!$F$68</f>
        <v>0</v>
      </c>
      <c r="E58" s="61" t="n">
        <f aca="false">D57*Assumptions!$F$68</f>
        <v>0</v>
      </c>
      <c r="F58" s="61" t="n">
        <f aca="false">E57*Assumptions!$F$68</f>
        <v>0</v>
      </c>
      <c r="G58" s="61" t="n">
        <f aca="false">F57*Assumptions!$F$68</f>
        <v>0</v>
      </c>
      <c r="H58" s="61" t="n">
        <f aca="false">G57*Assumptions!$F$68</f>
        <v>33.421354112828</v>
      </c>
      <c r="I58" s="61" t="n">
        <f aca="false">H57*Assumptions!$F$68</f>
        <v>73.9775026403484</v>
      </c>
      <c r="J58" s="61" t="n">
        <f aca="false">I57*Assumptions!$F$68</f>
        <v>120.117090099539</v>
      </c>
      <c r="K58" s="61" t="n">
        <f aca="false">J57*Assumptions!$F$68</f>
        <v>171.633873857604</v>
      </c>
      <c r="L58" s="61" t="n">
        <f aca="false">K57*Assumptions!$F$68</f>
        <v>228.830167158832</v>
      </c>
      <c r="M58" s="61" t="n">
        <f aca="false">L57*Assumptions!$F$68</f>
        <v>292.198937598458</v>
      </c>
      <c r="N58" s="61" t="n">
        <f aca="false">M57*Assumptions!$F$68</f>
        <v>362.333266294463</v>
      </c>
      <c r="O58" s="61" t="n">
        <f aca="false">N57*Assumptions!$F$68</f>
        <v>439.898498625256</v>
      </c>
      <c r="P58" s="61" t="n">
        <f aca="false">O57*Assumptions!$F$68</f>
        <v>525.623709909541</v>
      </c>
      <c r="Q58" s="61" t="n">
        <f aca="false">P57*Assumptions!$F$68</f>
        <v>620.300213824752</v>
      </c>
      <c r="R58" s="61" t="n">
        <f aca="false">Q57*Assumptions!$F$68</f>
        <v>724.783292145673</v>
      </c>
      <c r="S58" s="61" t="n">
        <f aca="false">R57*Assumptions!$F$68</f>
        <v>839.995775406746</v>
      </c>
      <c r="T58" s="61" t="n">
        <f aca="false">S57*Assumptions!$F$68</f>
        <v>966.932909207547</v>
      </c>
      <c r="U58" s="61" t="n">
        <f aca="false">T57*Assumptions!$F$68</f>
        <v>1100.270627344</v>
      </c>
      <c r="V58" s="61" t="n">
        <f aca="false">U57*Assumptions!$F$68</f>
        <v>1237.66381777071</v>
      </c>
      <c r="W58" s="61" t="n">
        <f aca="false">V57*Assumptions!$F$68</f>
        <v>1379.27087433454</v>
      </c>
      <c r="X58" s="61" t="n">
        <f aca="false">W57*Assumptions!$F$68</f>
        <v>1525.28211023783</v>
      </c>
      <c r="Y58" s="61" t="n">
        <f aca="false">X57*Assumptions!$F$68</f>
        <v>1675.90068757078</v>
      </c>
      <c r="Z58" s="61" t="n">
        <f aca="false">Y57*Assumptions!$F$68</f>
        <v>1831.33810467185</v>
      </c>
      <c r="AA58" s="61" t="n">
        <f aca="false">Z57*Assumptions!$F$68</f>
        <v>1991.81512400401</v>
      </c>
      <c r="AB58" s="61" t="n">
        <f aca="false">AA57*Assumptions!$F$68</f>
        <v>2157.56401387971</v>
      </c>
      <c r="AC58" s="61" t="n">
        <f aca="false">AB57*Assumptions!$F$68</f>
        <v>2328.83129238235</v>
      </c>
      <c r="AD58" s="61" t="n">
        <f aca="false">AC57*Assumptions!$F$68</f>
        <v>2505.88080635403</v>
      </c>
      <c r="AE58" s="61" t="n">
        <f aca="false">AD57*Assumptions!$F$68</f>
        <v>2688.99712494878</v>
      </c>
      <c r="AF58" s="61" t="n">
        <f aca="false">AE57*Assumptions!$F$68</f>
        <v>2878.48926467395</v>
      </c>
      <c r="AG58" s="61" t="n">
        <f aca="false">AF57*Assumptions!$F$68</f>
        <v>3074.69477652437</v>
      </c>
      <c r="AH58" s="61" t="n">
        <f aca="false">AG57*Assumptions!$F$68</f>
        <v>3277.98423405939</v>
      </c>
      <c r="AI58" s="61" t="n">
        <f aca="false">AH57*Assumptions!$F$68</f>
        <v>3482.69005146673</v>
      </c>
      <c r="AJ58" s="61" t="n">
        <f aca="false">AI57*Assumptions!$F$68</f>
        <v>3675.72137388783</v>
      </c>
      <c r="AK58" s="61" t="n">
        <f aca="false">AJ57*Assumptions!$F$68</f>
        <v>3855.98555487396</v>
      </c>
      <c r="AL58" s="61" t="n">
        <f aca="false">AK57*Assumptions!$F$68</f>
        <v>4024.93038306841</v>
      </c>
      <c r="AM58" s="61" t="n">
        <f aca="false">SUM(C58:AL58)</f>
        <v>50093.3568129348</v>
      </c>
    </row>
    <row r="59" customFormat="false" ht="15" hidden="false" customHeight="false" outlineLevel="0" collapsed="false">
      <c r="A59" s="10" t="s">
        <v>775</v>
      </c>
      <c r="B59" s="9" t="s">
        <v>95</v>
      </c>
      <c r="C59" s="70" t="n">
        <f aca="false">C57*Assumptions!$F$70</f>
        <v>0</v>
      </c>
      <c r="D59" s="70" t="n">
        <f aca="false">D57*Assumptions!$F$70</f>
        <v>0</v>
      </c>
      <c r="E59" s="70" t="n">
        <f aca="false">E57*Assumptions!$F$70</f>
        <v>0</v>
      </c>
      <c r="F59" s="70" t="n">
        <f aca="false">F57*Assumptions!$F$70</f>
        <v>0</v>
      </c>
      <c r="G59" s="70" t="n">
        <f aca="false">G57*Assumptions!$F$70</f>
        <v>105189.314523532</v>
      </c>
      <c r="H59" s="70" t="n">
        <f aca="false">H57*Assumptions!$F$70</f>
        <v>232834.45567857</v>
      </c>
      <c r="I59" s="70" t="n">
        <f aca="false">I57*Assumptions!$F$70</f>
        <v>378052.736208021</v>
      </c>
      <c r="J59" s="70" t="n">
        <f aca="false">J57*Assumptions!$F$70</f>
        <v>540195.034562353</v>
      </c>
      <c r="K59" s="70" t="n">
        <f aca="false">K57*Assumptions!$F$70</f>
        <v>720212.841899903</v>
      </c>
      <c r="L59" s="70" t="n">
        <f aca="false">L57*Assumptions!$F$70</f>
        <v>919657.708862515</v>
      </c>
      <c r="M59" s="70" t="n">
        <f aca="false">M57*Assumptions!$F$70</f>
        <v>1140396.28023205</v>
      </c>
      <c r="N59" s="70" t="n">
        <f aca="false">N57*Assumptions!$F$70</f>
        <v>1384522.6430416</v>
      </c>
      <c r="O59" s="70" t="n">
        <f aca="false">O57*Assumptions!$F$70</f>
        <v>1654331.46592582</v>
      </c>
      <c r="P59" s="70" t="n">
        <f aca="false">P57*Assumptions!$F$70</f>
        <v>1952313.30456422</v>
      </c>
      <c r="Q59" s="70" t="n">
        <f aca="false">Q57*Assumptions!$F$70</f>
        <v>2281160.04580585</v>
      </c>
      <c r="R59" s="70" t="n">
        <f aca="false">R57*Assumptions!$F$70</f>
        <v>2643776.17733281</v>
      </c>
      <c r="S59" s="70" t="n">
        <f aca="false">S57*Assumptions!$F$70</f>
        <v>3043294.10371638</v>
      </c>
      <c r="T59" s="70" t="n">
        <f aca="false">T57*Assumptions!$F$70</f>
        <v>3462957.02711428</v>
      </c>
      <c r="U59" s="70" t="n">
        <f aca="false">U57*Assumptions!$F$70</f>
        <v>3895384.01593097</v>
      </c>
      <c r="V59" s="70" t="n">
        <f aca="false">V57*Assumptions!$F$70</f>
        <v>4341073.59395819</v>
      </c>
      <c r="W59" s="70" t="n">
        <f aca="false">W57*Assumptions!$F$70</f>
        <v>4800624.74695905</v>
      </c>
      <c r="X59" s="70" t="n">
        <f aca="false">X57*Assumptions!$F$70</f>
        <v>5274676.90088066</v>
      </c>
      <c r="Y59" s="70" t="n">
        <f aca="false">Y57*Assumptions!$F$70</f>
        <v>5763895.71891457</v>
      </c>
      <c r="Z59" s="70" t="n">
        <f aca="false">Z57*Assumptions!$F$70</f>
        <v>6268976.02186524</v>
      </c>
      <c r="AA59" s="70" t="n">
        <f aca="false">AA57*Assumptions!$F$70</f>
        <v>6790648.84368457</v>
      </c>
      <c r="AB59" s="70" t="n">
        <f aca="false">AB57*Assumptions!$F$70</f>
        <v>7329690.06760341</v>
      </c>
      <c r="AC59" s="70" t="n">
        <f aca="false">AC57*Assumptions!$F$70</f>
        <v>7886930.11684056</v>
      </c>
      <c r="AD59" s="70" t="n">
        <f aca="false">AD57*Assumptions!$F$70</f>
        <v>8463264.63536511</v>
      </c>
      <c r="AE59" s="70" t="n">
        <f aca="false">AE57*Assumptions!$F$70</f>
        <v>9059666.21197381</v>
      </c>
      <c r="AF59" s="70" t="n">
        <f aca="false">AF57*Assumptions!$F$70</f>
        <v>9677197.24400828</v>
      </c>
      <c r="AG59" s="70" t="n">
        <f aca="false">AG57*Assumptions!$F$70</f>
        <v>10317024.0629869</v>
      </c>
      <c r="AH59" s="70" t="n">
        <f aca="false">AH57*Assumptions!$F$70</f>
        <v>10961308.6883006</v>
      </c>
      <c r="AI59" s="70" t="n">
        <f aca="false">AI57*Assumptions!$F$70</f>
        <v>11568849.3767628</v>
      </c>
      <c r="AJ59" s="70" t="n">
        <f aca="false">AJ57*Assumptions!$F$70</f>
        <v>12136207.1674454</v>
      </c>
      <c r="AK59" s="70" t="n">
        <f aca="false">AK57*Assumptions!$F$70</f>
        <v>12667938.7846048</v>
      </c>
      <c r="AL59" s="70" t="n">
        <f aca="false">AL57*Assumptions!$F$70</f>
        <v>13169458.2479175</v>
      </c>
      <c r="AM59" s="70" t="n">
        <f aca="false">SUM(C59:AL59)</f>
        <v>170831707.58547</v>
      </c>
    </row>
    <row r="60" customFormat="false" ht="15" hidden="false" customHeight="false" outlineLevel="0" collapsed="false">
      <c r="A60" s="10" t="s">
        <v>776</v>
      </c>
      <c r="B60" s="9" t="s">
        <v>95</v>
      </c>
      <c r="C60" s="70" t="n">
        <f aca="false">C53*Assumptions!$F$71</f>
        <v>0</v>
      </c>
      <c r="D60" s="70" t="n">
        <f aca="false">D53*Assumptions!$F$71</f>
        <v>0</v>
      </c>
      <c r="E60" s="70" t="n">
        <f aca="false">E53*Assumptions!$F$71</f>
        <v>0</v>
      </c>
      <c r="F60" s="70" t="n">
        <f aca="false">F53*Assumptions!$F$71</f>
        <v>0</v>
      </c>
      <c r="G60" s="70" t="n">
        <f aca="false">G53*Assumptions!$F$71</f>
        <v>66349.5379888578</v>
      </c>
      <c r="H60" s="70" t="n">
        <f aca="false">H53*Assumptions!$F$71</f>
        <v>86817.0508898637</v>
      </c>
      <c r="I60" s="70" t="n">
        <f aca="false">I53*Assumptions!$F$71</f>
        <v>105550.353991391</v>
      </c>
      <c r="J60" s="70" t="n">
        <f aca="false">J53*Assumptions!$F$71</f>
        <v>124927.241518339</v>
      </c>
      <c r="K60" s="70" t="n">
        <f aca="false">K53*Assumptions!$F$71</f>
        <v>145918.423919885</v>
      </c>
      <c r="L60" s="70" t="n">
        <f aca="false">L53*Assumptions!$F$71</f>
        <v>168959.412298899</v>
      </c>
      <c r="M60" s="70" t="n">
        <f aca="false">M53*Assumptions!$F$71</f>
        <v>194341.929196173</v>
      </c>
      <c r="N60" s="70" t="n">
        <f aca="false">N53*Assumptions!$F$71</f>
        <v>222321.290802355</v>
      </c>
      <c r="O60" s="70" t="n">
        <f aca="false">O53*Assumptions!$F$71</f>
        <v>253149.49950849</v>
      </c>
      <c r="P60" s="70" t="n">
        <f aca="false">P53*Assumptions!$F$71</f>
        <v>287087.615902375</v>
      </c>
      <c r="Q60" s="70" t="n">
        <f aca="false">Q53*Assumptions!$F$71</f>
        <v>324411.872565123</v>
      </c>
      <c r="R60" s="70" t="n">
        <f aca="false">R53*Assumptions!$F$71</f>
        <v>365417.674831582</v>
      </c>
      <c r="S60" s="70" t="n">
        <f aca="false">S53*Assumptions!$F$71</f>
        <v>410422.828411878</v>
      </c>
      <c r="T60" s="70" t="n">
        <f aca="false">T53*Assumptions!$F$71</f>
        <v>447069.659854417</v>
      </c>
      <c r="U60" s="70" t="n">
        <f aca="false">U53*Assumptions!$F$71</f>
        <v>480268.010482253</v>
      </c>
      <c r="V60" s="70" t="n">
        <f aca="false">V53*Assumptions!$F$71</f>
        <v>514545.666160182</v>
      </c>
      <c r="W60" s="70" t="n">
        <f aca="false">W53*Assumptions!$F$71</f>
        <v>549995.867381696</v>
      </c>
      <c r="X60" s="70" t="n">
        <f aca="false">X53*Assumptions!$F$71</f>
        <v>586680.015043579</v>
      </c>
      <c r="Y60" s="70" t="n">
        <f aca="false">Y53*Assumptions!$F$71</f>
        <v>624652.974629172</v>
      </c>
      <c r="Z60" s="70" t="n">
        <f aca="false">Z53*Assumptions!$F$71</f>
        <v>663973.025883621</v>
      </c>
      <c r="AA60" s="70" t="n">
        <f aca="false">AA53*Assumptions!$F$71</f>
        <v>704704.646119748</v>
      </c>
      <c r="AB60" s="70" t="n">
        <f aca="false">AB53*Assumptions!$F$71</f>
        <v>746919.929985622</v>
      </c>
      <c r="AC60" s="70" t="n">
        <f aca="false">AC53*Assumptions!$F$71</f>
        <v>790699.772151594</v>
      </c>
      <c r="AD60" s="70" t="n">
        <f aca="false">AD53*Assumptions!$F$71</f>
        <v>836135.072490872</v>
      </c>
      <c r="AE60" s="70" t="n">
        <f aca="false">AE53*Assumptions!$F$71</f>
        <v>883328.034182106</v>
      </c>
      <c r="AF60" s="70" t="n">
        <f aca="false">AF53*Assumptions!$F$71</f>
        <v>932393.585088083</v>
      </c>
      <c r="AG60" s="70" t="n">
        <f aca="false">AG53*Assumptions!$F$71</f>
        <v>983460.944550923</v>
      </c>
      <c r="AH60" s="70" t="n">
        <f aca="false">AH53*Assumptions!$F$71</f>
        <v>1024612.7832565</v>
      </c>
      <c r="AI60" s="70" t="n">
        <f aca="false">AI53*Assumptions!$F$71</f>
        <v>1040043.20562917</v>
      </c>
      <c r="AJ60" s="70" t="n">
        <f aca="false">AJ53*Assumptions!$F$71</f>
        <v>1051102.67000051</v>
      </c>
      <c r="AK60" s="70" t="n">
        <f aca="false">AK53*Assumptions!$F$71</f>
        <v>1062628.48841749</v>
      </c>
      <c r="AL60" s="70" t="n">
        <f aca="false">AL53*Assumptions!$F$71</f>
        <v>1075434.46147972</v>
      </c>
      <c r="AM60" s="70" t="n">
        <f aca="false">SUM(C60:AL60)</f>
        <v>17754323.5446125</v>
      </c>
    </row>
    <row r="61" customFormat="false" ht="15" hidden="false" customHeight="false" outlineLevel="0" collapsed="false">
      <c r="A61" s="10" t="s">
        <v>777</v>
      </c>
      <c r="B61" s="9" t="s">
        <v>95</v>
      </c>
      <c r="C61" s="70" t="n">
        <f aca="false">C59+C60</f>
        <v>0</v>
      </c>
      <c r="D61" s="70" t="n">
        <f aca="false">D59+D60</f>
        <v>0</v>
      </c>
      <c r="E61" s="70" t="n">
        <f aca="false">E59+E60</f>
        <v>0</v>
      </c>
      <c r="F61" s="70" t="n">
        <f aca="false">F59+F60</f>
        <v>0</v>
      </c>
      <c r="G61" s="70" t="n">
        <f aca="false">G59+G60</f>
        <v>171538.85251239</v>
      </c>
      <c r="H61" s="70" t="n">
        <f aca="false">H59+H60</f>
        <v>319651.506568434</v>
      </c>
      <c r="I61" s="70" t="n">
        <f aca="false">I59+I60</f>
        <v>483603.090199413</v>
      </c>
      <c r="J61" s="70" t="n">
        <f aca="false">J59+J60</f>
        <v>665122.276080692</v>
      </c>
      <c r="K61" s="70" t="n">
        <f aca="false">K59+K60</f>
        <v>866131.265819788</v>
      </c>
      <c r="L61" s="70" t="n">
        <f aca="false">L59+L60</f>
        <v>1088617.12116141</v>
      </c>
      <c r="M61" s="70" t="n">
        <f aca="false">M59+M60</f>
        <v>1334738.20942822</v>
      </c>
      <c r="N61" s="70" t="n">
        <f aca="false">N59+N60</f>
        <v>1606843.93384395</v>
      </c>
      <c r="O61" s="70" t="n">
        <f aca="false">O59+O60</f>
        <v>1907480.96543431</v>
      </c>
      <c r="P61" s="70" t="n">
        <f aca="false">P59+P60</f>
        <v>2239400.92046659</v>
      </c>
      <c r="Q61" s="70" t="n">
        <f aca="false">Q59+Q60</f>
        <v>2605571.91837098</v>
      </c>
      <c r="R61" s="70" t="n">
        <f aca="false">R59+R60</f>
        <v>3009193.85216439</v>
      </c>
      <c r="S61" s="70" t="n">
        <f aca="false">S59+S60</f>
        <v>3453716.93212826</v>
      </c>
      <c r="T61" s="70" t="n">
        <f aca="false">T59+T60</f>
        <v>3910026.6869687</v>
      </c>
      <c r="U61" s="70" t="n">
        <f aca="false">U59+U60</f>
        <v>4375652.02641323</v>
      </c>
      <c r="V61" s="70" t="n">
        <f aca="false">V59+V60</f>
        <v>4855619.26011837</v>
      </c>
      <c r="W61" s="70" t="n">
        <f aca="false">W59+W60</f>
        <v>5350620.61434075</v>
      </c>
      <c r="X61" s="70" t="n">
        <f aca="false">X59+X60</f>
        <v>5861356.91592424</v>
      </c>
      <c r="Y61" s="70" t="n">
        <f aca="false">Y59+Y60</f>
        <v>6388548.69354374</v>
      </c>
      <c r="Z61" s="70" t="n">
        <f aca="false">Z59+Z60</f>
        <v>6932949.04774886</v>
      </c>
      <c r="AA61" s="70" t="n">
        <f aca="false">AA59+AA60</f>
        <v>7495353.48980431</v>
      </c>
      <c r="AB61" s="70" t="n">
        <f aca="false">AB59+AB60</f>
        <v>8076609.99758903</v>
      </c>
      <c r="AC61" s="70" t="n">
        <f aca="false">AC59+AC60</f>
        <v>8677629.88899216</v>
      </c>
      <c r="AD61" s="70" t="n">
        <f aca="false">AD59+AD60</f>
        <v>9299399.70785599</v>
      </c>
      <c r="AE61" s="70" t="n">
        <f aca="false">AE59+AE60</f>
        <v>9942994.24615591</v>
      </c>
      <c r="AF61" s="70" t="n">
        <f aca="false">AF59+AF60</f>
        <v>10609590.8290964</v>
      </c>
      <c r="AG61" s="70" t="n">
        <f aca="false">AG59+AG60</f>
        <v>11300485.0075378</v>
      </c>
      <c r="AH61" s="70" t="n">
        <f aca="false">AH59+AH60</f>
        <v>11985921.4715571</v>
      </c>
      <c r="AI61" s="70" t="n">
        <f aca="false">AI59+AI60</f>
        <v>12608892.5823919</v>
      </c>
      <c r="AJ61" s="70" t="n">
        <f aca="false">AJ59+AJ60</f>
        <v>13187309.8374459</v>
      </c>
      <c r="AK61" s="70" t="n">
        <f aca="false">AK59+AK60</f>
        <v>13730567.2730223</v>
      </c>
      <c r="AL61" s="70" t="n">
        <f aca="false">AL59+AL60</f>
        <v>14244892.7093972</v>
      </c>
      <c r="AM61" s="70" t="n">
        <f aca="false">SUM(C61:AL61)</f>
        <v>188586031.130083</v>
      </c>
    </row>
    <row r="62" customFormat="false" ht="15" hidden="false" customHeight="false" outlineLevel="0" collapsed="false">
      <c r="A62" s="10" t="s">
        <v>778</v>
      </c>
      <c r="B62" s="9" t="s">
        <v>95</v>
      </c>
      <c r="C62" s="70" t="n">
        <f aca="false">-C61*Assumptions!$F$80</f>
        <v>-0</v>
      </c>
      <c r="D62" s="70" t="n">
        <f aca="false">-D61*Assumptions!$F$80</f>
        <v>-0</v>
      </c>
      <c r="E62" s="70" t="n">
        <f aca="false">-E61*Assumptions!$F$80</f>
        <v>-0</v>
      </c>
      <c r="F62" s="70" t="n">
        <f aca="false">-F61*Assumptions!$F$80</f>
        <v>-0</v>
      </c>
      <c r="G62" s="70" t="n">
        <f aca="false">-G61*Assumptions!$F$80</f>
        <v>-3773.85475527259</v>
      </c>
      <c r="H62" s="70" t="n">
        <f aca="false">-H61*Assumptions!$F$80</f>
        <v>-7032.33314450554</v>
      </c>
      <c r="I62" s="70" t="n">
        <f aca="false">-I61*Assumptions!$F$80</f>
        <v>-10639.2679843871</v>
      </c>
      <c r="J62" s="70" t="n">
        <f aca="false">-J61*Assumptions!$F$80</f>
        <v>-14632.6900737752</v>
      </c>
      <c r="K62" s="70" t="n">
        <f aca="false">-K61*Assumptions!$F$80</f>
        <v>-19054.8878480353</v>
      </c>
      <c r="L62" s="70" t="n">
        <f aca="false">-L61*Assumptions!$F$80</f>
        <v>-23949.5766655511</v>
      </c>
      <c r="M62" s="70" t="n">
        <f aca="false">-M61*Assumptions!$F$80</f>
        <v>-29364.2406074208</v>
      </c>
      <c r="N62" s="70" t="n">
        <f aca="false">-N61*Assumptions!$F$80</f>
        <v>-35350.5665445669</v>
      </c>
      <c r="O62" s="70" t="n">
        <f aca="false">-O61*Assumptions!$F$80</f>
        <v>-41964.5812395548</v>
      </c>
      <c r="P62" s="70" t="n">
        <f aca="false">-P61*Assumptions!$F$80</f>
        <v>-49266.8202502651</v>
      </c>
      <c r="Q62" s="70" t="n">
        <f aca="false">-Q61*Assumptions!$F$80</f>
        <v>-57322.5822041615</v>
      </c>
      <c r="R62" s="70" t="n">
        <f aca="false">-R61*Assumptions!$F$80</f>
        <v>-66202.2647476166</v>
      </c>
      <c r="S62" s="70" t="n">
        <f aca="false">-S61*Assumptions!$F$80</f>
        <v>-75981.7725068218</v>
      </c>
      <c r="T62" s="70" t="n">
        <f aca="false">-T61*Assumptions!$F$80</f>
        <v>-86020.5871133114</v>
      </c>
      <c r="U62" s="70" t="n">
        <f aca="false">-U61*Assumptions!$F$80</f>
        <v>-96264.344581091</v>
      </c>
      <c r="V62" s="70" t="n">
        <f aca="false">-V61*Assumptions!$F$80</f>
        <v>-106823.623722604</v>
      </c>
      <c r="W62" s="70" t="n">
        <f aca="false">-W61*Assumptions!$F$80</f>
        <v>-117713.653515496</v>
      </c>
      <c r="X62" s="70" t="n">
        <f aca="false">-X61*Assumptions!$F$80</f>
        <v>-128949.852150333</v>
      </c>
      <c r="Y62" s="70" t="n">
        <f aca="false">-Y61*Assumptions!$F$80</f>
        <v>-140548.071257962</v>
      </c>
      <c r="Z62" s="70" t="n">
        <f aca="false">-Z61*Assumptions!$F$80</f>
        <v>-152524.879050475</v>
      </c>
      <c r="AA62" s="70" t="n">
        <f aca="false">-AA61*Assumptions!$F$80</f>
        <v>-164897.776775695</v>
      </c>
      <c r="AB62" s="70" t="n">
        <f aca="false">-AB61*Assumptions!$F$80</f>
        <v>-177685.419946959</v>
      </c>
      <c r="AC62" s="70" t="n">
        <f aca="false">-AC61*Assumptions!$F$80</f>
        <v>-190907.857557827</v>
      </c>
      <c r="AD62" s="70" t="n">
        <f aca="false">-AD61*Assumptions!$F$80</f>
        <v>-204586.793572832</v>
      </c>
      <c r="AE62" s="70" t="n">
        <f aca="false">-AE61*Assumptions!$F$80</f>
        <v>-218745.87341543</v>
      </c>
      <c r="AF62" s="70" t="n">
        <f aca="false">-AF61*Assumptions!$F$80</f>
        <v>-233410.99824012</v>
      </c>
      <c r="AG62" s="70" t="n">
        <f aca="false">-AG61*Assumptions!$F$80</f>
        <v>-248610.670165832</v>
      </c>
      <c r="AH62" s="70" t="n">
        <f aca="false">-AH61*Assumptions!$F$80</f>
        <v>-263690.272374255</v>
      </c>
      <c r="AI62" s="70" t="n">
        <f aca="false">-AI61*Assumptions!$F$80</f>
        <v>-277395.636812622</v>
      </c>
      <c r="AJ62" s="70" t="n">
        <f aca="false">-AJ61*Assumptions!$F$80</f>
        <v>-290120.81642381</v>
      </c>
      <c r="AK62" s="70" t="n">
        <f aca="false">-AK61*Assumptions!$F$80</f>
        <v>-302072.48000649</v>
      </c>
      <c r="AL62" s="70" t="n">
        <f aca="false">-AL61*Assumptions!$F$80</f>
        <v>-313387.639606738</v>
      </c>
      <c r="AM62" s="70" t="n">
        <f aca="false">SUM(C62:AL62)</f>
        <v>-4148892.68486182</v>
      </c>
    </row>
    <row r="63" customFormat="false" ht="15" hidden="false" customHeight="false" outlineLevel="0" collapsed="false">
      <c r="A63" s="38" t="s">
        <v>779</v>
      </c>
      <c r="B63" s="9" t="s">
        <v>95</v>
      </c>
      <c r="C63" s="53" t="n">
        <f aca="false">C61+C62</f>
        <v>0</v>
      </c>
      <c r="D63" s="53" t="n">
        <f aca="false">D61+D62</f>
        <v>0</v>
      </c>
      <c r="E63" s="53" t="n">
        <f aca="false">E61+E62</f>
        <v>0</v>
      </c>
      <c r="F63" s="53" t="n">
        <f aca="false">F61+F62</f>
        <v>0</v>
      </c>
      <c r="G63" s="53" t="n">
        <f aca="false">G61+G62</f>
        <v>167764.997757118</v>
      </c>
      <c r="H63" s="53" t="n">
        <f aca="false">H61+H62</f>
        <v>312619.173423928</v>
      </c>
      <c r="I63" s="53" t="n">
        <f aca="false">I61+I62</f>
        <v>472963.822215026</v>
      </c>
      <c r="J63" s="53" t="n">
        <f aca="false">J61+J62</f>
        <v>650489.586006917</v>
      </c>
      <c r="K63" s="53" t="n">
        <f aca="false">K61+K62</f>
        <v>847076.377971753</v>
      </c>
      <c r="L63" s="53" t="n">
        <f aca="false">L61+L62</f>
        <v>1064667.54449586</v>
      </c>
      <c r="M63" s="53" t="n">
        <f aca="false">M61+M62</f>
        <v>1305373.9688208</v>
      </c>
      <c r="N63" s="53" t="n">
        <f aca="false">N61+N62</f>
        <v>1571493.36729938</v>
      </c>
      <c r="O63" s="53" t="n">
        <f aca="false">O61+O62</f>
        <v>1865516.38419475</v>
      </c>
      <c r="P63" s="53" t="n">
        <f aca="false">P61+P62</f>
        <v>2190134.10021633</v>
      </c>
      <c r="Q63" s="53" t="n">
        <f aca="false">Q61+Q62</f>
        <v>2548249.33616682</v>
      </c>
      <c r="R63" s="53" t="n">
        <f aca="false">R61+R62</f>
        <v>2942991.58741678</v>
      </c>
      <c r="S63" s="53" t="n">
        <f aca="false">S61+S62</f>
        <v>3377735.15962144</v>
      </c>
      <c r="T63" s="53" t="n">
        <f aca="false">T61+T62</f>
        <v>3824006.09985539</v>
      </c>
      <c r="U63" s="53" t="n">
        <f aca="false">U61+U62</f>
        <v>4279387.68183214</v>
      </c>
      <c r="V63" s="53" t="n">
        <f aca="false">V61+V62</f>
        <v>4748795.63639577</v>
      </c>
      <c r="W63" s="53" t="n">
        <f aca="false">W61+W62</f>
        <v>5232906.96082525</v>
      </c>
      <c r="X63" s="53" t="n">
        <f aca="false">X61+X62</f>
        <v>5732407.06377391</v>
      </c>
      <c r="Y63" s="53" t="n">
        <f aca="false">Y61+Y62</f>
        <v>6248000.62228578</v>
      </c>
      <c r="Z63" s="53" t="n">
        <f aca="false">Z61+Z62</f>
        <v>6780424.16869839</v>
      </c>
      <c r="AA63" s="53" t="n">
        <f aca="false">AA61+AA62</f>
        <v>7330455.71302862</v>
      </c>
      <c r="AB63" s="53" t="n">
        <f aca="false">AB61+AB62</f>
        <v>7898924.57764207</v>
      </c>
      <c r="AC63" s="53" t="n">
        <f aca="false">AC61+AC62</f>
        <v>8486722.03143433</v>
      </c>
      <c r="AD63" s="53" t="n">
        <f aca="false">AD61+AD62</f>
        <v>9094812.91428315</v>
      </c>
      <c r="AE63" s="53" t="n">
        <f aca="false">AE61+AE62</f>
        <v>9724248.37274048</v>
      </c>
      <c r="AF63" s="53" t="n">
        <f aca="false">AF61+AF62</f>
        <v>10376179.8308562</v>
      </c>
      <c r="AG63" s="53" t="n">
        <f aca="false">AG61+AG62</f>
        <v>11051874.337372</v>
      </c>
      <c r="AH63" s="53" t="n">
        <f aca="false">AH61+AH62</f>
        <v>11722231.1991828</v>
      </c>
      <c r="AI63" s="53" t="n">
        <f aca="false">AI61+AI62</f>
        <v>12331496.9455793</v>
      </c>
      <c r="AJ63" s="53" t="n">
        <f aca="false">AJ61+AJ62</f>
        <v>12897189.0210221</v>
      </c>
      <c r="AK63" s="53" t="n">
        <f aca="false">AK61+AK62</f>
        <v>13428494.7930158</v>
      </c>
      <c r="AL63" s="53" t="n">
        <f aca="false">AL61+AL62</f>
        <v>13931505.0697905</v>
      </c>
      <c r="AM63" s="53" t="n">
        <f aca="false">SUM(C63:AL63)</f>
        <v>184437138.445221</v>
      </c>
    </row>
    <row r="64" customFormat="false" ht="15" hidden="false" customHeight="false" outlineLevel="0" collapsed="false">
      <c r="A64" s="10" t="s">
        <v>780</v>
      </c>
      <c r="B64" s="9" t="s">
        <v>95</v>
      </c>
      <c r="C64" s="70" t="n">
        <f aca="false">-C57*Assumptions!$F$73</f>
        <v>-0</v>
      </c>
      <c r="D64" s="70" t="n">
        <f aca="false">-D57*Assumptions!$F$73</f>
        <v>-0</v>
      </c>
      <c r="E64" s="70" t="n">
        <f aca="false">-E57*Assumptions!$F$73</f>
        <v>-0</v>
      </c>
      <c r="F64" s="70" t="n">
        <f aca="false">-F57*Assumptions!$F$73</f>
        <v>-0</v>
      </c>
      <c r="G64" s="70" t="n">
        <f aca="false">-G57*Assumptions!$F$73</f>
        <v>-26385.279562759</v>
      </c>
      <c r="H64" s="70" t="n">
        <f aca="false">-H57*Assumptions!$F$73</f>
        <v>-58403.2915581698</v>
      </c>
      <c r="I64" s="70" t="n">
        <f aca="false">-I57*Assumptions!$F$73</f>
        <v>-94829.2816575304</v>
      </c>
      <c r="J64" s="70" t="n">
        <f aca="false">-J57*Assumptions!$F$73</f>
        <v>-135500.426729687</v>
      </c>
      <c r="K64" s="70" t="n">
        <f aca="false">-K57*Assumptions!$F$73</f>
        <v>-180655.395125394</v>
      </c>
      <c r="L64" s="70" t="n">
        <f aca="false">-L57*Assumptions!$F$73</f>
        <v>-230683.371788256</v>
      </c>
      <c r="M64" s="70" t="n">
        <f aca="false">-M57*Assumptions!$F$73</f>
        <v>-286052.578653523</v>
      </c>
      <c r="N64" s="70" t="n">
        <f aca="false">-N57*Assumptions!$F$73</f>
        <v>-347288.28838836</v>
      </c>
      <c r="O64" s="70" t="n">
        <f aca="false">-O57*Assumptions!$F$73</f>
        <v>-414966.08677069</v>
      </c>
      <c r="P64" s="70" t="n">
        <f aca="false">-P57*Assumptions!$F$73</f>
        <v>-489710.695124804</v>
      </c>
      <c r="Q64" s="70" t="n">
        <f aca="false">-Q57*Assumptions!$F$73</f>
        <v>-572197.335904478</v>
      </c>
      <c r="R64" s="70" t="n">
        <f aca="false">-R57*Assumptions!$F$73</f>
        <v>-663154.559531641</v>
      </c>
      <c r="S64" s="70" t="n">
        <f aca="false">-S57*Assumptions!$F$73</f>
        <v>-763368.086216484</v>
      </c>
      <c r="T64" s="70" t="n">
        <f aca="false">-T57*Assumptions!$F$73</f>
        <v>-868634.705797898</v>
      </c>
      <c r="U64" s="70" t="n">
        <f aca="false">-U57*Assumptions!$F$73</f>
        <v>-977103.014029508</v>
      </c>
      <c r="V64" s="70" t="n">
        <f aca="false">-V57*Assumptions!$F$73</f>
        <v>-1088898.05868516</v>
      </c>
      <c r="W64" s="70" t="n">
        <f aca="false">-W57*Assumptions!$F$73</f>
        <v>-1204170.08702986</v>
      </c>
      <c r="X64" s="70" t="n">
        <f aca="false">-X57*Assumptions!$F$73</f>
        <v>-1323079.49018746</v>
      </c>
      <c r="Y64" s="70" t="n">
        <f aca="false">-Y57*Assumptions!$F$73</f>
        <v>-1445793.24053041</v>
      </c>
      <c r="Z64" s="70" t="n">
        <f aca="false">-Z57*Assumptions!$F$73</f>
        <v>-1572485.62421369</v>
      </c>
      <c r="AA64" s="70" t="n">
        <f aca="false">-AA57*Assumptions!$F$73</f>
        <v>-1703340.01095767</v>
      </c>
      <c r="AB64" s="70" t="n">
        <f aca="false">-AB57*Assumptions!$F$73</f>
        <v>-1838551.02030186</v>
      </c>
      <c r="AC64" s="70" t="n">
        <f aca="false">-AC57*Assumptions!$F$73</f>
        <v>-1978326.95238476</v>
      </c>
      <c r="AD64" s="70" t="n">
        <f aca="false">-AD57*Assumptions!$F$73</f>
        <v>-2122892.46706483</v>
      </c>
      <c r="AE64" s="70" t="n">
        <f aca="false">-AE57*Assumptions!$F$73</f>
        <v>-2272491.52474259</v>
      </c>
      <c r="AF64" s="70" t="n">
        <f aca="false">-AF57*Assumptions!$F$73</f>
        <v>-2427390.61304556</v>
      </c>
      <c r="AG64" s="70" t="n">
        <f aca="false">-AG57*Assumptions!$F$73</f>
        <v>-2587882.29004688</v>
      </c>
      <c r="AH64" s="70" t="n">
        <f aca="false">-AH57*Assumptions!$F$73</f>
        <v>-2749492.14589479</v>
      </c>
      <c r="AI64" s="70" t="n">
        <f aca="false">-AI57*Assumptions!$F$73</f>
        <v>-2901885.29517461</v>
      </c>
      <c r="AJ64" s="70" t="n">
        <f aca="false">-AJ57*Assumptions!$F$73</f>
        <v>-3044199.12226892</v>
      </c>
      <c r="AK64" s="70" t="n">
        <f aca="false">-AK57*Assumptions!$F$73</f>
        <v>-3177576.6182119</v>
      </c>
      <c r="AL64" s="70" t="n">
        <f aca="false">-AL57*Assumptions!$F$73</f>
        <v>-3303375.81469502</v>
      </c>
      <c r="AM64" s="70" t="n">
        <f aca="false">SUM(C64:AL64)</f>
        <v>-42850762.7722751</v>
      </c>
    </row>
    <row r="65" customFormat="false" ht="15" hidden="false" customHeight="false" outlineLevel="0" collapsed="false">
      <c r="A65" s="10" t="s">
        <v>781</v>
      </c>
      <c r="B65" s="9" t="s">
        <v>95</v>
      </c>
      <c r="C65" s="70" t="n">
        <f aca="false">-C54*Assumptions!$F$74</f>
        <v>-0</v>
      </c>
      <c r="D65" s="70" t="n">
        <f aca="false">-D54*Assumptions!$F$74</f>
        <v>-0</v>
      </c>
      <c r="E65" s="70" t="n">
        <f aca="false">-E54*Assumptions!$F$74</f>
        <v>-0</v>
      </c>
      <c r="F65" s="70" t="n">
        <f aca="false">-F54*Assumptions!$F$74</f>
        <v>-0</v>
      </c>
      <c r="G65" s="70" t="n">
        <f aca="false">-G54*Assumptions!$F$74</f>
        <v>-23650.6707565346</v>
      </c>
      <c r="H65" s="70" t="n">
        <f aca="false">-H54*Assumptions!$F$74</f>
        <v>-30946.432317197</v>
      </c>
      <c r="I65" s="70" t="n">
        <f aca="false">-I54*Assumptions!$F$74</f>
        <v>-37624.0249164251</v>
      </c>
      <c r="J65" s="70" t="n">
        <f aca="false">-J54*Assumptions!$F$74</f>
        <v>-44531.0268500815</v>
      </c>
      <c r="K65" s="70" t="n">
        <f aca="false">-K54*Assumptions!$F$74</f>
        <v>-52013.4533871389</v>
      </c>
      <c r="L65" s="70" t="n">
        <f aca="false">-L54*Assumptions!$F$74</f>
        <v>-60226.5449409748</v>
      </c>
      <c r="M65" s="70" t="n">
        <f aca="false">-M54*Assumptions!$F$74</f>
        <v>-69274.2876729649</v>
      </c>
      <c r="N65" s="70" t="n">
        <f aca="false">-N54*Assumptions!$F$74</f>
        <v>-79247.6904935991</v>
      </c>
      <c r="O65" s="70" t="n">
        <f aca="false">-O54*Assumptions!$F$74</f>
        <v>-90236.5810906213</v>
      </c>
      <c r="P65" s="70" t="n">
        <f aca="false">-P54*Assumptions!$F$74</f>
        <v>-102334.015997606</v>
      </c>
      <c r="Q65" s="70" t="n">
        <f aca="false">-Q54*Assumptions!$F$74</f>
        <v>-115638.459891568</v>
      </c>
      <c r="R65" s="70" t="n">
        <f aca="false">-R54*Assumptions!$F$74</f>
        <v>-130255.211686802</v>
      </c>
      <c r="S65" s="70" t="n">
        <f aca="false">-S54*Assumptions!$F$74</f>
        <v>-146297.555038968</v>
      </c>
      <c r="T65" s="70" t="n">
        <f aca="false">-T54*Assumptions!$F$74</f>
        <v>-159360.526854435</v>
      </c>
      <c r="U65" s="70" t="n">
        <f aca="false">-U54*Assumptions!$F$74</f>
        <v>-171194.268040256</v>
      </c>
      <c r="V65" s="70" t="n">
        <f aca="false">-V54*Assumptions!$F$74</f>
        <v>-183412.733659123</v>
      </c>
      <c r="W65" s="70" t="n">
        <f aca="false">-W54*Assumptions!$F$74</f>
        <v>-196049.159816058</v>
      </c>
      <c r="X65" s="70" t="n">
        <f aca="false">-X54*Assumptions!$F$74</f>
        <v>-209125.433210471</v>
      </c>
      <c r="Y65" s="70" t="n">
        <f aca="false">-Y54*Assumptions!$F$74</f>
        <v>-222661.110956424</v>
      </c>
      <c r="Z65" s="70" t="n">
        <f aca="false">-Z54*Assumptions!$F$74</f>
        <v>-236676.967201048</v>
      </c>
      <c r="AA65" s="70" t="n">
        <f aca="false">-AA54*Assumptions!$F$74</f>
        <v>-251195.985249773</v>
      </c>
      <c r="AB65" s="70" t="n">
        <f aca="false">-AB54*Assumptions!$F$74</f>
        <v>-266243.863650571</v>
      </c>
      <c r="AC65" s="70" t="n">
        <f aca="false">-AC54*Assumptions!$F$74</f>
        <v>-281849.437769479</v>
      </c>
      <c r="AD65" s="70" t="n">
        <f aca="false">-AD54*Assumptions!$F$74</f>
        <v>-298045.109384088</v>
      </c>
      <c r="AE65" s="70" t="n">
        <f aca="false">-AE54*Assumptions!$F$74</f>
        <v>-314867.309399596</v>
      </c>
      <c r="AF65" s="70" t="n">
        <f aca="false">-AF54*Assumptions!$F$74</f>
        <v>-332357.004507347</v>
      </c>
      <c r="AG65" s="70" t="n">
        <f aca="false">-AG54*Assumptions!$F$74</f>
        <v>-350560.255677899</v>
      </c>
      <c r="AH65" s="70" t="n">
        <f aca="false">-AH54*Assumptions!$F$74</f>
        <v>-365229.062993709</v>
      </c>
      <c r="AI65" s="70" t="n">
        <f aca="false">-AI54*Assumptions!$F$74</f>
        <v>-370729.324943258</v>
      </c>
      <c r="AJ65" s="70" t="n">
        <f aca="false">-AJ54*Assumptions!$F$74</f>
        <v>-374671.534015372</v>
      </c>
      <c r="AK65" s="70" t="n">
        <f aca="false">-AK54*Assumptions!$F$74</f>
        <v>-378779.977643501</v>
      </c>
      <c r="AL65" s="70" t="n">
        <f aca="false">-AL54*Assumptions!$F$74</f>
        <v>-383344.739686947</v>
      </c>
      <c r="AM65" s="70" t="n">
        <f aca="false">SUM(C65:AL65)</f>
        <v>-6328629.75969984</v>
      </c>
    </row>
    <row r="66" customFormat="false" ht="15" hidden="false" customHeight="false" outlineLevel="0" collapsed="false">
      <c r="A66" s="10" t="s">
        <v>782</v>
      </c>
      <c r="B66" s="9" t="s">
        <v>95</v>
      </c>
      <c r="C66" s="70" t="n">
        <f aca="false">-C57*Assumptions!$F$75</f>
        <v>-0</v>
      </c>
      <c r="D66" s="70" t="n">
        <f aca="false">-D57*Assumptions!$F$75</f>
        <v>-0</v>
      </c>
      <c r="E66" s="70" t="n">
        <f aca="false">-E57*Assumptions!$F$75</f>
        <v>-0</v>
      </c>
      <c r="F66" s="70" t="n">
        <f aca="false">-F57*Assumptions!$F$75</f>
        <v>-0</v>
      </c>
      <c r="G66" s="70" t="n">
        <f aca="false">-G57*Assumptions!$F$75</f>
        <v>-2286.72422877244</v>
      </c>
      <c r="H66" s="70" t="n">
        <f aca="false">-H57*Assumptions!$F$75</f>
        <v>-5061.61860170805</v>
      </c>
      <c r="I66" s="70" t="n">
        <f aca="false">-I57*Assumptions!$F$75</f>
        <v>-8218.53774365264</v>
      </c>
      <c r="J66" s="70" t="n">
        <f aca="false">-J57*Assumptions!$F$75</f>
        <v>-11743.3703165729</v>
      </c>
      <c r="K66" s="70" t="n">
        <f aca="false">-K57*Assumptions!$F$75</f>
        <v>-15656.8009108675</v>
      </c>
      <c r="L66" s="70" t="n">
        <f aca="false">-L57*Assumptions!$F$75</f>
        <v>-19992.5588883155</v>
      </c>
      <c r="M66" s="70" t="n">
        <f aca="false">-M57*Assumptions!$F$75</f>
        <v>-24791.2234833054</v>
      </c>
      <c r="N66" s="70" t="n">
        <f aca="false">-N57*Assumptions!$F$75</f>
        <v>-30098.3183269912</v>
      </c>
      <c r="O66" s="70" t="n">
        <f aca="false">-O57*Assumptions!$F$75</f>
        <v>-35963.7275201265</v>
      </c>
      <c r="P66" s="70" t="n">
        <f aca="false">-P57*Assumptions!$F$75</f>
        <v>-42441.593577483</v>
      </c>
      <c r="Q66" s="70" t="n">
        <f aca="false">-Q57*Assumptions!$F$75</f>
        <v>-49590.4357783881</v>
      </c>
      <c r="R66" s="70" t="n">
        <f aca="false">-R57*Assumptions!$F$75</f>
        <v>-57473.3951594089</v>
      </c>
      <c r="S66" s="70" t="n">
        <f aca="false">-S57*Assumptions!$F$75</f>
        <v>-66158.5674720953</v>
      </c>
      <c r="T66" s="70" t="n">
        <f aca="false">-T57*Assumptions!$F$75</f>
        <v>-75281.6745024845</v>
      </c>
      <c r="U66" s="70" t="n">
        <f aca="false">-U57*Assumptions!$F$75</f>
        <v>-84682.2612158907</v>
      </c>
      <c r="V66" s="70" t="n">
        <f aca="false">-V57*Assumptions!$F$75</f>
        <v>-94371.1650860476</v>
      </c>
      <c r="W66" s="70" t="n">
        <f aca="false">-W57*Assumptions!$F$75</f>
        <v>-104361.407542588</v>
      </c>
      <c r="X66" s="70" t="n">
        <f aca="false">-X57*Assumptions!$F$75</f>
        <v>-114666.88914958</v>
      </c>
      <c r="Y66" s="70" t="n">
        <f aca="false">-Y57*Assumptions!$F$75</f>
        <v>-125302.080845969</v>
      </c>
      <c r="Z66" s="70" t="n">
        <f aca="false">-Z57*Assumptions!$F$75</f>
        <v>-136282.087431853</v>
      </c>
      <c r="AA66" s="70" t="n">
        <f aca="false">-AA57*Assumptions!$F$75</f>
        <v>-147622.800949665</v>
      </c>
      <c r="AB66" s="70" t="n">
        <f aca="false">-AB57*Assumptions!$F$75</f>
        <v>-159341.088426161</v>
      </c>
      <c r="AC66" s="70" t="n">
        <f aca="false">-AC57*Assumptions!$F$75</f>
        <v>-171455.002540012</v>
      </c>
      <c r="AD66" s="70" t="n">
        <f aca="false">-AD57*Assumptions!$F$75</f>
        <v>-183984.013812285</v>
      </c>
      <c r="AE66" s="70" t="n">
        <f aca="false">-AE57*Assumptions!$F$75</f>
        <v>-196949.265477691</v>
      </c>
      <c r="AF66" s="70" t="n">
        <f aca="false">-AF57*Assumptions!$F$75</f>
        <v>-210373.853130615</v>
      </c>
      <c r="AG66" s="70" t="n">
        <f aca="false">-AG57*Assumptions!$F$75</f>
        <v>-224283.131804063</v>
      </c>
      <c r="AH66" s="70" t="n">
        <f aca="false">-AH57*Assumptions!$F$75</f>
        <v>-238289.319310882</v>
      </c>
      <c r="AI66" s="70" t="n">
        <f aca="false">-AI57*Assumptions!$F$75</f>
        <v>-251496.725581799</v>
      </c>
      <c r="AJ66" s="70" t="n">
        <f aca="false">-AJ57*Assumptions!$F$75</f>
        <v>-263830.590596639</v>
      </c>
      <c r="AK66" s="70" t="n">
        <f aca="false">-AK57*Assumptions!$F$75</f>
        <v>-275389.973578365</v>
      </c>
      <c r="AL66" s="70" t="n">
        <f aca="false">-AL57*Assumptions!$F$75</f>
        <v>-286292.570606902</v>
      </c>
      <c r="AM66" s="70" t="n">
        <f aca="false">SUM(C66:AL66)</f>
        <v>-3713732.77359718</v>
      </c>
    </row>
    <row r="67" customFormat="false" ht="15" hidden="false" customHeight="false" outlineLevel="0" collapsed="false">
      <c r="A67" s="10" t="s">
        <v>783</v>
      </c>
      <c r="B67" s="9" t="s">
        <v>95</v>
      </c>
      <c r="C67" s="70" t="n">
        <f aca="false">-C57*Assumptions!$F$76</f>
        <v>-0</v>
      </c>
      <c r="D67" s="70" t="n">
        <f aca="false">-D57*Assumptions!$F$76</f>
        <v>-0</v>
      </c>
      <c r="E67" s="70" t="n">
        <f aca="false">-E57*Assumptions!$F$76</f>
        <v>-0</v>
      </c>
      <c r="F67" s="70" t="n">
        <f aca="false">-F57*Assumptions!$F$76</f>
        <v>-0</v>
      </c>
      <c r="G67" s="70" t="n">
        <f aca="false">-G57*Assumptions!$F$76</f>
        <v>-5277.05591255179</v>
      </c>
      <c r="H67" s="70" t="n">
        <f aca="false">-H57*Assumptions!$F$76</f>
        <v>-11680.658311634</v>
      </c>
      <c r="I67" s="70" t="n">
        <f aca="false">-I57*Assumptions!$F$76</f>
        <v>-18965.8563315061</v>
      </c>
      <c r="J67" s="70" t="n">
        <f aca="false">-J57*Assumptions!$F$76</f>
        <v>-27100.0853459374</v>
      </c>
      <c r="K67" s="70" t="n">
        <f aca="false">-K57*Assumptions!$F$76</f>
        <v>-36131.0790250787</v>
      </c>
      <c r="L67" s="70" t="n">
        <f aca="false">-L57*Assumptions!$F$76</f>
        <v>-46136.6743576513</v>
      </c>
      <c r="M67" s="70" t="n">
        <f aca="false">-M57*Assumptions!$F$76</f>
        <v>-57210.5157307047</v>
      </c>
      <c r="N67" s="70" t="n">
        <f aca="false">-N57*Assumptions!$F$76</f>
        <v>-69457.657677672</v>
      </c>
      <c r="O67" s="70" t="n">
        <f aca="false">-O57*Assumptions!$F$76</f>
        <v>-82993.2173541381</v>
      </c>
      <c r="P67" s="70" t="n">
        <f aca="false">-P57*Assumptions!$F$76</f>
        <v>-97942.1390249608</v>
      </c>
      <c r="Q67" s="70" t="n">
        <f aca="false">-Q57*Assumptions!$F$76</f>
        <v>-114439.467180896</v>
      </c>
      <c r="R67" s="70" t="n">
        <f aca="false">-R57*Assumptions!$F$76</f>
        <v>-132630.911906328</v>
      </c>
      <c r="S67" s="70" t="n">
        <f aca="false">-S57*Assumptions!$F$76</f>
        <v>-152673.617243297</v>
      </c>
      <c r="T67" s="70" t="n">
        <f aca="false">-T57*Assumptions!$F$76</f>
        <v>-173726.94115958</v>
      </c>
      <c r="U67" s="70" t="n">
        <f aca="false">-U57*Assumptions!$F$76</f>
        <v>-195420.602805902</v>
      </c>
      <c r="V67" s="70" t="n">
        <f aca="false">-V57*Assumptions!$F$76</f>
        <v>-217779.611737033</v>
      </c>
      <c r="W67" s="70" t="n">
        <f aca="false">-W57*Assumptions!$F$76</f>
        <v>-240834.017405973</v>
      </c>
      <c r="X67" s="70" t="n">
        <f aca="false">-X57*Assumptions!$F$76</f>
        <v>-264615.898037491</v>
      </c>
      <c r="Y67" s="70" t="n">
        <f aca="false">-Y57*Assumptions!$F$76</f>
        <v>-289158.648106082</v>
      </c>
      <c r="Z67" s="70" t="n">
        <f aca="false">-Z57*Assumptions!$F$76</f>
        <v>-314497.124842738</v>
      </c>
      <c r="AA67" s="70" t="n">
        <f aca="false">-AA57*Assumptions!$F$76</f>
        <v>-340668.002191533</v>
      </c>
      <c r="AB67" s="70" t="n">
        <f aca="false">-AB57*Assumptions!$F$76</f>
        <v>-367710.204060371</v>
      </c>
      <c r="AC67" s="70" t="n">
        <f aca="false">-AC57*Assumptions!$F$76</f>
        <v>-395665.390476951</v>
      </c>
      <c r="AD67" s="70" t="n">
        <f aca="false">-AD57*Assumptions!$F$76</f>
        <v>-424578.493412966</v>
      </c>
      <c r="AE67" s="70" t="n">
        <f aca="false">-AE57*Assumptions!$F$76</f>
        <v>-454498.304948519</v>
      </c>
      <c r="AF67" s="70" t="n">
        <f aca="false">-AF57*Assumptions!$F$76</f>
        <v>-485478.122609111</v>
      </c>
      <c r="AG67" s="70" t="n">
        <f aca="false">-AG57*Assumptions!$F$76</f>
        <v>-517576.458009377</v>
      </c>
      <c r="AH67" s="70" t="n">
        <f aca="false">-AH57*Assumptions!$F$76</f>
        <v>-549898.429178958</v>
      </c>
      <c r="AI67" s="70" t="n">
        <f aca="false">-AI57*Assumptions!$F$76</f>
        <v>-580377.059034921</v>
      </c>
      <c r="AJ67" s="70" t="n">
        <f aca="false">-AJ57*Assumptions!$F$76</f>
        <v>-608839.824453783</v>
      </c>
      <c r="AK67" s="70" t="n">
        <f aca="false">-AK57*Assumptions!$F$76</f>
        <v>-635515.32364238</v>
      </c>
      <c r="AL67" s="70" t="n">
        <f aca="false">-AL57*Assumptions!$F$76</f>
        <v>-660675.162939004</v>
      </c>
      <c r="AM67" s="70" t="n">
        <f aca="false">SUM(C67:AL67)</f>
        <v>-8570152.55445503</v>
      </c>
    </row>
    <row r="68" customFormat="false" ht="15" hidden="false" customHeight="false" outlineLevel="0" collapsed="false">
      <c r="A68" s="10" t="s">
        <v>784</v>
      </c>
      <c r="B68" s="9" t="s">
        <v>95</v>
      </c>
      <c r="C68" s="70" t="n">
        <f aca="false">-C57*Assumptions!$F$77</f>
        <v>-0</v>
      </c>
      <c r="D68" s="70" t="n">
        <f aca="false">-D57*Assumptions!$F$77</f>
        <v>-0</v>
      </c>
      <c r="E68" s="70" t="n">
        <f aca="false">-E57*Assumptions!$F$77</f>
        <v>-0</v>
      </c>
      <c r="F68" s="70" t="n">
        <f aca="false">-F57*Assumptions!$F$77</f>
        <v>-0</v>
      </c>
      <c r="G68" s="70" t="n">
        <f aca="false">-G57*Assumptions!$F$77</f>
        <v>-1231.31304626208</v>
      </c>
      <c r="H68" s="70" t="n">
        <f aca="false">-H57*Assumptions!$F$77</f>
        <v>-2725.48693938126</v>
      </c>
      <c r="I68" s="70" t="n">
        <f aca="false">-I57*Assumptions!$F$77</f>
        <v>-4425.36647735142</v>
      </c>
      <c r="J68" s="70" t="n">
        <f aca="false">-J57*Assumptions!$F$77</f>
        <v>-6323.3532473854</v>
      </c>
      <c r="K68" s="70" t="n">
        <f aca="false">-K57*Assumptions!$F$77</f>
        <v>-8430.5851058517</v>
      </c>
      <c r="L68" s="70" t="n">
        <f aca="false">-L57*Assumptions!$F$77</f>
        <v>-10765.2240167853</v>
      </c>
      <c r="M68" s="70" t="n">
        <f aca="false">-M57*Assumptions!$F$77</f>
        <v>-13349.1203371644</v>
      </c>
      <c r="N68" s="70" t="n">
        <f aca="false">-N57*Assumptions!$F$77</f>
        <v>-16206.7867914568</v>
      </c>
      <c r="O68" s="70" t="n">
        <f aca="false">-O57*Assumptions!$F$77</f>
        <v>-19365.0840492989</v>
      </c>
      <c r="P68" s="70" t="n">
        <f aca="false">-P57*Assumptions!$F$77</f>
        <v>-22853.1657724909</v>
      </c>
      <c r="Q68" s="70" t="n">
        <f aca="false">-Q57*Assumptions!$F$77</f>
        <v>-26702.542342209</v>
      </c>
      <c r="R68" s="70" t="n">
        <f aca="false">-R57*Assumptions!$F$77</f>
        <v>-30947.2127781433</v>
      </c>
      <c r="S68" s="70" t="n">
        <f aca="false">-S57*Assumptions!$F$77</f>
        <v>-35623.8440234359</v>
      </c>
      <c r="T68" s="70" t="n">
        <f aca="false">-T57*Assumptions!$F$77</f>
        <v>-40536.2862705686</v>
      </c>
      <c r="U68" s="70" t="n">
        <f aca="false">-U57*Assumptions!$F$77</f>
        <v>-45598.1406547104</v>
      </c>
      <c r="V68" s="70" t="n">
        <f aca="false">-V57*Assumptions!$F$77</f>
        <v>-50815.242738641</v>
      </c>
      <c r="W68" s="70" t="n">
        <f aca="false">-W57*Assumptions!$F$77</f>
        <v>-56194.6040613936</v>
      </c>
      <c r="X68" s="70" t="n">
        <f aca="false">-X57*Assumptions!$F$77</f>
        <v>-61743.7095420813</v>
      </c>
      <c r="Y68" s="70" t="n">
        <f aca="false">-Y57*Assumptions!$F$77</f>
        <v>-67470.3512247524</v>
      </c>
      <c r="Z68" s="70" t="n">
        <f aca="false">-Z57*Assumptions!$F$77</f>
        <v>-73382.6624633055</v>
      </c>
      <c r="AA68" s="70" t="n">
        <f aca="false">-AA57*Assumptions!$F$77</f>
        <v>-79489.2005113578</v>
      </c>
      <c r="AB68" s="70" t="n">
        <f aca="false">-AB57*Assumptions!$F$77</f>
        <v>-85799.0476140867</v>
      </c>
      <c r="AC68" s="70" t="n">
        <f aca="false">-AC57*Assumptions!$F$77</f>
        <v>-92321.924444622</v>
      </c>
      <c r="AD68" s="70" t="n">
        <f aca="false">-AD57*Assumptions!$F$77</f>
        <v>-99068.315129692</v>
      </c>
      <c r="AE68" s="70" t="n">
        <f aca="false">-AE57*Assumptions!$F$77</f>
        <v>-106049.604487988</v>
      </c>
      <c r="AF68" s="70" t="n">
        <f aca="false">-AF57*Assumptions!$F$77</f>
        <v>-113278.228608793</v>
      </c>
      <c r="AG68" s="70" t="n">
        <f aca="false">-AG57*Assumptions!$F$77</f>
        <v>-120767.840202188</v>
      </c>
      <c r="AH68" s="70" t="n">
        <f aca="false">-AH57*Assumptions!$F$77</f>
        <v>-128309.63347509</v>
      </c>
      <c r="AI68" s="70" t="n">
        <f aca="false">-AI57*Assumptions!$F$77</f>
        <v>-135421.313774815</v>
      </c>
      <c r="AJ68" s="70" t="n">
        <f aca="false">-AJ57*Assumptions!$F$77</f>
        <v>-142062.625705883</v>
      </c>
      <c r="AK68" s="70" t="n">
        <f aca="false">-AK57*Assumptions!$F$77</f>
        <v>-148286.908849889</v>
      </c>
      <c r="AL68" s="70" t="n">
        <f aca="false">-AL57*Assumptions!$F$77</f>
        <v>-154157.538019101</v>
      </c>
      <c r="AM68" s="70" t="n">
        <f aca="false">SUM(C68:AL68)</f>
        <v>-1999702.26270617</v>
      </c>
    </row>
    <row r="69" customFormat="false" ht="15" hidden="false" customHeight="false" outlineLevel="0" collapsed="false">
      <c r="A69" s="10" t="s">
        <v>785</v>
      </c>
      <c r="B69" s="9" t="s">
        <v>95</v>
      </c>
      <c r="C69" s="70" t="n">
        <f aca="false">-C63*Assumptions!$F$79</f>
        <v>-0</v>
      </c>
      <c r="D69" s="70" t="n">
        <f aca="false">-D63*Assumptions!$F$79</f>
        <v>-0</v>
      </c>
      <c r="E69" s="70" t="n">
        <f aca="false">-E63*Assumptions!$F$79</f>
        <v>-0</v>
      </c>
      <c r="F69" s="70" t="n">
        <f aca="false">-F63*Assumptions!$F$79</f>
        <v>-0</v>
      </c>
      <c r="G69" s="70" t="n">
        <f aca="false">-G63*Assumptions!$F$79</f>
        <v>-4529.65493944218</v>
      </c>
      <c r="H69" s="70" t="n">
        <f aca="false">-H63*Assumptions!$F$79</f>
        <v>-8440.71768244606</v>
      </c>
      <c r="I69" s="70" t="n">
        <f aca="false">-I63*Assumptions!$F$79</f>
        <v>-12770.0231998057</v>
      </c>
      <c r="J69" s="70" t="n">
        <f aca="false">-J63*Assumptions!$F$79</f>
        <v>-17563.2188221868</v>
      </c>
      <c r="K69" s="70" t="n">
        <f aca="false">-K63*Assumptions!$F$79</f>
        <v>-22871.0622052373</v>
      </c>
      <c r="L69" s="70" t="n">
        <f aca="false">-L63*Assumptions!$F$79</f>
        <v>-28746.0237013883</v>
      </c>
      <c r="M69" s="70" t="n">
        <f aca="false">-M63*Assumptions!$F$79</f>
        <v>-35245.0971581616</v>
      </c>
      <c r="N69" s="70" t="n">
        <f aca="false">-N63*Assumptions!$F$79</f>
        <v>-42430.3209170834</v>
      </c>
      <c r="O69" s="70" t="n">
        <f aca="false">-O63*Assumptions!$F$79</f>
        <v>-50368.9423732584</v>
      </c>
      <c r="P69" s="70" t="n">
        <f aca="false">-P63*Assumptions!$F$79</f>
        <v>-59133.6207058409</v>
      </c>
      <c r="Q69" s="70" t="n">
        <f aca="false">-Q63*Assumptions!$F$79</f>
        <v>-68802.732076504</v>
      </c>
      <c r="R69" s="70" t="n">
        <f aca="false">-R63*Assumptions!$F$79</f>
        <v>-79460.7728602529</v>
      </c>
      <c r="S69" s="70" t="n">
        <f aca="false">-S63*Assumptions!$F$79</f>
        <v>-91198.8493097789</v>
      </c>
      <c r="T69" s="70" t="n">
        <f aca="false">-T63*Assumptions!$F$79</f>
        <v>-103248.164696096</v>
      </c>
      <c r="U69" s="70" t="n">
        <f aca="false">-U63*Assumptions!$F$79</f>
        <v>-115543.467409468</v>
      </c>
      <c r="V69" s="70" t="n">
        <f aca="false">-V63*Assumptions!$F$79</f>
        <v>-128217.482182686</v>
      </c>
      <c r="W69" s="70" t="n">
        <f aca="false">-W63*Assumptions!$F$79</f>
        <v>-141288.487942282</v>
      </c>
      <c r="X69" s="70" t="n">
        <f aca="false">-X63*Assumptions!$F$79</f>
        <v>-154774.990721896</v>
      </c>
      <c r="Y69" s="70" t="n">
        <f aca="false">-Y63*Assumptions!$F$79</f>
        <v>-168696.016801716</v>
      </c>
      <c r="Z69" s="70" t="n">
        <f aca="false">-Z63*Assumptions!$F$79</f>
        <v>-183071.452554857</v>
      </c>
      <c r="AA69" s="70" t="n">
        <f aca="false">-AA63*Assumptions!$F$79</f>
        <v>-197922.304251773</v>
      </c>
      <c r="AB69" s="70" t="n">
        <f aca="false">-AB63*Assumptions!$F$79</f>
        <v>-213270.963596336</v>
      </c>
      <c r="AC69" s="70" t="n">
        <f aca="false">-AC63*Assumptions!$F$79</f>
        <v>-229141.494848727</v>
      </c>
      <c r="AD69" s="70" t="n">
        <f aca="false">-AD63*Assumptions!$F$79</f>
        <v>-245559.948685645</v>
      </c>
      <c r="AE69" s="70" t="n">
        <f aca="false">-AE63*Assumptions!$F$79</f>
        <v>-262554.706063993</v>
      </c>
      <c r="AF69" s="70" t="n">
        <f aca="false">-AF63*Assumptions!$F$79</f>
        <v>-280156.855433119</v>
      </c>
      <c r="AG69" s="70" t="n">
        <f aca="false">-AG63*Assumptions!$F$79</f>
        <v>-298400.607109044</v>
      </c>
      <c r="AH69" s="70" t="n">
        <f aca="false">-AH63*Assumptions!$F$79</f>
        <v>-316500.242377935</v>
      </c>
      <c r="AI69" s="70" t="n">
        <f aca="false">-AI63*Assumptions!$F$79</f>
        <v>-332950.417530641</v>
      </c>
      <c r="AJ69" s="70" t="n">
        <f aca="false">-AJ63*Assumptions!$F$79</f>
        <v>-348224.103567597</v>
      </c>
      <c r="AK69" s="70" t="n">
        <f aca="false">-AK63*Assumptions!$F$79</f>
        <v>-362569.359411426</v>
      </c>
      <c r="AL69" s="70" t="n">
        <f aca="false">-AL63*Assumptions!$F$79</f>
        <v>-376150.636884342</v>
      </c>
      <c r="AM69" s="70" t="n">
        <f aca="false">SUM(C69:AL69)</f>
        <v>-4979802.73802096</v>
      </c>
    </row>
    <row r="70" customFormat="false" ht="15" hidden="false" customHeight="false" outlineLevel="0" collapsed="false">
      <c r="A70" s="38" t="s">
        <v>786</v>
      </c>
      <c r="B70" s="9" t="s">
        <v>95</v>
      </c>
      <c r="C70" s="53" t="n">
        <f aca="false">C63+C64+C65+C66+C67+C68+C69</f>
        <v>0</v>
      </c>
      <c r="D70" s="53" t="n">
        <f aca="false">D63+D64+D65+D66+D67+D68+D69</f>
        <v>0</v>
      </c>
      <c r="E70" s="53" t="n">
        <f aca="false">E63+E64+E65+E66+E67+E68+E69</f>
        <v>0</v>
      </c>
      <c r="F70" s="53" t="n">
        <f aca="false">F63+F64+F65+F66+F67+F68+F69</f>
        <v>0</v>
      </c>
      <c r="G70" s="53" t="n">
        <f aca="false">G63+G64+G65+G66+G67+G68+G69</f>
        <v>104404.299310796</v>
      </c>
      <c r="H70" s="53" t="n">
        <f aca="false">H63+H64+H65+H66+H67+H68+H69</f>
        <v>195360.968013392</v>
      </c>
      <c r="I70" s="53" t="n">
        <f aca="false">I63+I64+I65+I66+I67+I68+I69</f>
        <v>296130.731888754</v>
      </c>
      <c r="J70" s="53" t="n">
        <f aca="false">J63+J64+J65+J66+J67+J68+J69</f>
        <v>407728.104695066</v>
      </c>
      <c r="K70" s="53" t="n">
        <f aca="false">K63+K64+K65+K66+K67+K68+K69</f>
        <v>531318.002212185</v>
      </c>
      <c r="L70" s="53" t="n">
        <f aca="false">L63+L64+L65+L66+L67+L68+L69</f>
        <v>668117.146802492</v>
      </c>
      <c r="M70" s="53" t="n">
        <f aca="false">M63+M64+M65+M66+M67+M68+M69</f>
        <v>819451.145784974</v>
      </c>
      <c r="N70" s="53" t="n">
        <f aca="false">N63+N64+N65+N66+N67+N68+N69</f>
        <v>986764.304704222</v>
      </c>
      <c r="O70" s="53" t="n">
        <f aca="false">O63+O64+O65+O66+O67+O68+O69</f>
        <v>1171622.74503662</v>
      </c>
      <c r="P70" s="53" t="n">
        <f aca="false">P63+P64+P65+P66+P67+P68+P69</f>
        <v>1375718.87001314</v>
      </c>
      <c r="Q70" s="53" t="n">
        <f aca="false">Q63+Q64+Q65+Q66+Q67+Q68+Q69</f>
        <v>1600878.36299277</v>
      </c>
      <c r="R70" s="53" t="n">
        <f aca="false">R63+R64+R65+R66+R67+R68+R69</f>
        <v>1849069.5234942</v>
      </c>
      <c r="S70" s="53" t="n">
        <f aca="false">S63+S64+S65+S66+S67+S68+S69</f>
        <v>2122414.64031738</v>
      </c>
      <c r="T70" s="53" t="n">
        <f aca="false">T63+T64+T65+T66+T67+T68+T69</f>
        <v>2403217.80057433</v>
      </c>
      <c r="U70" s="53" t="n">
        <f aca="false">U63+U64+U65+U66+U67+U68+U69</f>
        <v>2689845.9276764</v>
      </c>
      <c r="V70" s="53" t="n">
        <f aca="false">V63+V64+V65+V66+V67+V68+V69</f>
        <v>2985301.34230707</v>
      </c>
      <c r="W70" s="53" t="n">
        <f aca="false">W63+W64+W65+W66+W67+W68+W69</f>
        <v>3290009.1970271</v>
      </c>
      <c r="X70" s="53" t="n">
        <f aca="false">X63+X64+X65+X66+X67+X68+X69</f>
        <v>3604400.65292493</v>
      </c>
      <c r="Y70" s="53" t="n">
        <f aca="false">Y63+Y64+Y65+Y66+Y67+Y68+Y69</f>
        <v>3928919.17382042</v>
      </c>
      <c r="Z70" s="53" t="n">
        <f aca="false">Z63+Z64+Z65+Z66+Z67+Z68+Z69</f>
        <v>4264028.2499909</v>
      </c>
      <c r="AA70" s="53" t="n">
        <f aca="false">AA63+AA64+AA65+AA66+AA67+AA68+AA69</f>
        <v>4610217.40891685</v>
      </c>
      <c r="AB70" s="53" t="n">
        <f aca="false">AB63+AB64+AB65+AB66+AB67+AB68+AB69</f>
        <v>4968008.38999269</v>
      </c>
      <c r="AC70" s="53" t="n">
        <f aca="false">AC63+AC64+AC65+AC66+AC67+AC68+AC69</f>
        <v>5337961.82896978</v>
      </c>
      <c r="AD70" s="53" t="n">
        <f aca="false">AD63+AD64+AD65+AD66+AD67+AD68+AD69</f>
        <v>5720684.56679365</v>
      </c>
      <c r="AE70" s="53" t="n">
        <f aca="false">AE63+AE64+AE65+AE66+AE67+AE68+AE69</f>
        <v>6116837.6576201</v>
      </c>
      <c r="AF70" s="53" t="n">
        <f aca="false">AF63+AF64+AF65+AF66+AF67+AF68+AF69</f>
        <v>6527145.15352171</v>
      </c>
      <c r="AG70" s="53" t="n">
        <f aca="false">AG63+AG64+AG65+AG66+AG67+AG68+AG69</f>
        <v>6952403.75452255</v>
      </c>
      <c r="AH70" s="53" t="n">
        <f aca="false">AH63+AH64+AH65+AH66+AH67+AH68+AH69</f>
        <v>7374512.36595144</v>
      </c>
      <c r="AI70" s="53" t="n">
        <f aca="false">AI63+AI64+AI65+AI66+AI67+AI68+AI69</f>
        <v>7758636.80953927</v>
      </c>
      <c r="AJ70" s="53" t="n">
        <f aca="false">AJ63+AJ64+AJ65+AJ66+AJ67+AJ68+AJ69</f>
        <v>8115361.22041392</v>
      </c>
      <c r="AK70" s="53" t="n">
        <f aca="false">AK63+AK64+AK65+AK66+AK67+AK68+AK69</f>
        <v>8450376.63167832</v>
      </c>
      <c r="AL70" s="53" t="n">
        <f aca="false">AL63+AL64+AL65+AL66+AL67+AL68+AL69</f>
        <v>8767508.60695914</v>
      </c>
      <c r="AM70" s="53" t="n">
        <f aca="false">SUM(C70:AL70)</f>
        <v>115994355.584467</v>
      </c>
    </row>
    <row r="71" customFormat="false" ht="15" hidden="false" customHeight="false" outlineLevel="0" collapsed="false">
      <c r="A71" s="10" t="s">
        <v>787</v>
      </c>
      <c r="B71" s="9" t="s">
        <v>59</v>
      </c>
      <c r="C71" s="62" t="n">
        <f aca="false">IFERROR(C70/C63,0)</f>
        <v>0</v>
      </c>
      <c r="D71" s="62" t="n">
        <f aca="false">IFERROR(D70/D63,0)</f>
        <v>0</v>
      </c>
      <c r="E71" s="62" t="n">
        <f aca="false">IFERROR(E70/E63,0)</f>
        <v>0</v>
      </c>
      <c r="F71" s="62" t="n">
        <f aca="false">IFERROR(F70/F63,0)</f>
        <v>0</v>
      </c>
      <c r="G71" s="62" t="n">
        <f aca="false">IFERROR(G70/G63,0)</f>
        <v>0.622324684568275</v>
      </c>
      <c r="H71" s="62" t="n">
        <f aca="false">IFERROR(H70/H63,0)</f>
        <v>0.624916782530393</v>
      </c>
      <c r="I71" s="62" t="n">
        <f aca="false">IFERROR(I70/I63,0)</f>
        <v>0.626117089679056</v>
      </c>
      <c r="J71" s="62" t="n">
        <f aca="false">IFERROR(J70/J63,0)</f>
        <v>0.6268018942439</v>
      </c>
      <c r="K71" s="62" t="n">
        <f aca="false">IFERROR(K70/K63,0)</f>
        <v>0.627237420413467</v>
      </c>
      <c r="L71" s="62" t="n">
        <f aca="false">IFERROR(L70/L63,0)</f>
        <v>0.627535938572126</v>
      </c>
      <c r="M71" s="62" t="n">
        <f aca="false">IFERROR(M70/M63,0)</f>
        <v>0.627752020001763</v>
      </c>
      <c r="N71" s="62" t="n">
        <f aca="false">IFERROR(N70/N63,0)</f>
        <v>0.627915029892858</v>
      </c>
      <c r="O71" s="62" t="n">
        <f aca="false">IFERROR(O70/O63,0)</f>
        <v>0.628042055788403</v>
      </c>
      <c r="P71" s="62" t="n">
        <f aca="false">IFERROR(P70/P63,0)</f>
        <v>0.628143669320183</v>
      </c>
      <c r="Q71" s="62" t="n">
        <f aca="false">IFERROR(Q70/Q63,0)</f>
        <v>0.628226736007271</v>
      </c>
      <c r="R71" s="62" t="n">
        <f aca="false">IFERROR(R70/R63,0)</f>
        <v>0.628295891636316</v>
      </c>
      <c r="S71" s="62" t="n">
        <f aca="false">IFERROR(S70/S63,0)</f>
        <v>0.628354367651267</v>
      </c>
      <c r="T71" s="62" t="n">
        <f aca="false">IFERROR(T70/T63,0)</f>
        <v>0.628455535325953</v>
      </c>
      <c r="U71" s="62" t="n">
        <f aca="false">IFERROR(U70/U63,0)</f>
        <v>0.628558599422055</v>
      </c>
      <c r="V71" s="62" t="n">
        <f aca="false">IFERROR(V70/V63,0)</f>
        <v>0.628643885920694</v>
      </c>
      <c r="W71" s="62" t="n">
        <f aca="false">IFERROR(W70/W63,0)</f>
        <v>0.628715400762303</v>
      </c>
      <c r="X71" s="62" t="n">
        <f aca="false">IFERROR(X70/X63,0)</f>
        <v>0.628776116703755</v>
      </c>
      <c r="Y71" s="62" t="n">
        <f aca="false">IFERROR(Y70/Y63,0)</f>
        <v>0.628828230235205</v>
      </c>
      <c r="Z71" s="62" t="n">
        <f aca="false">IFERROR(Z70/Z63,0)</f>
        <v>0.628873377815454</v>
      </c>
      <c r="AA71" s="62" t="n">
        <f aca="false">IFERROR(AA70/AA63,0)</f>
        <v>0.628912797429904</v>
      </c>
      <c r="AB71" s="62" t="n">
        <f aca="false">IFERROR(AB70/AB63,0)</f>
        <v>0.628947439763465</v>
      </c>
      <c r="AC71" s="62" t="n">
        <f aca="false">IFERROR(AC70/AC63,0)</f>
        <v>0.628978044667691</v>
      </c>
      <c r="AD71" s="62" t="n">
        <f aca="false">IFERROR(AD70/AD63,0)</f>
        <v>0.629005194577392</v>
      </c>
      <c r="AE71" s="62" t="n">
        <f aca="false">IFERROR(AE70/AE63,0)</f>
        <v>0.629029352517068</v>
      </c>
      <c r="AF71" s="62" t="n">
        <f aca="false">IFERROR(AF70/AF63,0)</f>
        <v>0.629050889626215</v>
      </c>
      <c r="AG71" s="62" t="n">
        <f aca="false">IFERROR(AG70/AG63,0)</f>
        <v>0.629070105422113</v>
      </c>
      <c r="AH71" s="62" t="n">
        <f aca="false">IFERROR(AH70/AH63,0)</f>
        <v>0.629104838545203</v>
      </c>
      <c r="AI71" s="62" t="n">
        <f aca="false">IFERROR(AI70/AI63,0)</f>
        <v>0.629172341669407</v>
      </c>
      <c r="AJ71" s="62" t="n">
        <f aca="false">IFERROR(AJ70/AJ63,0)</f>
        <v>0.629234882669865</v>
      </c>
      <c r="AK71" s="62" t="n">
        <f aca="false">IFERROR(AK70/AK63,0)</f>
        <v>0.629286957468487</v>
      </c>
      <c r="AL71" s="62" t="n">
        <f aca="false">IFERROR(AL70/AL63,0)</f>
        <v>0.629329606746575</v>
      </c>
      <c r="AM71" s="62" t="n">
        <f aca="false">AVERAGE(N71:AL71)</f>
        <v>0.628758053903404</v>
      </c>
    </row>
    <row r="72" customFormat="false" ht="15" hidden="false" customHeight="false" outlineLevel="0" collapsed="false">
      <c r="A72" s="38" t="s">
        <v>788</v>
      </c>
      <c r="B72" s="9" t="s">
        <v>95</v>
      </c>
      <c r="C72" s="53" t="n">
        <f aca="false">C42+C63</f>
        <v>0</v>
      </c>
      <c r="D72" s="53" t="n">
        <f aca="false">D42+D63</f>
        <v>258192</v>
      </c>
      <c r="E72" s="53" t="n">
        <f aca="false">E42+E63</f>
        <v>514447.56</v>
      </c>
      <c r="F72" s="53" t="n">
        <f aca="false">F42+F63</f>
        <v>861234.9174</v>
      </c>
      <c r="G72" s="53" t="n">
        <f aca="false">G42+G63</f>
        <v>1440848.62614146</v>
      </c>
      <c r="H72" s="53" t="n">
        <f aca="false">H42+H63</f>
        <v>1993554.56014164</v>
      </c>
      <c r="I72" s="53" t="n">
        <f aca="false">I42+I63</f>
        <v>2559696.73867889</v>
      </c>
      <c r="J72" s="53" t="n">
        <f aca="false">J42+J63</f>
        <v>3152260.89200062</v>
      </c>
      <c r="K72" s="53" t="n">
        <f aca="false">K42+K63</f>
        <v>3777623.3238495</v>
      </c>
      <c r="L72" s="53" t="n">
        <f aca="false">L42+L63</f>
        <v>4440243.631274</v>
      </c>
      <c r="M72" s="53" t="n">
        <f aca="false">M42+M63</f>
        <v>5144350.68661011</v>
      </c>
      <c r="N72" s="53" t="n">
        <f aca="false">N42+N63</f>
        <v>5894301.36878456</v>
      </c>
      <c r="O72" s="53" t="n">
        <f aca="false">O42+O63</f>
        <v>6694673.97778006</v>
      </c>
      <c r="P72" s="53" t="n">
        <f aca="false">P42+P63</f>
        <v>7550303.73724409</v>
      </c>
      <c r="Q72" s="53" t="n">
        <f aca="false">Q42+Q63</f>
        <v>8466309.35191208</v>
      </c>
      <c r="R72" s="53" t="n">
        <f aca="false">R42+R63</f>
        <v>9448121.10216259</v>
      </c>
      <c r="S72" s="53" t="n">
        <f aca="false">S42+S63</f>
        <v>10501512.4354382</v>
      </c>
      <c r="T72" s="53" t="n">
        <f aca="false">T42+T63</f>
        <v>11600521.1240865</v>
      </c>
      <c r="U72" s="53" t="n">
        <f aca="false">U42+U63</f>
        <v>12742181.896408</v>
      </c>
      <c r="V72" s="53" t="n">
        <f aca="false">V42+V63</f>
        <v>13931321.8822625</v>
      </c>
      <c r="W72" s="53" t="n">
        <f aca="false">W42+W63</f>
        <v>15169354.6357507</v>
      </c>
      <c r="X72" s="53" t="n">
        <f aca="false">X42+X63</f>
        <v>16457722.7050501</v>
      </c>
      <c r="Y72" s="53" t="n">
        <f aca="false">Y42+Y63</f>
        <v>17797914.7037215</v>
      </c>
      <c r="Z72" s="53" t="n">
        <f aca="false">Z42+Z63</f>
        <v>19191510.1976867</v>
      </c>
      <c r="AA72" s="53" t="n">
        <f aca="false">AA42+AA63</f>
        <v>20640204.8292967</v>
      </c>
      <c r="AB72" s="53" t="n">
        <f aca="false">AB42+AB63</f>
        <v>22145834.0255739</v>
      </c>
      <c r="AC72" s="53" t="n">
        <f aca="false">AC42+AC63</f>
        <v>23710398.161</v>
      </c>
      <c r="AD72" s="53" t="n">
        <f aca="false">AD42+AD63</f>
        <v>25336090.0092023</v>
      </c>
      <c r="AE72" s="53" t="n">
        <f aca="false">AE42+AE63</f>
        <v>27025324.8790534</v>
      </c>
      <c r="AF72" s="53" t="n">
        <f aca="false">AF42+AF63</f>
        <v>28780773.7753515</v>
      </c>
      <c r="AG72" s="53" t="n">
        <f aca="false">AG42+AG63</f>
        <v>30605399.9480526</v>
      </c>
      <c r="AH72" s="53" t="n">
        <f aca="false">AH42+AH63</f>
        <v>32421820.3531799</v>
      </c>
      <c r="AI72" s="53" t="n">
        <f aca="false">AI42+AI63</f>
        <v>34086649.3124848</v>
      </c>
      <c r="AJ72" s="53" t="n">
        <f aca="false">AJ42+AJ63</f>
        <v>35656392.9913075</v>
      </c>
      <c r="AK72" s="53" t="n">
        <f aca="false">AK42+AK63</f>
        <v>37156318.804541</v>
      </c>
      <c r="AL72" s="53" t="n">
        <f aca="false">AL42+AL63</f>
        <v>38598594.2910258</v>
      </c>
      <c r="AM72" s="53" t="n">
        <f aca="false">SUM(C72:AL72)</f>
        <v>535752003.434453</v>
      </c>
    </row>
    <row r="73" customFormat="false" ht="15" hidden="false" customHeight="false" outlineLevel="0" collapsed="false">
      <c r="A73" s="38" t="s">
        <v>789</v>
      </c>
      <c r="B73" s="9" t="s">
        <v>95</v>
      </c>
      <c r="C73" s="53" t="n">
        <f aca="false">C46+C70</f>
        <v>0</v>
      </c>
      <c r="D73" s="53" t="n">
        <f aca="false">D46+D70</f>
        <v>173640.816</v>
      </c>
      <c r="E73" s="53" t="n">
        <f aca="false">E46+E70</f>
        <v>345979.32588</v>
      </c>
      <c r="F73" s="53" t="n">
        <f aca="false">F46+F70</f>
        <v>579202.8173802</v>
      </c>
      <c r="G73" s="53" t="n">
        <f aca="false">G46+G70</f>
        <v>960586.055790077</v>
      </c>
      <c r="H73" s="53" t="n">
        <f aca="false">H46+H70</f>
        <v>1325833.60927624</v>
      </c>
      <c r="I73" s="53" t="n">
        <f aca="false">I46+I70</f>
        <v>1699512.73593553</v>
      </c>
      <c r="J73" s="53" t="n">
        <f aca="false">J46+J70</f>
        <v>2090234.18938449</v>
      </c>
      <c r="K73" s="53" t="n">
        <f aca="false">K46+K70</f>
        <v>2502186.82467191</v>
      </c>
      <c r="L73" s="53" t="n">
        <f aca="false">L46+L70</f>
        <v>2938279.60798735</v>
      </c>
      <c r="M73" s="53" t="n">
        <f aca="false">M46+M70</f>
        <v>3401262.54924417</v>
      </c>
      <c r="N73" s="53" t="n">
        <f aca="false">N46+N70</f>
        <v>3893964.79422061</v>
      </c>
      <c r="O73" s="53" t="n">
        <f aca="false">O46+O70</f>
        <v>4419356.46700612</v>
      </c>
      <c r="P73" s="53" t="n">
        <f aca="false">P46+P70</f>
        <v>4980571.96256413</v>
      </c>
      <c r="Q73" s="53" t="n">
        <f aca="false">Q46+Q70</f>
        <v>5580927.20366553</v>
      </c>
      <c r="R73" s="53" t="n">
        <f aca="false">R46+R70</f>
        <v>6223937.82741589</v>
      </c>
      <c r="S73" s="53" t="n">
        <f aca="false">S46+S70</f>
        <v>6913339.60768691</v>
      </c>
      <c r="T73" s="53" t="n">
        <f aca="false">T46+T70</f>
        <v>7633125.83197634</v>
      </c>
      <c r="U73" s="53" t="n">
        <f aca="false">U46+U70</f>
        <v>8381294.51267919</v>
      </c>
      <c r="V73" s="53" t="n">
        <f aca="false">V46+V70</f>
        <v>9160788.38401913</v>
      </c>
      <c r="W73" s="53" t="n">
        <f aca="false">W46+W70</f>
        <v>9972527.9521216</v>
      </c>
      <c r="X73" s="53" t="n">
        <f aca="false">X46+X70</f>
        <v>10817453.5740408</v>
      </c>
      <c r="Y73" s="53" t="n">
        <f aca="false">Y46+Y70</f>
        <v>11696535.931235</v>
      </c>
      <c r="Z73" s="53" t="n">
        <f aca="false">Z46+Z70</f>
        <v>12610805.4759303</v>
      </c>
      <c r="AA73" s="53" t="n">
        <f aca="false">AA46+AA70</f>
        <v>13561368.8671497</v>
      </c>
      <c r="AB73" s="53" t="n">
        <f aca="false">AB46+AB70</f>
        <v>14549424.4757622</v>
      </c>
      <c r="AC73" s="53" t="n">
        <f aca="false">AC46+AC70</f>
        <v>15576278.8397893</v>
      </c>
      <c r="AD73" s="53" t="n">
        <f aca="false">AD46+AD70</f>
        <v>16643364.6174686</v>
      </c>
      <c r="AE73" s="53" t="n">
        <f aca="false">AE46+AE70</f>
        <v>17752260.2974951</v>
      </c>
      <c r="AF73" s="53" t="n">
        <f aca="false">AF46+AF70</f>
        <v>18904711.8894036</v>
      </c>
      <c r="AG73" s="53" t="n">
        <f aca="false">AG46+AG70</f>
        <v>20102656.8325245</v>
      </c>
      <c r="AH73" s="53" t="n">
        <f aca="false">AH46+AH70</f>
        <v>21295522.8990617</v>
      </c>
      <c r="AI73" s="53" t="n">
        <f aca="false">AI46+AI70</f>
        <v>22389540.9785057</v>
      </c>
      <c r="AJ73" s="53" t="n">
        <f aca="false">AJ46+AJ70</f>
        <v>23421516.131917</v>
      </c>
      <c r="AK73" s="53" t="n">
        <f aca="false">AK46+AK70</f>
        <v>24407953.6412899</v>
      </c>
      <c r="AL73" s="53" t="n">
        <f aca="false">AL46+AL70</f>
        <v>25356765.8291818</v>
      </c>
      <c r="AM73" s="53" t="n">
        <f aca="false">SUM(C73:AL73)</f>
        <v>352262713.355661</v>
      </c>
    </row>
    <row r="74" customFormat="false" ht="15" hidden="false" customHeight="false" outlineLevel="0" collapsed="false">
      <c r="A74" s="38" t="s">
        <v>790</v>
      </c>
      <c r="B74" s="9" t="s">
        <v>59</v>
      </c>
      <c r="C74" s="52" t="n">
        <f aca="false">IFERROR(C73/C72,0)</f>
        <v>0</v>
      </c>
      <c r="D74" s="52" t="n">
        <f aca="false">IFERROR(D73/D72,0)</f>
        <v>0.672525934188511</v>
      </c>
      <c r="E74" s="52" t="n">
        <f aca="false">IFERROR(E73/E72,0)</f>
        <v>0.672525934188511</v>
      </c>
      <c r="F74" s="52" t="n">
        <f aca="false">IFERROR(F73/F72,0)</f>
        <v>0.672525934188511</v>
      </c>
      <c r="G74" s="52" t="n">
        <f aca="false">IFERROR(G73/G72,0)</f>
        <v>0.666680759076329</v>
      </c>
      <c r="H74" s="52" t="n">
        <f aca="false">IFERROR(H73/H72,0)</f>
        <v>0.665060107099375</v>
      </c>
      <c r="I74" s="52" t="n">
        <f aca="false">IFERROR(I73/I72,0)</f>
        <v>0.663950815053459</v>
      </c>
      <c r="J74" s="52" t="n">
        <f aca="false">IFERROR(J73/J72,0)</f>
        <v>0.663090480451286</v>
      </c>
      <c r="K74" s="52" t="n">
        <f aca="false">IFERROR(K73/K72,0)</f>
        <v>0.662370652170293</v>
      </c>
      <c r="L74" s="52" t="n">
        <f aca="false">IFERROR(L73/L72,0)</f>
        <v>0.661738375636001</v>
      </c>
      <c r="M74" s="52" t="n">
        <f aca="false">IFERROR(M73/M72,0)</f>
        <v>0.66116459713703</v>
      </c>
      <c r="N74" s="52" t="n">
        <f aca="false">IFERROR(N73/N72,0)</f>
        <v>0.660632117462221</v>
      </c>
      <c r="O74" s="52" t="n">
        <f aca="false">IFERROR(O73/O72,0)</f>
        <v>0.660130199270969</v>
      </c>
      <c r="P74" s="52" t="n">
        <f aca="false">IFERROR(P73/P72,0)</f>
        <v>0.659651867777981</v>
      </c>
      <c r="Q74" s="52" t="n">
        <f aca="false">IFERROR(Q73/Q72,0)</f>
        <v>0.659192449943387</v>
      </c>
      <c r="R74" s="52" t="n">
        <f aca="false">IFERROR(R73/R72,0)</f>
        <v>0.658748735342869</v>
      </c>
      <c r="S74" s="52" t="n">
        <f aca="false">IFERROR(S73/S72,0)</f>
        <v>0.65831847080972</v>
      </c>
      <c r="T74" s="52" t="n">
        <f aca="false">IFERROR(T73/T72,0)</f>
        <v>0.657998528715013</v>
      </c>
      <c r="U74" s="52" t="n">
        <f aca="false">IFERROR(U73/U72,0)</f>
        <v>0.657759760519651</v>
      </c>
      <c r="V74" s="52" t="n">
        <f aca="false">IFERROR(V73/V72,0)</f>
        <v>0.657567778667344</v>
      </c>
      <c r="W74" s="52" t="n">
        <f aca="false">IFERROR(W73/W72,0)</f>
        <v>0.657412803087787</v>
      </c>
      <c r="X74" s="52" t="n">
        <f aca="false">IFERROR(X73/X72,0)</f>
        <v>0.657287388292275</v>
      </c>
      <c r="Y74" s="52" t="n">
        <f aca="false">IFERROR(Y73/Y72,0)</f>
        <v>0.657185750462626</v>
      </c>
      <c r="Z74" s="52" t="n">
        <f aca="false">IFERROR(Z73/Z72,0)</f>
        <v>0.657103341322785</v>
      </c>
      <c r="AA74" s="52" t="n">
        <f aca="false">IFERROR(AA73/AA72,0)</f>
        <v>0.657036544903893</v>
      </c>
      <c r="AB74" s="52" t="n">
        <f aca="false">IFERROR(AB73/AB72,0)</f>
        <v>0.65698245814362</v>
      </c>
      <c r="AC74" s="52" t="n">
        <f aca="false">IFERROR(AC73/AC72,0)</f>
        <v>0.656938729329728</v>
      </c>
      <c r="AD74" s="52" t="n">
        <f aca="false">IFERROR(AD73/AD72,0)</f>
        <v>0.656903437405835</v>
      </c>
      <c r="AE74" s="52" t="n">
        <f aca="false">IFERROR(AE73/AE72,0)</f>
        <v>0.656875000650016</v>
      </c>
      <c r="AF74" s="52" t="n">
        <f aca="false">IFERROR(AF73/AF72,0)</f>
        <v>0.656852106790611</v>
      </c>
      <c r="AG74" s="52" t="n">
        <f aca="false">IFERROR(AG73/AG72,0)</f>
        <v>0.656833658983228</v>
      </c>
      <c r="AH74" s="52" t="n">
        <f aca="false">IFERROR(AH73/AH72,0)</f>
        <v>0.656826873601903</v>
      </c>
      <c r="AI74" s="52" t="n">
        <f aca="false">IFERROR(AI73/AI72,0)</f>
        <v>0.656841943402904</v>
      </c>
      <c r="AJ74" s="52" t="n">
        <f aca="false">IFERROR(AJ73/AJ72,0)</f>
        <v>0.656867231007544</v>
      </c>
      <c r="AK74" s="52" t="n">
        <f aca="false">IFERROR(AK73/AK72,0)</f>
        <v>0.656899133891243</v>
      </c>
      <c r="AL74" s="52" t="n">
        <f aca="false">IFERROR(AL73/AL72,0)</f>
        <v>0.656934955661773</v>
      </c>
      <c r="AM74" s="52" t="n">
        <f aca="false">AVERAGE(N74:AL74)</f>
        <v>0.657671250617877</v>
      </c>
    </row>
    <row r="75" customFormat="false" ht="15" hidden="false" customHeight="false" outlineLevel="0" collapsed="false">
      <c r="A75" s="10" t="s">
        <v>791</v>
      </c>
      <c r="B75" s="9" t="s">
        <v>95</v>
      </c>
      <c r="C75" s="70" t="n">
        <f aca="false">-Assumptions!$F$82</f>
        <v>-600</v>
      </c>
      <c r="D75" s="70" t="n">
        <f aca="false">-Assumptions!$F$82</f>
        <v>-600</v>
      </c>
      <c r="E75" s="70" t="n">
        <f aca="false">-Assumptions!$F$82</f>
        <v>-600</v>
      </c>
      <c r="F75" s="70" t="n">
        <f aca="false">-Assumptions!$F$82</f>
        <v>-600</v>
      </c>
      <c r="G75" s="70" t="n">
        <f aca="false">-Assumptions!$F$82</f>
        <v>-600</v>
      </c>
      <c r="H75" s="70" t="n">
        <f aca="false">-Assumptions!$F$82</f>
        <v>-600</v>
      </c>
      <c r="I75" s="70" t="n">
        <f aca="false">-Assumptions!$F$82</f>
        <v>-600</v>
      </c>
      <c r="J75" s="70" t="n">
        <f aca="false">-Assumptions!$F$82</f>
        <v>-600</v>
      </c>
      <c r="K75" s="70" t="n">
        <f aca="false">-Assumptions!$F$82</f>
        <v>-600</v>
      </c>
      <c r="L75" s="70" t="n">
        <f aca="false">-Assumptions!$F$82</f>
        <v>-600</v>
      </c>
      <c r="M75" s="70" t="n">
        <f aca="false">-Assumptions!$F$82</f>
        <v>-600</v>
      </c>
      <c r="N75" s="70" t="n">
        <f aca="false">-Assumptions!$F$82</f>
        <v>-600</v>
      </c>
      <c r="O75" s="70" t="n">
        <f aca="false">-Assumptions!$F$82</f>
        <v>-600</v>
      </c>
      <c r="P75" s="70" t="n">
        <f aca="false">-Assumptions!$F$82</f>
        <v>-600</v>
      </c>
      <c r="Q75" s="70" t="n">
        <f aca="false">-Assumptions!$F$82</f>
        <v>-600</v>
      </c>
      <c r="R75" s="70" t="n">
        <f aca="false">-Assumptions!$F$82</f>
        <v>-600</v>
      </c>
      <c r="S75" s="70" t="n">
        <f aca="false">-Assumptions!$F$82</f>
        <v>-600</v>
      </c>
      <c r="T75" s="70" t="n">
        <f aca="false">-Assumptions!$F$82</f>
        <v>-600</v>
      </c>
      <c r="U75" s="70" t="n">
        <f aca="false">-Assumptions!$F$82</f>
        <v>-600</v>
      </c>
      <c r="V75" s="70" t="n">
        <f aca="false">-Assumptions!$F$82</f>
        <v>-600</v>
      </c>
      <c r="W75" s="70" t="n">
        <f aca="false">-Assumptions!$F$82</f>
        <v>-600</v>
      </c>
      <c r="X75" s="70" t="n">
        <f aca="false">-Assumptions!$F$82</f>
        <v>-600</v>
      </c>
      <c r="Y75" s="70" t="n">
        <f aca="false">-Assumptions!$F$82</f>
        <v>-600</v>
      </c>
      <c r="Z75" s="70" t="n">
        <f aca="false">-Assumptions!$F$82</f>
        <v>-600</v>
      </c>
      <c r="AA75" s="70" t="n">
        <f aca="false">-Assumptions!$F$82</f>
        <v>-600</v>
      </c>
      <c r="AB75" s="70" t="n">
        <f aca="false">-Assumptions!$F$82</f>
        <v>-600</v>
      </c>
      <c r="AC75" s="70" t="n">
        <f aca="false">-Assumptions!$F$82</f>
        <v>-600</v>
      </c>
      <c r="AD75" s="70" t="n">
        <f aca="false">-Assumptions!$F$82</f>
        <v>-600</v>
      </c>
      <c r="AE75" s="70" t="n">
        <f aca="false">-Assumptions!$F$82</f>
        <v>-600</v>
      </c>
      <c r="AF75" s="70" t="n">
        <f aca="false">-Assumptions!$F$82</f>
        <v>-600</v>
      </c>
      <c r="AG75" s="70" t="n">
        <f aca="false">-Assumptions!$F$82</f>
        <v>-600</v>
      </c>
      <c r="AH75" s="70" t="n">
        <f aca="false">-Assumptions!$F$82</f>
        <v>-600</v>
      </c>
      <c r="AI75" s="70" t="n">
        <f aca="false">-Assumptions!$F$82</f>
        <v>-600</v>
      </c>
      <c r="AJ75" s="70" t="n">
        <f aca="false">-Assumptions!$F$82</f>
        <v>-600</v>
      </c>
      <c r="AK75" s="70" t="n">
        <f aca="false">-Assumptions!$F$82</f>
        <v>-600</v>
      </c>
      <c r="AL75" s="70" t="n">
        <f aca="false">-Assumptions!$F$82</f>
        <v>-600</v>
      </c>
      <c r="AM75" s="70" t="n">
        <f aca="false">SUM(C75:AL75)</f>
        <v>-21600</v>
      </c>
    </row>
    <row r="76" customFormat="false" ht="15" hidden="false" customHeight="false" outlineLevel="0" collapsed="false">
      <c r="A76" s="10" t="s">
        <v>792</v>
      </c>
      <c r="B76" s="9" t="s">
        <v>95</v>
      </c>
      <c r="C76" s="70" t="n">
        <f aca="false">-Assumptions!$F$83</f>
        <v>-260</v>
      </c>
      <c r="D76" s="70" t="n">
        <f aca="false">-Assumptions!$F$83</f>
        <v>-260</v>
      </c>
      <c r="E76" s="70" t="n">
        <f aca="false">-Assumptions!$F$83</f>
        <v>-260</v>
      </c>
      <c r="F76" s="70" t="n">
        <f aca="false">-Assumptions!$F$83</f>
        <v>-260</v>
      </c>
      <c r="G76" s="70" t="n">
        <f aca="false">-Assumptions!$F$83</f>
        <v>-260</v>
      </c>
      <c r="H76" s="70" t="n">
        <f aca="false">-Assumptions!$F$83</f>
        <v>-260</v>
      </c>
      <c r="I76" s="70" t="n">
        <f aca="false">-Assumptions!$F$83</f>
        <v>-260</v>
      </c>
      <c r="J76" s="70" t="n">
        <f aca="false">-Assumptions!$F$83</f>
        <v>-260</v>
      </c>
      <c r="K76" s="70" t="n">
        <f aca="false">-Assumptions!$F$83</f>
        <v>-260</v>
      </c>
      <c r="L76" s="70" t="n">
        <f aca="false">-Assumptions!$F$83</f>
        <v>-260</v>
      </c>
      <c r="M76" s="70" t="n">
        <f aca="false">-Assumptions!$F$83</f>
        <v>-260</v>
      </c>
      <c r="N76" s="70" t="n">
        <f aca="false">-Assumptions!$F$83</f>
        <v>-260</v>
      </c>
      <c r="O76" s="70" t="n">
        <f aca="false">-Assumptions!$F$83</f>
        <v>-260</v>
      </c>
      <c r="P76" s="70" t="n">
        <f aca="false">-Assumptions!$F$83</f>
        <v>-260</v>
      </c>
      <c r="Q76" s="70" t="n">
        <f aca="false">-Assumptions!$F$83</f>
        <v>-260</v>
      </c>
      <c r="R76" s="70" t="n">
        <f aca="false">-Assumptions!$F$83</f>
        <v>-260</v>
      </c>
      <c r="S76" s="70" t="n">
        <f aca="false">-Assumptions!$F$83</f>
        <v>-260</v>
      </c>
      <c r="T76" s="70" t="n">
        <f aca="false">-Assumptions!$F$83</f>
        <v>-260</v>
      </c>
      <c r="U76" s="70" t="n">
        <f aca="false">-Assumptions!$F$83</f>
        <v>-260</v>
      </c>
      <c r="V76" s="70" t="n">
        <f aca="false">-Assumptions!$F$83</f>
        <v>-260</v>
      </c>
      <c r="W76" s="70" t="n">
        <f aca="false">-Assumptions!$F$83</f>
        <v>-260</v>
      </c>
      <c r="X76" s="70" t="n">
        <f aca="false">-Assumptions!$F$83</f>
        <v>-260</v>
      </c>
      <c r="Y76" s="70" t="n">
        <f aca="false">-Assumptions!$F$83</f>
        <v>-260</v>
      </c>
      <c r="Z76" s="70" t="n">
        <f aca="false">-Assumptions!$F$83</f>
        <v>-260</v>
      </c>
      <c r="AA76" s="70" t="n">
        <f aca="false">-Assumptions!$F$83</f>
        <v>-260</v>
      </c>
      <c r="AB76" s="70" t="n">
        <f aca="false">-Assumptions!$F$83</f>
        <v>-260</v>
      </c>
      <c r="AC76" s="70" t="n">
        <f aca="false">-Assumptions!$F$83</f>
        <v>-260</v>
      </c>
      <c r="AD76" s="70" t="n">
        <f aca="false">-Assumptions!$F$83</f>
        <v>-260</v>
      </c>
      <c r="AE76" s="70" t="n">
        <f aca="false">-Assumptions!$F$83</f>
        <v>-260</v>
      </c>
      <c r="AF76" s="70" t="n">
        <f aca="false">-Assumptions!$F$83</f>
        <v>-260</v>
      </c>
      <c r="AG76" s="70" t="n">
        <f aca="false">-Assumptions!$F$83</f>
        <v>-260</v>
      </c>
      <c r="AH76" s="70" t="n">
        <f aca="false">-Assumptions!$F$83</f>
        <v>-260</v>
      </c>
      <c r="AI76" s="70" t="n">
        <f aca="false">-Assumptions!$F$83</f>
        <v>-260</v>
      </c>
      <c r="AJ76" s="70" t="n">
        <f aca="false">-Assumptions!$F$83</f>
        <v>-260</v>
      </c>
      <c r="AK76" s="70" t="n">
        <f aca="false">-Assumptions!$F$83</f>
        <v>-260</v>
      </c>
      <c r="AL76" s="70" t="n">
        <f aca="false">-Assumptions!$F$83</f>
        <v>-260</v>
      </c>
      <c r="AM76" s="70" t="n">
        <f aca="false">SUM(C76:AL76)</f>
        <v>-9360</v>
      </c>
    </row>
    <row r="77" customFormat="false" ht="15" hidden="false" customHeight="false" outlineLevel="0" collapsed="false">
      <c r="A77" s="10" t="s">
        <v>793</v>
      </c>
      <c r="B77" s="9" t="s">
        <v>95</v>
      </c>
      <c r="C77" s="70" t="n">
        <f aca="false">-MAX(IF(C8=0,Assumptions!$F$84,IF(C$5&lt;=12,Assumptions!$F$85,IF(C$5&lt;=24,Assumptions!$F$86,Assumptions!$F$87))))</f>
        <v>-25000</v>
      </c>
      <c r="D77" s="70" t="n">
        <f aca="false">-MAX(IF(D8=0,Assumptions!$F$84,IF(D$5&lt;=12,Assumptions!$F$85,IF(D$5&lt;=24,Assumptions!$F$86,Assumptions!$F$87))),C72*Assumptions!$F$88)</f>
        <v>-70000</v>
      </c>
      <c r="E77" s="70" t="n">
        <f aca="false">-MAX(IF(E8=0,Assumptions!$F$84,IF(E$5&lt;=12,Assumptions!$F$85,IF(E$5&lt;=24,Assumptions!$F$86,Assumptions!$F$87))),D72*Assumptions!$F$88)</f>
        <v>-70000</v>
      </c>
      <c r="F77" s="70" t="n">
        <f aca="false">-MAX(IF(F8=0,Assumptions!$F$84,IF(F$5&lt;=12,Assumptions!$F$85,IF(F$5&lt;=24,Assumptions!$F$86,Assumptions!$F$87))),E72*Assumptions!$F$88)</f>
        <v>-70000</v>
      </c>
      <c r="G77" s="70" t="n">
        <f aca="false">-MAX(IF(G8=0,Assumptions!$F$84,IF(G$5&lt;=12,Assumptions!$F$85,IF(G$5&lt;=24,Assumptions!$F$86,Assumptions!$F$87))),F72*Assumptions!$F$88)</f>
        <v>-70000</v>
      </c>
      <c r="H77" s="70" t="n">
        <f aca="false">-MAX(IF(H8=0,Assumptions!$F$84,IF(H$5&lt;=12,Assumptions!$F$85,IF(H$5&lt;=24,Assumptions!$F$86,Assumptions!$F$87))),G72*Assumptions!$F$88)</f>
        <v>-72042.4313070732</v>
      </c>
      <c r="I77" s="70" t="n">
        <f aca="false">-MAX(IF(I8=0,Assumptions!$F$84,IF(I$5&lt;=12,Assumptions!$F$85,IF(I$5&lt;=24,Assumptions!$F$86,Assumptions!$F$87))),H72*Assumptions!$F$88)</f>
        <v>-99677.7280070818</v>
      </c>
      <c r="J77" s="70" t="n">
        <f aca="false">-MAX(IF(J8=0,Assumptions!$F$84,IF(J$5&lt;=12,Assumptions!$F$85,IF(J$5&lt;=24,Assumptions!$F$86,Assumptions!$F$87))),I72*Assumptions!$F$88)</f>
        <v>-127984.836933945</v>
      </c>
      <c r="K77" s="70" t="n">
        <f aca="false">-MAX(IF(K8=0,Assumptions!$F$84,IF(K$5&lt;=12,Assumptions!$F$85,IF(K$5&lt;=24,Assumptions!$F$86,Assumptions!$F$87))),J72*Assumptions!$F$88)</f>
        <v>-157613.044600031</v>
      </c>
      <c r="L77" s="70" t="n">
        <f aca="false">-MAX(IF(L8=0,Assumptions!$F$84,IF(L$5&lt;=12,Assumptions!$F$85,IF(L$5&lt;=24,Assumptions!$F$86,Assumptions!$F$87))),K72*Assumptions!$F$88)</f>
        <v>-188881.166192475</v>
      </c>
      <c r="M77" s="70" t="n">
        <f aca="false">-MAX(IF(M8=0,Assumptions!$F$84,IF(M$5&lt;=12,Assumptions!$F$85,IF(M$5&lt;=24,Assumptions!$F$86,Assumptions!$F$87))),L72*Assumptions!$F$88)</f>
        <v>-222012.1815637</v>
      </c>
      <c r="N77" s="70" t="n">
        <f aca="false">-MAX(IF(N8=0,Assumptions!$F$84,IF(N$5&lt;=12,Assumptions!$F$85,IF(N$5&lt;=24,Assumptions!$F$86,Assumptions!$F$87))),M72*Assumptions!$F$88)</f>
        <v>-257217.534330505</v>
      </c>
      <c r="O77" s="70" t="n">
        <f aca="false">-MAX(IF(O8=0,Assumptions!$F$84,IF(O$5&lt;=12,Assumptions!$F$85,IF(O$5&lt;=24,Assumptions!$F$86,Assumptions!$F$87))),N72*Assumptions!$F$88)</f>
        <v>-294715.068439228</v>
      </c>
      <c r="P77" s="70" t="n">
        <f aca="false">-MAX(IF(P8=0,Assumptions!$F$84,IF(P$5&lt;=12,Assumptions!$F$85,IF(P$5&lt;=24,Assumptions!$F$86,Assumptions!$F$87))),O72*Assumptions!$F$88)</f>
        <v>-334733.698889003</v>
      </c>
      <c r="Q77" s="70" t="n">
        <f aca="false">-MAX(IF(Q8=0,Assumptions!$F$84,IF(Q$5&lt;=12,Assumptions!$F$85,IF(Q$5&lt;=24,Assumptions!$F$86,Assumptions!$F$87))),P72*Assumptions!$F$88)</f>
        <v>-377515.186862205</v>
      </c>
      <c r="R77" s="70" t="n">
        <f aca="false">-MAX(IF(R8=0,Assumptions!$F$84,IF(R$5&lt;=12,Assumptions!$F$85,IF(R$5&lt;=24,Assumptions!$F$86,Assumptions!$F$87))),Q72*Assumptions!$F$88)</f>
        <v>-423315.467595604</v>
      </c>
      <c r="S77" s="70" t="n">
        <f aca="false">-MAX(IF(S8=0,Assumptions!$F$84,IF(S$5&lt;=12,Assumptions!$F$85,IF(S$5&lt;=24,Assumptions!$F$86,Assumptions!$F$87))),R72*Assumptions!$F$88)</f>
        <v>-472406.05510813</v>
      </c>
      <c r="T77" s="70" t="n">
        <f aca="false">-MAX(IF(T8=0,Assumptions!$F$84,IF(T$5&lt;=12,Assumptions!$F$85,IF(T$5&lt;=24,Assumptions!$F$86,Assumptions!$F$87))),S72*Assumptions!$F$88)</f>
        <v>-525075.621771908</v>
      </c>
      <c r="U77" s="70" t="n">
        <f aca="false">-MAX(IF(U8=0,Assumptions!$F$84,IF(U$5&lt;=12,Assumptions!$F$85,IF(U$5&lt;=24,Assumptions!$F$86,Assumptions!$F$87))),T72*Assumptions!$F$88)</f>
        <v>-580026.056204324</v>
      </c>
      <c r="V77" s="70" t="n">
        <f aca="false">-MAX(IF(V8=0,Assumptions!$F$84,IF(V$5&lt;=12,Assumptions!$F$85,IF(V$5&lt;=24,Assumptions!$F$86,Assumptions!$F$87))),U72*Assumptions!$F$88)</f>
        <v>-637109.094820402</v>
      </c>
      <c r="W77" s="70" t="n">
        <f aca="false">-MAX(IF(W8=0,Assumptions!$F$84,IF(W$5&lt;=12,Assumptions!$F$85,IF(W$5&lt;=24,Assumptions!$F$86,Assumptions!$F$87))),V72*Assumptions!$F$88)</f>
        <v>-696566.094113126</v>
      </c>
      <c r="X77" s="70" t="n">
        <f aca="false">-MAX(IF(X8=0,Assumptions!$F$84,IF(X$5&lt;=12,Assumptions!$F$85,IF(X$5&lt;=24,Assumptions!$F$86,Assumptions!$F$87))),W72*Assumptions!$F$88)</f>
        <v>-758467.731787536</v>
      </c>
      <c r="Y77" s="70" t="n">
        <f aca="false">-MAX(IF(Y8=0,Assumptions!$F$84,IF(Y$5&lt;=12,Assumptions!$F$85,IF(Y$5&lt;=24,Assumptions!$F$86,Assumptions!$F$87))),X72*Assumptions!$F$88)</f>
        <v>-822886.135252503</v>
      </c>
      <c r="Z77" s="70" t="n">
        <f aca="false">-MAX(IF(Z8=0,Assumptions!$F$84,IF(Z$5&lt;=12,Assumptions!$F$85,IF(Z$5&lt;=24,Assumptions!$F$86,Assumptions!$F$87))),Y72*Assumptions!$F$88)</f>
        <v>-889895.735186073</v>
      </c>
      <c r="AA77" s="70" t="n">
        <f aca="false">-MAX(IF(AA8=0,Assumptions!$F$84,IF(AA$5&lt;=12,Assumptions!$F$85,IF(AA$5&lt;=24,Assumptions!$F$86,Assumptions!$F$87))),Z72*Assumptions!$F$88)</f>
        <v>-959575.509884336</v>
      </c>
      <c r="AB77" s="70" t="n">
        <f aca="false">-MAX(IF(AB8=0,Assumptions!$F$84,IF(AB$5&lt;=12,Assumptions!$F$85,IF(AB$5&lt;=24,Assumptions!$F$86,Assumptions!$F$87))),AA72*Assumptions!$F$88)</f>
        <v>-1032010.24146483</v>
      </c>
      <c r="AC77" s="70" t="n">
        <f aca="false">-MAX(IF(AC8=0,Assumptions!$F$84,IF(AC$5&lt;=12,Assumptions!$F$85,IF(AC$5&lt;=24,Assumptions!$F$86,Assumptions!$F$87))),AB72*Assumptions!$F$88)</f>
        <v>-1107291.7012787</v>
      </c>
      <c r="AD77" s="70" t="n">
        <f aca="false">-MAX(IF(AD8=0,Assumptions!$F$84,IF(AD$5&lt;=12,Assumptions!$F$85,IF(AD$5&lt;=24,Assumptions!$F$86,Assumptions!$F$87))),AC72*Assumptions!$F$88)</f>
        <v>-1185519.90805</v>
      </c>
      <c r="AE77" s="70" t="n">
        <f aca="false">-MAX(IF(AE8=0,Assumptions!$F$84,IF(AE$5&lt;=12,Assumptions!$F$85,IF(AE$5&lt;=24,Assumptions!$F$86,Assumptions!$F$87))),AD72*Assumptions!$F$88)</f>
        <v>-1266804.50046012</v>
      </c>
      <c r="AF77" s="70" t="n">
        <f aca="false">-MAX(IF(AF8=0,Assumptions!$F$84,IF(AF$5&lt;=12,Assumptions!$F$85,IF(AF$5&lt;=24,Assumptions!$F$86,Assumptions!$F$87))),AE72*Assumptions!$F$88)</f>
        <v>-1351266.24395267</v>
      </c>
      <c r="AG77" s="70" t="n">
        <f aca="false">-MAX(IF(AG8=0,Assumptions!$F$84,IF(AG$5&lt;=12,Assumptions!$F$85,IF(AG$5&lt;=24,Assumptions!$F$86,Assumptions!$F$87))),AF72*Assumptions!$F$88)</f>
        <v>-1439038.68876758</v>
      </c>
      <c r="AH77" s="70" t="n">
        <f aca="false">-MAX(IF(AH8=0,Assumptions!$F$84,IF(AH$5&lt;=12,Assumptions!$F$85,IF(AH$5&lt;=24,Assumptions!$F$86,Assumptions!$F$87))),AG72*Assumptions!$F$88)</f>
        <v>-1530269.99740263</v>
      </c>
      <c r="AI77" s="70" t="n">
        <f aca="false">-MAX(IF(AI8=0,Assumptions!$F$84,IF(AI$5&lt;=12,Assumptions!$F$85,IF(AI$5&lt;=24,Assumptions!$F$86,Assumptions!$F$87))),AH72*Assumptions!$F$88)</f>
        <v>-1621091.01765899</v>
      </c>
      <c r="AJ77" s="70" t="n">
        <f aca="false">-MAX(IF(AJ8=0,Assumptions!$F$84,IF(AJ$5&lt;=12,Assumptions!$F$85,IF(AJ$5&lt;=24,Assumptions!$F$86,Assumptions!$F$87))),AI72*Assumptions!$F$88)</f>
        <v>-1704332.46562424</v>
      </c>
      <c r="AK77" s="70" t="n">
        <f aca="false">-MAX(IF(AK8=0,Assumptions!$F$84,IF(AK$5&lt;=12,Assumptions!$F$85,IF(AK$5&lt;=24,Assumptions!$F$86,Assumptions!$F$87))),AJ72*Assumptions!$F$88)</f>
        <v>-1782819.64956538</v>
      </c>
      <c r="AL77" s="70" t="n">
        <f aca="false">-MAX(IF(AL8=0,Assumptions!$F$84,IF(AL$5&lt;=12,Assumptions!$F$85,IF(AL$5&lt;=24,Assumptions!$F$86,Assumptions!$F$87))),AK72*Assumptions!$F$88)</f>
        <v>-1857815.94022705</v>
      </c>
      <c r="AM77" s="70" t="n">
        <f aca="false">SUM(C77:AL77)</f>
        <v>-25080976.7333014</v>
      </c>
    </row>
    <row r="78" customFormat="false" ht="15" hidden="false" customHeight="false" outlineLevel="0" collapsed="false">
      <c r="A78" s="10" t="s">
        <v>794</v>
      </c>
      <c r="B78" s="9" t="s">
        <v>95</v>
      </c>
      <c r="C78" s="70" t="n">
        <f aca="false">-IF(C$5&gt;=Assumptions!$F$7-2,Assumptions!$F$91,0)</f>
        <v>-0</v>
      </c>
      <c r="D78" s="70" t="n">
        <f aca="false">-IF(D$5&gt;=Assumptions!$F$7-2,Assumptions!$F$91,0)</f>
        <v>-0</v>
      </c>
      <c r="E78" s="70" t="n">
        <f aca="false">-IF(E$5&gt;=Assumptions!$F$7-2,Assumptions!$F$91,0)</f>
        <v>-14000</v>
      </c>
      <c r="F78" s="70" t="n">
        <f aca="false">-IF(F$5&gt;=Assumptions!$F$7-2,Assumptions!$F$91,0)</f>
        <v>-14000</v>
      </c>
      <c r="G78" s="70" t="n">
        <f aca="false">-IF(G$5&gt;=Assumptions!$F$7-2,Assumptions!$F$91,0)</f>
        <v>-14000</v>
      </c>
      <c r="H78" s="70" t="n">
        <f aca="false">-IF(H$5&gt;=Assumptions!$F$7-2,Assumptions!$F$91,0)</f>
        <v>-14000</v>
      </c>
      <c r="I78" s="70" t="n">
        <f aca="false">-IF(I$5&gt;=Assumptions!$F$7-2,Assumptions!$F$91,0)</f>
        <v>-14000</v>
      </c>
      <c r="J78" s="70" t="n">
        <f aca="false">-IF(J$5&gt;=Assumptions!$F$7-2,Assumptions!$F$91,0)</f>
        <v>-14000</v>
      </c>
      <c r="K78" s="70" t="n">
        <f aca="false">-IF(K$5&gt;=Assumptions!$F$7-2,Assumptions!$F$91,0)</f>
        <v>-14000</v>
      </c>
      <c r="L78" s="70" t="n">
        <f aca="false">-IF(L$5&gt;=Assumptions!$F$7-2,Assumptions!$F$91,0)</f>
        <v>-14000</v>
      </c>
      <c r="M78" s="70" t="n">
        <f aca="false">-IF(M$5&gt;=Assumptions!$F$7-2,Assumptions!$F$91,0)</f>
        <v>-14000</v>
      </c>
      <c r="N78" s="70" t="n">
        <f aca="false">-IF(N$5&gt;=Assumptions!$F$7-2,Assumptions!$F$91,0)</f>
        <v>-14000</v>
      </c>
      <c r="O78" s="70" t="n">
        <f aca="false">-IF(O$5&gt;=Assumptions!$F$7-2,Assumptions!$F$91,0)</f>
        <v>-14000</v>
      </c>
      <c r="P78" s="70" t="n">
        <f aca="false">-IF(P$5&gt;=Assumptions!$F$7-2,Assumptions!$F$91,0)</f>
        <v>-14000</v>
      </c>
      <c r="Q78" s="70" t="n">
        <f aca="false">-IF(Q$5&gt;=Assumptions!$F$7-2,Assumptions!$F$91,0)</f>
        <v>-14000</v>
      </c>
      <c r="R78" s="70" t="n">
        <f aca="false">-IF(R$5&gt;=Assumptions!$F$7-2,Assumptions!$F$91,0)</f>
        <v>-14000</v>
      </c>
      <c r="S78" s="70" t="n">
        <f aca="false">-IF(S$5&gt;=Assumptions!$F$7-2,Assumptions!$F$91,0)</f>
        <v>-14000</v>
      </c>
      <c r="T78" s="70" t="n">
        <f aca="false">-IF(T$5&gt;=Assumptions!$F$7-2,Assumptions!$F$91,0)</f>
        <v>-14000</v>
      </c>
      <c r="U78" s="70" t="n">
        <f aca="false">-IF(U$5&gt;=Assumptions!$F$7-2,Assumptions!$F$91,0)</f>
        <v>-14000</v>
      </c>
      <c r="V78" s="70" t="n">
        <f aca="false">-IF(V$5&gt;=Assumptions!$F$7-2,Assumptions!$F$91,0)</f>
        <v>-14000</v>
      </c>
      <c r="W78" s="70" t="n">
        <f aca="false">-IF(W$5&gt;=Assumptions!$F$7-2,Assumptions!$F$91,0)</f>
        <v>-14000</v>
      </c>
      <c r="X78" s="70" t="n">
        <f aca="false">-IF(X$5&gt;=Assumptions!$F$7-2,Assumptions!$F$91,0)</f>
        <v>-14000</v>
      </c>
      <c r="Y78" s="70" t="n">
        <f aca="false">-IF(Y$5&gt;=Assumptions!$F$7-2,Assumptions!$F$91,0)</f>
        <v>-14000</v>
      </c>
      <c r="Z78" s="70" t="n">
        <f aca="false">-IF(Z$5&gt;=Assumptions!$F$7-2,Assumptions!$F$91,0)</f>
        <v>-14000</v>
      </c>
      <c r="AA78" s="70" t="n">
        <f aca="false">-IF(AA$5&gt;=Assumptions!$F$7-2,Assumptions!$F$91,0)</f>
        <v>-14000</v>
      </c>
      <c r="AB78" s="70" t="n">
        <f aca="false">-IF(AB$5&gt;=Assumptions!$F$7-2,Assumptions!$F$91,0)</f>
        <v>-14000</v>
      </c>
      <c r="AC78" s="70" t="n">
        <f aca="false">-IF(AC$5&gt;=Assumptions!$F$7-2,Assumptions!$F$91,0)</f>
        <v>-14000</v>
      </c>
      <c r="AD78" s="70" t="n">
        <f aca="false">-IF(AD$5&gt;=Assumptions!$F$7-2,Assumptions!$F$91,0)</f>
        <v>-14000</v>
      </c>
      <c r="AE78" s="70" t="n">
        <f aca="false">-IF(AE$5&gt;=Assumptions!$F$7-2,Assumptions!$F$91,0)</f>
        <v>-14000</v>
      </c>
      <c r="AF78" s="70" t="n">
        <f aca="false">-IF(AF$5&gt;=Assumptions!$F$7-2,Assumptions!$F$91,0)</f>
        <v>-14000</v>
      </c>
      <c r="AG78" s="70" t="n">
        <f aca="false">-IF(AG$5&gt;=Assumptions!$F$7-2,Assumptions!$F$91,0)</f>
        <v>-14000</v>
      </c>
      <c r="AH78" s="70" t="n">
        <f aca="false">-IF(AH$5&gt;=Assumptions!$F$7-2,Assumptions!$F$91,0)</f>
        <v>-14000</v>
      </c>
      <c r="AI78" s="70" t="n">
        <f aca="false">-IF(AI$5&gt;=Assumptions!$F$7-2,Assumptions!$F$91,0)</f>
        <v>-14000</v>
      </c>
      <c r="AJ78" s="70" t="n">
        <f aca="false">-IF(AJ$5&gt;=Assumptions!$F$7-2,Assumptions!$F$91,0)</f>
        <v>-14000</v>
      </c>
      <c r="AK78" s="70" t="n">
        <f aca="false">-IF(AK$5&gt;=Assumptions!$F$7-2,Assumptions!$F$91,0)</f>
        <v>-14000</v>
      </c>
      <c r="AL78" s="70" t="n">
        <f aca="false">-IF(AL$5&gt;=Assumptions!$F$7-2,Assumptions!$F$91,0)</f>
        <v>-14000</v>
      </c>
      <c r="AM78" s="70" t="n">
        <f aca="false">SUM(C78:AL78)</f>
        <v>-476000</v>
      </c>
    </row>
    <row r="79" customFormat="false" ht="15" hidden="false" customHeight="false" outlineLevel="0" collapsed="false">
      <c r="A79" s="10" t="s">
        <v>795</v>
      </c>
      <c r="B79" s="9" t="s">
        <v>95</v>
      </c>
      <c r="C79" s="70" t="n">
        <f aca="false">-Assumptions!$F$92</f>
        <v>-4000</v>
      </c>
      <c r="D79" s="70" t="n">
        <f aca="false">-MAX(Assumptions!$F$92,C72*Assumptions!$F$90)</f>
        <v>-4000</v>
      </c>
      <c r="E79" s="70" t="n">
        <f aca="false">-MAX(Assumptions!$F$92,D72*Assumptions!$F$90)</f>
        <v>-4000</v>
      </c>
      <c r="F79" s="70" t="n">
        <f aca="false">-MAX(Assumptions!$F$92,E72*Assumptions!$F$90)</f>
        <v>-4000</v>
      </c>
      <c r="G79" s="70" t="n">
        <f aca="false">-MAX(Assumptions!$F$92,F72*Assumptions!$F$90)</f>
        <v>-5167.4095044</v>
      </c>
      <c r="H79" s="70" t="n">
        <f aca="false">-MAX(Assumptions!$F$92,G72*Assumptions!$F$90)</f>
        <v>-8645.09175684878</v>
      </c>
      <c r="I79" s="70" t="n">
        <f aca="false">-MAX(Assumptions!$F$92,H72*Assumptions!$F$90)</f>
        <v>-11961.3273608498</v>
      </c>
      <c r="J79" s="70" t="n">
        <f aca="false">-MAX(Assumptions!$F$92,I72*Assumptions!$F$90)</f>
        <v>-15358.1804320734</v>
      </c>
      <c r="K79" s="70" t="n">
        <f aca="false">-MAX(Assumptions!$F$92,J72*Assumptions!$F$90)</f>
        <v>-18913.5653520037</v>
      </c>
      <c r="L79" s="70" t="n">
        <f aca="false">-MAX(Assumptions!$F$92,K72*Assumptions!$F$90)</f>
        <v>-22665.739943097</v>
      </c>
      <c r="M79" s="70" t="n">
        <f aca="false">-MAX(Assumptions!$F$92,L72*Assumptions!$F$90)</f>
        <v>-26641.461787644</v>
      </c>
      <c r="N79" s="70" t="n">
        <f aca="false">-MAX(Assumptions!$F$92,M72*Assumptions!$F$90)</f>
        <v>-30866.1041196607</v>
      </c>
      <c r="O79" s="70" t="n">
        <f aca="false">-MAX(Assumptions!$F$92,N72*Assumptions!$F$90)</f>
        <v>-35365.8082127074</v>
      </c>
      <c r="P79" s="70" t="n">
        <f aca="false">-MAX(Assumptions!$F$92,O72*Assumptions!$F$90)</f>
        <v>-40168.0438666803</v>
      </c>
      <c r="Q79" s="70" t="n">
        <f aca="false">-MAX(Assumptions!$F$92,P72*Assumptions!$F$90)</f>
        <v>-45301.8224234646</v>
      </c>
      <c r="R79" s="70" t="n">
        <f aca="false">-MAX(Assumptions!$F$92,Q72*Assumptions!$F$90)</f>
        <v>-50797.8561114725</v>
      </c>
      <c r="S79" s="70" t="n">
        <f aca="false">-MAX(Assumptions!$F$92,R72*Assumptions!$F$90)</f>
        <v>-56688.7266129756</v>
      </c>
      <c r="T79" s="70" t="n">
        <f aca="false">-MAX(Assumptions!$F$92,S72*Assumptions!$F$90)</f>
        <v>-63009.074612629</v>
      </c>
      <c r="U79" s="70" t="n">
        <f aca="false">-MAX(Assumptions!$F$92,T72*Assumptions!$F$90)</f>
        <v>-69603.1267445189</v>
      </c>
      <c r="V79" s="70" t="n">
        <f aca="false">-MAX(Assumptions!$F$92,U72*Assumptions!$F$90)</f>
        <v>-76453.0913784483</v>
      </c>
      <c r="W79" s="70" t="n">
        <f aca="false">-MAX(Assumptions!$F$92,V72*Assumptions!$F$90)</f>
        <v>-83587.9312935751</v>
      </c>
      <c r="X79" s="70" t="n">
        <f aca="false">-MAX(Assumptions!$F$92,W72*Assumptions!$F$90)</f>
        <v>-91016.1278145043</v>
      </c>
      <c r="Y79" s="70" t="n">
        <f aca="false">-MAX(Assumptions!$F$92,X72*Assumptions!$F$90)</f>
        <v>-98746.3362303004</v>
      </c>
      <c r="Z79" s="70" t="n">
        <f aca="false">-MAX(Assumptions!$F$92,Y72*Assumptions!$F$90)</f>
        <v>-106787.488222329</v>
      </c>
      <c r="AA79" s="70" t="n">
        <f aca="false">-MAX(Assumptions!$F$92,Z72*Assumptions!$F$90)</f>
        <v>-115149.06118612</v>
      </c>
      <c r="AB79" s="70" t="n">
        <f aca="false">-MAX(Assumptions!$F$92,AA72*Assumptions!$F$90)</f>
        <v>-123841.22897578</v>
      </c>
      <c r="AC79" s="70" t="n">
        <f aca="false">-MAX(Assumptions!$F$92,AB72*Assumptions!$F$90)</f>
        <v>-132875.004153443</v>
      </c>
      <c r="AD79" s="70" t="n">
        <f aca="false">-MAX(Assumptions!$F$92,AC72*Assumptions!$F$90)</f>
        <v>-142262.388966</v>
      </c>
      <c r="AE79" s="70" t="n">
        <f aca="false">-MAX(Assumptions!$F$92,AD72*Assumptions!$F$90)</f>
        <v>-152016.540055214</v>
      </c>
      <c r="AF79" s="70" t="n">
        <f aca="false">-MAX(Assumptions!$F$92,AE72*Assumptions!$F$90)</f>
        <v>-162151.94927432</v>
      </c>
      <c r="AG79" s="70" t="n">
        <f aca="false">-MAX(Assumptions!$F$92,AF72*Assumptions!$F$90)</f>
        <v>-172684.642652109</v>
      </c>
      <c r="AH79" s="70" t="n">
        <f aca="false">-MAX(Assumptions!$F$92,AG72*Assumptions!$F$90)</f>
        <v>-183632.399688315</v>
      </c>
      <c r="AI79" s="70" t="n">
        <f aca="false">-MAX(Assumptions!$F$92,AH72*Assumptions!$F$90)</f>
        <v>-194530.922119079</v>
      </c>
      <c r="AJ79" s="70" t="n">
        <f aca="false">-MAX(Assumptions!$F$92,AI72*Assumptions!$F$90)</f>
        <v>-204519.895874908</v>
      </c>
      <c r="AK79" s="70" t="n">
        <f aca="false">-MAX(Assumptions!$F$92,AJ72*Assumptions!$F$90)</f>
        <v>-213938.357947845</v>
      </c>
      <c r="AL79" s="70" t="n">
        <f aca="false">-MAX(Assumptions!$F$92,AK72*Assumptions!$F$90)</f>
        <v>-222937.912827246</v>
      </c>
      <c r="AM79" s="70" t="n">
        <f aca="false">SUM(C79:AL79)</f>
        <v>-2994284.61750056</v>
      </c>
    </row>
    <row r="80" customFormat="false" ht="15" hidden="false" customHeight="false" outlineLevel="0" collapsed="false">
      <c r="A80" s="10" t="s">
        <v>796</v>
      </c>
      <c r="B80" s="9" t="s">
        <v>95</v>
      </c>
      <c r="C80" s="70" t="n">
        <f aca="false">-IF(C$5&lt;=4,Assumptions!$F$93,Assumptions!$F$94)</f>
        <v>-32000</v>
      </c>
      <c r="D80" s="70" t="n">
        <f aca="false">-IF(D$5&lt;=4,Assumptions!$F$93,Assumptions!$F$94)</f>
        <v>-32000</v>
      </c>
      <c r="E80" s="70" t="n">
        <f aca="false">-IF(E$5&lt;=4,Assumptions!$F$93,Assumptions!$F$94)</f>
        <v>-32000</v>
      </c>
      <c r="F80" s="70" t="n">
        <f aca="false">-IF(F$5&lt;=4,Assumptions!$F$93,Assumptions!$F$94)</f>
        <v>-32000</v>
      </c>
      <c r="G80" s="70" t="n">
        <f aca="false">-IF(G$5&lt;=4,Assumptions!$F$93,Assumptions!$F$94)</f>
        <v>-12000</v>
      </c>
      <c r="H80" s="70" t="n">
        <f aca="false">-IF(H$5&lt;=4,Assumptions!$F$93,Assumptions!$F$94)</f>
        <v>-12000</v>
      </c>
      <c r="I80" s="70" t="n">
        <f aca="false">-IF(I$5&lt;=4,Assumptions!$F$93,Assumptions!$F$94)</f>
        <v>-12000</v>
      </c>
      <c r="J80" s="70" t="n">
        <f aca="false">-IF(J$5&lt;=4,Assumptions!$F$93,Assumptions!$F$94)</f>
        <v>-12000</v>
      </c>
      <c r="K80" s="70" t="n">
        <f aca="false">-IF(K$5&lt;=4,Assumptions!$F$93,Assumptions!$F$94)</f>
        <v>-12000</v>
      </c>
      <c r="L80" s="70" t="n">
        <f aca="false">-IF(L$5&lt;=4,Assumptions!$F$93,Assumptions!$F$94)</f>
        <v>-12000</v>
      </c>
      <c r="M80" s="70" t="n">
        <f aca="false">-IF(M$5&lt;=4,Assumptions!$F$93,Assumptions!$F$94)</f>
        <v>-12000</v>
      </c>
      <c r="N80" s="70" t="n">
        <f aca="false">-IF(N$5&lt;=4,Assumptions!$F$93,Assumptions!$F$94)</f>
        <v>-12000</v>
      </c>
      <c r="O80" s="70" t="n">
        <f aca="false">-IF(O$5&lt;=4,Assumptions!$F$93,Assumptions!$F$94)</f>
        <v>-12000</v>
      </c>
      <c r="P80" s="70" t="n">
        <f aca="false">-IF(P$5&lt;=4,Assumptions!$F$93,Assumptions!$F$94)</f>
        <v>-12000</v>
      </c>
      <c r="Q80" s="70" t="n">
        <f aca="false">-IF(Q$5&lt;=4,Assumptions!$F$93,Assumptions!$F$94)</f>
        <v>-12000</v>
      </c>
      <c r="R80" s="70" t="n">
        <f aca="false">-IF(R$5&lt;=4,Assumptions!$F$93,Assumptions!$F$94)</f>
        <v>-12000</v>
      </c>
      <c r="S80" s="70" t="n">
        <f aca="false">-IF(S$5&lt;=4,Assumptions!$F$93,Assumptions!$F$94)</f>
        <v>-12000</v>
      </c>
      <c r="T80" s="70" t="n">
        <f aca="false">-IF(T$5&lt;=4,Assumptions!$F$93,Assumptions!$F$94)</f>
        <v>-12000</v>
      </c>
      <c r="U80" s="70" t="n">
        <f aca="false">-IF(U$5&lt;=4,Assumptions!$F$93,Assumptions!$F$94)</f>
        <v>-12000</v>
      </c>
      <c r="V80" s="70" t="n">
        <f aca="false">-IF(V$5&lt;=4,Assumptions!$F$93,Assumptions!$F$94)</f>
        <v>-12000</v>
      </c>
      <c r="W80" s="70" t="n">
        <f aca="false">-IF(W$5&lt;=4,Assumptions!$F$93,Assumptions!$F$94)</f>
        <v>-12000</v>
      </c>
      <c r="X80" s="70" t="n">
        <f aca="false">-IF(X$5&lt;=4,Assumptions!$F$93,Assumptions!$F$94)</f>
        <v>-12000</v>
      </c>
      <c r="Y80" s="70" t="n">
        <f aca="false">-IF(Y$5&lt;=4,Assumptions!$F$93,Assumptions!$F$94)</f>
        <v>-12000</v>
      </c>
      <c r="Z80" s="70" t="n">
        <f aca="false">-IF(Z$5&lt;=4,Assumptions!$F$93,Assumptions!$F$94)</f>
        <v>-12000</v>
      </c>
      <c r="AA80" s="70" t="n">
        <f aca="false">-IF(AA$5&lt;=4,Assumptions!$F$93,Assumptions!$F$94)</f>
        <v>-12000</v>
      </c>
      <c r="AB80" s="70" t="n">
        <f aca="false">-IF(AB$5&lt;=4,Assumptions!$F$93,Assumptions!$F$94)</f>
        <v>-12000</v>
      </c>
      <c r="AC80" s="70" t="n">
        <f aca="false">-IF(AC$5&lt;=4,Assumptions!$F$93,Assumptions!$F$94)</f>
        <v>-12000</v>
      </c>
      <c r="AD80" s="70" t="n">
        <f aca="false">-IF(AD$5&lt;=4,Assumptions!$F$93,Assumptions!$F$94)</f>
        <v>-12000</v>
      </c>
      <c r="AE80" s="70" t="n">
        <f aca="false">-IF(AE$5&lt;=4,Assumptions!$F$93,Assumptions!$F$94)</f>
        <v>-12000</v>
      </c>
      <c r="AF80" s="70" t="n">
        <f aca="false">-IF(AF$5&lt;=4,Assumptions!$F$93,Assumptions!$F$94)</f>
        <v>-12000</v>
      </c>
      <c r="AG80" s="70" t="n">
        <f aca="false">-IF(AG$5&lt;=4,Assumptions!$F$93,Assumptions!$F$94)</f>
        <v>-12000</v>
      </c>
      <c r="AH80" s="70" t="n">
        <f aca="false">-IF(AH$5&lt;=4,Assumptions!$F$93,Assumptions!$F$94)</f>
        <v>-12000</v>
      </c>
      <c r="AI80" s="70" t="n">
        <f aca="false">-IF(AI$5&lt;=4,Assumptions!$F$93,Assumptions!$F$94)</f>
        <v>-12000</v>
      </c>
      <c r="AJ80" s="70" t="n">
        <f aca="false">-IF(AJ$5&lt;=4,Assumptions!$F$93,Assumptions!$F$94)</f>
        <v>-12000</v>
      </c>
      <c r="AK80" s="70" t="n">
        <f aca="false">-IF(AK$5&lt;=4,Assumptions!$F$93,Assumptions!$F$94)</f>
        <v>-12000</v>
      </c>
      <c r="AL80" s="70" t="n">
        <f aca="false">-IF(AL$5&lt;=4,Assumptions!$F$93,Assumptions!$F$94)</f>
        <v>-12000</v>
      </c>
      <c r="AM80" s="70" t="n">
        <f aca="false">SUM(C80:AL80)</f>
        <v>-512000</v>
      </c>
    </row>
    <row r="81" customFormat="false" ht="15" hidden="false" customHeight="false" outlineLevel="0" collapsed="false">
      <c r="A81" s="10" t="s">
        <v>797</v>
      </c>
      <c r="B81" s="9" t="s">
        <v>95</v>
      </c>
      <c r="C81" s="70" t="n">
        <f aca="false">-C8*Assumptions!$F$95</f>
        <v>-0</v>
      </c>
      <c r="D81" s="70" t="n">
        <f aca="false">-D8*Assumptions!$F$95</f>
        <v>-5000</v>
      </c>
      <c r="E81" s="70" t="n">
        <f aca="false">-E8*Assumptions!$F$95</f>
        <v>-5000</v>
      </c>
      <c r="F81" s="70" t="n">
        <f aca="false">-F8*Assumptions!$F$95</f>
        <v>-5000</v>
      </c>
      <c r="G81" s="70" t="n">
        <f aca="false">-G8*Assumptions!$F$95</f>
        <v>-5000</v>
      </c>
      <c r="H81" s="70" t="n">
        <f aca="false">-H8*Assumptions!$F$95</f>
        <v>-5000</v>
      </c>
      <c r="I81" s="70" t="n">
        <f aca="false">-I8*Assumptions!$F$95</f>
        <v>-5000</v>
      </c>
      <c r="J81" s="70" t="n">
        <f aca="false">-J8*Assumptions!$F$95</f>
        <v>-5000</v>
      </c>
      <c r="K81" s="70" t="n">
        <f aca="false">-K8*Assumptions!$F$95</f>
        <v>-5000</v>
      </c>
      <c r="L81" s="70" t="n">
        <f aca="false">-L8*Assumptions!$F$95</f>
        <v>-5000</v>
      </c>
      <c r="M81" s="70" t="n">
        <f aca="false">-M8*Assumptions!$F$95</f>
        <v>-5000</v>
      </c>
      <c r="N81" s="70" t="n">
        <f aca="false">-N8*Assumptions!$F$95</f>
        <v>-5000</v>
      </c>
      <c r="O81" s="70" t="n">
        <f aca="false">-O8*Assumptions!$F$95</f>
        <v>-5000</v>
      </c>
      <c r="P81" s="70" t="n">
        <f aca="false">-P8*Assumptions!$F$95</f>
        <v>-5000</v>
      </c>
      <c r="Q81" s="70" t="n">
        <f aca="false">-Q8*Assumptions!$F$95</f>
        <v>-5000</v>
      </c>
      <c r="R81" s="70" t="n">
        <f aca="false">-R8*Assumptions!$F$95</f>
        <v>-5000</v>
      </c>
      <c r="S81" s="70" t="n">
        <f aca="false">-S8*Assumptions!$F$95</f>
        <v>-5000</v>
      </c>
      <c r="T81" s="70" t="n">
        <f aca="false">-T8*Assumptions!$F$95</f>
        <v>-5000</v>
      </c>
      <c r="U81" s="70" t="n">
        <f aca="false">-U8*Assumptions!$F$95</f>
        <v>-5000</v>
      </c>
      <c r="V81" s="70" t="n">
        <f aca="false">-V8*Assumptions!$F$95</f>
        <v>-5000</v>
      </c>
      <c r="W81" s="70" t="n">
        <f aca="false">-W8*Assumptions!$F$95</f>
        <v>-5000</v>
      </c>
      <c r="X81" s="70" t="n">
        <f aca="false">-X8*Assumptions!$F$95</f>
        <v>-5000</v>
      </c>
      <c r="Y81" s="70" t="n">
        <f aca="false">-Y8*Assumptions!$F$95</f>
        <v>-5000</v>
      </c>
      <c r="Z81" s="70" t="n">
        <f aca="false">-Z8*Assumptions!$F$95</f>
        <v>-5000</v>
      </c>
      <c r="AA81" s="70" t="n">
        <f aca="false">-AA8*Assumptions!$F$95</f>
        <v>-5000</v>
      </c>
      <c r="AB81" s="70" t="n">
        <f aca="false">-AB8*Assumptions!$F$95</f>
        <v>-5000</v>
      </c>
      <c r="AC81" s="70" t="n">
        <f aca="false">-AC8*Assumptions!$F$95</f>
        <v>-5000</v>
      </c>
      <c r="AD81" s="70" t="n">
        <f aca="false">-AD8*Assumptions!$F$95</f>
        <v>-5000</v>
      </c>
      <c r="AE81" s="70" t="n">
        <f aca="false">-AE8*Assumptions!$F$95</f>
        <v>-5000</v>
      </c>
      <c r="AF81" s="70" t="n">
        <f aca="false">-AF8*Assumptions!$F$95</f>
        <v>-5000</v>
      </c>
      <c r="AG81" s="70" t="n">
        <f aca="false">-AG8*Assumptions!$F$95</f>
        <v>-5000</v>
      </c>
      <c r="AH81" s="70" t="n">
        <f aca="false">-AH8*Assumptions!$F$95</f>
        <v>-5000</v>
      </c>
      <c r="AI81" s="70" t="n">
        <f aca="false">-AI8*Assumptions!$F$95</f>
        <v>-5000</v>
      </c>
      <c r="AJ81" s="70" t="n">
        <f aca="false">-AJ8*Assumptions!$F$95</f>
        <v>-5000</v>
      </c>
      <c r="AK81" s="70" t="n">
        <f aca="false">-AK8*Assumptions!$F$95</f>
        <v>-5000</v>
      </c>
      <c r="AL81" s="70" t="n">
        <f aca="false">-AL8*Assumptions!$F$95</f>
        <v>-5000</v>
      </c>
      <c r="AM81" s="70" t="n">
        <f aca="false">SUM(C81:AL81)</f>
        <v>-175000</v>
      </c>
    </row>
    <row r="82" customFormat="false" ht="15" hidden="false" customHeight="false" outlineLevel="0" collapsed="false">
      <c r="A82" s="10" t="s">
        <v>798</v>
      </c>
      <c r="B82" s="9" t="s">
        <v>95</v>
      </c>
      <c r="C82" s="70" t="n">
        <f aca="false">-Assumptions!$F$96</f>
        <v>-26000</v>
      </c>
      <c r="D82" s="70" t="n">
        <f aca="false">-MAX(Assumptions!$F$96,C72*Assumptions!$F$89)</f>
        <v>-26000</v>
      </c>
      <c r="E82" s="70" t="n">
        <f aca="false">-MAX(Assumptions!$F$96,D72*Assumptions!$F$89)</f>
        <v>-26000</v>
      </c>
      <c r="F82" s="70" t="n">
        <f aca="false">-MAX(Assumptions!$F$96,E72*Assumptions!$F$89)</f>
        <v>-26000</v>
      </c>
      <c r="G82" s="70" t="n">
        <f aca="false">-MAX(Assumptions!$F$96,F72*Assumptions!$F$89)</f>
        <v>-26000</v>
      </c>
      <c r="H82" s="70" t="n">
        <f aca="false">-MAX(Assumptions!$F$96,G72*Assumptions!$F$89)</f>
        <v>-28816.9725228293</v>
      </c>
      <c r="I82" s="70" t="n">
        <f aca="false">-MAX(Assumptions!$F$96,H72*Assumptions!$F$89)</f>
        <v>-39871.0912028327</v>
      </c>
      <c r="J82" s="70" t="n">
        <f aca="false">-MAX(Assumptions!$F$96,I72*Assumptions!$F$89)</f>
        <v>-51193.9347735779</v>
      </c>
      <c r="K82" s="70" t="n">
        <f aca="false">-MAX(Assumptions!$F$96,J72*Assumptions!$F$89)</f>
        <v>-63045.2178400123</v>
      </c>
      <c r="L82" s="70" t="n">
        <f aca="false">-MAX(Assumptions!$F$96,K72*Assumptions!$F$89)</f>
        <v>-75552.4664769901</v>
      </c>
      <c r="M82" s="70" t="n">
        <f aca="false">-MAX(Assumptions!$F$96,L72*Assumptions!$F$89)</f>
        <v>-88804.8726254799</v>
      </c>
      <c r="N82" s="70" t="n">
        <f aca="false">-MAX(Assumptions!$F$96,M72*Assumptions!$F$89)</f>
        <v>-102887.013732202</v>
      </c>
      <c r="O82" s="70" t="n">
        <f aca="false">-MAX(Assumptions!$F$96,N72*Assumptions!$F$89)</f>
        <v>-117886.027375691</v>
      </c>
      <c r="P82" s="70" t="n">
        <f aca="false">-MAX(Assumptions!$F$96,O72*Assumptions!$F$89)</f>
        <v>-133893.479555601</v>
      </c>
      <c r="Q82" s="70" t="n">
        <f aca="false">-MAX(Assumptions!$F$96,P72*Assumptions!$F$89)</f>
        <v>-151006.074744882</v>
      </c>
      <c r="R82" s="70" t="n">
        <f aca="false">-MAX(Assumptions!$F$96,Q72*Assumptions!$F$89)</f>
        <v>-169326.187038242</v>
      </c>
      <c r="S82" s="70" t="n">
        <f aca="false">-MAX(Assumptions!$F$96,R72*Assumptions!$F$89)</f>
        <v>-188962.422043252</v>
      </c>
      <c r="T82" s="70" t="n">
        <f aca="false">-MAX(Assumptions!$F$96,S72*Assumptions!$F$89)</f>
        <v>-210030.248708763</v>
      </c>
      <c r="U82" s="70" t="n">
        <f aca="false">-MAX(Assumptions!$F$96,T72*Assumptions!$F$89)</f>
        <v>-232010.42248173</v>
      </c>
      <c r="V82" s="70" t="n">
        <f aca="false">-MAX(Assumptions!$F$96,U72*Assumptions!$F$89)</f>
        <v>-254843.637928161</v>
      </c>
      <c r="W82" s="70" t="n">
        <f aca="false">-MAX(Assumptions!$F$96,V72*Assumptions!$F$89)</f>
        <v>-278626.43764525</v>
      </c>
      <c r="X82" s="70" t="n">
        <f aca="false">-MAX(Assumptions!$F$96,W72*Assumptions!$F$89)</f>
        <v>-303387.092715014</v>
      </c>
      <c r="Y82" s="70" t="n">
        <f aca="false">-MAX(Assumptions!$F$96,X72*Assumptions!$F$89)</f>
        <v>-329154.454101001</v>
      </c>
      <c r="Z82" s="70" t="n">
        <f aca="false">-MAX(Assumptions!$F$96,Y72*Assumptions!$F$89)</f>
        <v>-355958.294074429</v>
      </c>
      <c r="AA82" s="70" t="n">
        <f aca="false">-MAX(Assumptions!$F$96,Z72*Assumptions!$F$89)</f>
        <v>-383830.203953734</v>
      </c>
      <c r="AB82" s="70" t="n">
        <f aca="false">-MAX(Assumptions!$F$96,AA72*Assumptions!$F$89)</f>
        <v>-412804.096585933</v>
      </c>
      <c r="AC82" s="70" t="n">
        <f aca="false">-MAX(Assumptions!$F$96,AB72*Assumptions!$F$89)</f>
        <v>-442916.680511478</v>
      </c>
      <c r="AD82" s="70" t="n">
        <f aca="false">-MAX(Assumptions!$F$96,AC72*Assumptions!$F$89)</f>
        <v>-474207.96322</v>
      </c>
      <c r="AE82" s="70" t="n">
        <f aca="false">-MAX(Assumptions!$F$96,AD72*Assumptions!$F$89)</f>
        <v>-506721.800184047</v>
      </c>
      <c r="AF82" s="70" t="n">
        <f aca="false">-MAX(Assumptions!$F$96,AE72*Assumptions!$F$89)</f>
        <v>-540506.497581067</v>
      </c>
      <c r="AG82" s="70" t="n">
        <f aca="false">-MAX(Assumptions!$F$96,AF72*Assumptions!$F$89)</f>
        <v>-575615.475507031</v>
      </c>
      <c r="AH82" s="70" t="n">
        <f aca="false">-MAX(Assumptions!$F$96,AG72*Assumptions!$F$89)</f>
        <v>-612107.998961051</v>
      </c>
      <c r="AI82" s="70" t="n">
        <f aca="false">-MAX(Assumptions!$F$96,AH72*Assumptions!$F$89)</f>
        <v>-648436.407063597</v>
      </c>
      <c r="AJ82" s="70" t="n">
        <f aca="false">-MAX(Assumptions!$F$96,AI72*Assumptions!$F$89)</f>
        <v>-681732.986249695</v>
      </c>
      <c r="AK82" s="70" t="n">
        <f aca="false">-MAX(Assumptions!$F$96,AJ72*Assumptions!$F$89)</f>
        <v>-713127.85982615</v>
      </c>
      <c r="AL82" s="70" t="n">
        <f aca="false">-MAX(Assumptions!$F$96,AK72*Assumptions!$F$89)</f>
        <v>-743126.376090819</v>
      </c>
      <c r="AM82" s="70" t="n">
        <f aca="false">SUM(C82:AL82)</f>
        <v>-10040390.6933205</v>
      </c>
    </row>
    <row r="83" customFormat="false" ht="15" hidden="false" customHeight="false" outlineLevel="0" collapsed="false">
      <c r="A83" s="10" t="s">
        <v>799</v>
      </c>
      <c r="B83" s="9" t="s">
        <v>95</v>
      </c>
      <c r="C83" s="70" t="n">
        <f aca="false">-C26</f>
        <v>-15000</v>
      </c>
      <c r="D83" s="70" t="n">
        <f aca="false">-D26</f>
        <v>-60000</v>
      </c>
      <c r="E83" s="70" t="n">
        <f aca="false">-E26</f>
        <v>-60000</v>
      </c>
      <c r="F83" s="70" t="n">
        <f aca="false">-F26</f>
        <v>-102889.512</v>
      </c>
      <c r="G83" s="70" t="n">
        <f aca="false">-G26</f>
        <v>-172246.98348</v>
      </c>
      <c r="H83" s="70" t="n">
        <f aca="false">-H26</f>
        <v>-288169.725228293</v>
      </c>
      <c r="I83" s="70" t="n">
        <f aca="false">-I26</f>
        <v>-398710.912028327</v>
      </c>
      <c r="J83" s="70" t="n">
        <f aca="false">-J26</f>
        <v>-511939.347735779</v>
      </c>
      <c r="K83" s="70" t="n">
        <f aca="false">-K26</f>
        <v>-630452.178400123</v>
      </c>
      <c r="L83" s="70" t="n">
        <f aca="false">-L26</f>
        <v>-755524.664769901</v>
      </c>
      <c r="M83" s="70" t="n">
        <f aca="false">-M26</f>
        <v>-888048.726254799</v>
      </c>
      <c r="N83" s="70" t="n">
        <f aca="false">-N26</f>
        <v>-1028870.13732202</v>
      </c>
      <c r="O83" s="70" t="n">
        <f aca="false">-O26</f>
        <v>-1178860.27375691</v>
      </c>
      <c r="P83" s="70" t="n">
        <f aca="false">-P26</f>
        <v>-1338934.79555601</v>
      </c>
      <c r="Q83" s="70" t="n">
        <f aca="false">-Q26</f>
        <v>-1510060.74744882</v>
      </c>
      <c r="R83" s="70" t="n">
        <f aca="false">-R26</f>
        <v>-1693261.87038242</v>
      </c>
      <c r="S83" s="70" t="n">
        <f aca="false">-S26</f>
        <v>-1889624.22043252</v>
      </c>
      <c r="T83" s="70" t="n">
        <f aca="false">-T26</f>
        <v>-2100302.48708763</v>
      </c>
      <c r="U83" s="70" t="n">
        <f aca="false">-U26</f>
        <v>-2320104.2248173</v>
      </c>
      <c r="V83" s="70" t="n">
        <f aca="false">-V26</f>
        <v>-2548436.37928161</v>
      </c>
      <c r="W83" s="70" t="n">
        <f aca="false">-W26</f>
        <v>-2786264.3764525</v>
      </c>
      <c r="X83" s="70" t="n">
        <f aca="false">-X26</f>
        <v>-3033870.92715014</v>
      </c>
      <c r="Y83" s="70" t="n">
        <f aca="false">-Y26</f>
        <v>-3291544.54101001</v>
      </c>
      <c r="Z83" s="70" t="n">
        <f aca="false">-Z26</f>
        <v>-3559582.94074429</v>
      </c>
      <c r="AA83" s="70" t="n">
        <f aca="false">-AA26</f>
        <v>-3838302.03953734</v>
      </c>
      <c r="AB83" s="70" t="n">
        <f aca="false">-AB26</f>
        <v>-4128040.96585933</v>
      </c>
      <c r="AC83" s="70" t="n">
        <f aca="false">-AC26</f>
        <v>-4429166.80511478</v>
      </c>
      <c r="AD83" s="70" t="n">
        <f aca="false">-AD26</f>
        <v>-4742079.6322</v>
      </c>
      <c r="AE83" s="70" t="n">
        <f aca="false">-AE26</f>
        <v>-5067218.00184047</v>
      </c>
      <c r="AF83" s="70" t="n">
        <f aca="false">-AF26</f>
        <v>-5405064.97581067</v>
      </c>
      <c r="AG83" s="70" t="n">
        <f aca="false">-AG26</f>
        <v>-5756154.75507031</v>
      </c>
      <c r="AH83" s="70" t="n">
        <f aca="false">-AH26</f>
        <v>-6000000</v>
      </c>
      <c r="AI83" s="70" t="n">
        <f aca="false">-AI26</f>
        <v>-6000000</v>
      </c>
      <c r="AJ83" s="70" t="n">
        <f aca="false">-AJ26</f>
        <v>-6000000</v>
      </c>
      <c r="AK83" s="70" t="n">
        <f aca="false">-AK26</f>
        <v>-6000000</v>
      </c>
      <c r="AL83" s="70" t="n">
        <f aca="false">-AL26</f>
        <v>-6000000</v>
      </c>
      <c r="AM83" s="70" t="n">
        <f aca="false">SUM(C83:AL83)</f>
        <v>-95528727.1467723</v>
      </c>
    </row>
    <row r="84" customFormat="false" ht="15" hidden="false" customHeight="false" outlineLevel="0" collapsed="false">
      <c r="A84" s="10" t="s">
        <v>800</v>
      </c>
      <c r="B84" s="9" t="s">
        <v>95</v>
      </c>
      <c r="C84" s="70" t="n">
        <f aca="false">-IF(C$5=Assumptions!$F$6,Assumptions!$F$23,0)</f>
        <v>-0</v>
      </c>
      <c r="D84" s="70" t="n">
        <f aca="false">-IF(D$5=Assumptions!$F$6,Assumptions!$F$23,0)</f>
        <v>-400000</v>
      </c>
      <c r="E84" s="70" t="n">
        <f aca="false">-IF(E$5=Assumptions!$F$6,Assumptions!$F$23,0)</f>
        <v>-0</v>
      </c>
      <c r="F84" s="70" t="n">
        <f aca="false">-IF(F$5=Assumptions!$F$6,Assumptions!$F$23,0)</f>
        <v>-0</v>
      </c>
      <c r="G84" s="70" t="n">
        <f aca="false">-IF(G$5=Assumptions!$F$6,Assumptions!$F$23,0)</f>
        <v>-0</v>
      </c>
      <c r="H84" s="70" t="n">
        <f aca="false">-IF(H$5=Assumptions!$F$6,Assumptions!$F$23,0)</f>
        <v>-0</v>
      </c>
      <c r="I84" s="70" t="n">
        <f aca="false">-IF(I$5=Assumptions!$F$6,Assumptions!$F$23,0)</f>
        <v>-0</v>
      </c>
      <c r="J84" s="70" t="n">
        <f aca="false">-IF(J$5=Assumptions!$F$6,Assumptions!$F$23,0)</f>
        <v>-0</v>
      </c>
      <c r="K84" s="70" t="n">
        <f aca="false">-IF(K$5=Assumptions!$F$6,Assumptions!$F$23,0)</f>
        <v>-0</v>
      </c>
      <c r="L84" s="70" t="n">
        <f aca="false">-IF(L$5=Assumptions!$F$6,Assumptions!$F$23,0)</f>
        <v>-0</v>
      </c>
      <c r="M84" s="70" t="n">
        <f aca="false">-IF(M$5=Assumptions!$F$6,Assumptions!$F$23,0)</f>
        <v>-0</v>
      </c>
      <c r="N84" s="70" t="n">
        <f aca="false">-IF(N$5=Assumptions!$F$6,Assumptions!$F$23,0)</f>
        <v>-0</v>
      </c>
      <c r="O84" s="70" t="n">
        <f aca="false">-IF(O$5=Assumptions!$F$6,Assumptions!$F$23,0)</f>
        <v>-0</v>
      </c>
      <c r="P84" s="70" t="n">
        <f aca="false">-IF(P$5=Assumptions!$F$6,Assumptions!$F$23,0)</f>
        <v>-0</v>
      </c>
      <c r="Q84" s="70" t="n">
        <f aca="false">-IF(Q$5=Assumptions!$F$6,Assumptions!$F$23,0)</f>
        <v>-0</v>
      </c>
      <c r="R84" s="70" t="n">
        <f aca="false">-IF(R$5=Assumptions!$F$6,Assumptions!$F$23,0)</f>
        <v>-0</v>
      </c>
      <c r="S84" s="70" t="n">
        <f aca="false">-IF(S$5=Assumptions!$F$6,Assumptions!$F$23,0)</f>
        <v>-0</v>
      </c>
      <c r="T84" s="70" t="n">
        <f aca="false">-IF(T$5=Assumptions!$F$6,Assumptions!$F$23,0)</f>
        <v>-0</v>
      </c>
      <c r="U84" s="70" t="n">
        <f aca="false">-IF(U$5=Assumptions!$F$6,Assumptions!$F$23,0)</f>
        <v>-0</v>
      </c>
      <c r="V84" s="70" t="n">
        <f aca="false">-IF(V$5=Assumptions!$F$6,Assumptions!$F$23,0)</f>
        <v>-0</v>
      </c>
      <c r="W84" s="70" t="n">
        <f aca="false">-IF(W$5=Assumptions!$F$6,Assumptions!$F$23,0)</f>
        <v>-0</v>
      </c>
      <c r="X84" s="70" t="n">
        <f aca="false">-IF(X$5=Assumptions!$F$6,Assumptions!$F$23,0)</f>
        <v>-0</v>
      </c>
      <c r="Y84" s="70" t="n">
        <f aca="false">-IF(Y$5=Assumptions!$F$6,Assumptions!$F$23,0)</f>
        <v>-0</v>
      </c>
      <c r="Z84" s="70" t="n">
        <f aca="false">-IF(Z$5=Assumptions!$F$6,Assumptions!$F$23,0)</f>
        <v>-0</v>
      </c>
      <c r="AA84" s="70" t="n">
        <f aca="false">-IF(AA$5=Assumptions!$F$6,Assumptions!$F$23,0)</f>
        <v>-0</v>
      </c>
      <c r="AB84" s="70" t="n">
        <f aca="false">-IF(AB$5=Assumptions!$F$6,Assumptions!$F$23,0)</f>
        <v>-0</v>
      </c>
      <c r="AC84" s="70" t="n">
        <f aca="false">-IF(AC$5=Assumptions!$F$6,Assumptions!$F$23,0)</f>
        <v>-0</v>
      </c>
      <c r="AD84" s="70" t="n">
        <f aca="false">-IF(AD$5=Assumptions!$F$6,Assumptions!$F$23,0)</f>
        <v>-0</v>
      </c>
      <c r="AE84" s="70" t="n">
        <f aca="false">-IF(AE$5=Assumptions!$F$6,Assumptions!$F$23,0)</f>
        <v>-0</v>
      </c>
      <c r="AF84" s="70" t="n">
        <f aca="false">-IF(AF$5=Assumptions!$F$6,Assumptions!$F$23,0)</f>
        <v>-0</v>
      </c>
      <c r="AG84" s="70" t="n">
        <f aca="false">-IF(AG$5=Assumptions!$F$6,Assumptions!$F$23,0)</f>
        <v>-0</v>
      </c>
      <c r="AH84" s="70" t="n">
        <f aca="false">-IF(AH$5=Assumptions!$F$6,Assumptions!$F$23,0)</f>
        <v>-0</v>
      </c>
      <c r="AI84" s="70" t="n">
        <f aca="false">-IF(AI$5=Assumptions!$F$6,Assumptions!$F$23,0)</f>
        <v>-0</v>
      </c>
      <c r="AJ84" s="70" t="n">
        <f aca="false">-IF(AJ$5=Assumptions!$F$6,Assumptions!$F$23,0)</f>
        <v>-0</v>
      </c>
      <c r="AK84" s="70" t="n">
        <f aca="false">-IF(AK$5=Assumptions!$F$6,Assumptions!$F$23,0)</f>
        <v>-0</v>
      </c>
      <c r="AL84" s="70" t="n">
        <f aca="false">-IF(AL$5=Assumptions!$F$6,Assumptions!$F$23,0)</f>
        <v>-0</v>
      </c>
      <c r="AM84" s="70" t="n">
        <f aca="false">SUM(C84:AL84)</f>
        <v>-400000</v>
      </c>
    </row>
    <row r="85" customFormat="false" ht="15" hidden="false" customHeight="false" outlineLevel="0" collapsed="false">
      <c r="A85" s="10" t="s">
        <v>801</v>
      </c>
      <c r="B85" s="9" t="s">
        <v>95</v>
      </c>
      <c r="C85" s="70" t="n">
        <f aca="false">-C8*Assumptions!$F$98</f>
        <v>-0</v>
      </c>
      <c r="D85" s="70" t="n">
        <f aca="false">-D8*Assumptions!$F$98</f>
        <v>-25000</v>
      </c>
      <c r="E85" s="70" t="n">
        <f aca="false">-E8*Assumptions!$F$98</f>
        <v>-25000</v>
      </c>
      <c r="F85" s="70" t="n">
        <f aca="false">-F8*Assumptions!$F$98</f>
        <v>-25000</v>
      </c>
      <c r="G85" s="70" t="n">
        <f aca="false">-G8*Assumptions!$F$98</f>
        <v>-25000</v>
      </c>
      <c r="H85" s="70" t="n">
        <f aca="false">-H8*Assumptions!$F$98</f>
        <v>-25000</v>
      </c>
      <c r="I85" s="70" t="n">
        <f aca="false">-I8*Assumptions!$F$98</f>
        <v>-25000</v>
      </c>
      <c r="J85" s="70" t="n">
        <f aca="false">-J8*Assumptions!$F$98</f>
        <v>-25000</v>
      </c>
      <c r="K85" s="70" t="n">
        <f aca="false">-K8*Assumptions!$F$98</f>
        <v>-25000</v>
      </c>
      <c r="L85" s="70" t="n">
        <f aca="false">-L8*Assumptions!$F$98</f>
        <v>-25000</v>
      </c>
      <c r="M85" s="70" t="n">
        <f aca="false">-M8*Assumptions!$F$98</f>
        <v>-25000</v>
      </c>
      <c r="N85" s="70" t="n">
        <f aca="false">-N8*Assumptions!$F$98</f>
        <v>-25000</v>
      </c>
      <c r="O85" s="70" t="n">
        <f aca="false">-O8*Assumptions!$F$98</f>
        <v>-25000</v>
      </c>
      <c r="P85" s="70" t="n">
        <f aca="false">-P8*Assumptions!$F$98</f>
        <v>-25000</v>
      </c>
      <c r="Q85" s="70" t="n">
        <f aca="false">-Q8*Assumptions!$F$98</f>
        <v>-25000</v>
      </c>
      <c r="R85" s="70" t="n">
        <f aca="false">-R8*Assumptions!$F$98</f>
        <v>-25000</v>
      </c>
      <c r="S85" s="70" t="n">
        <f aca="false">-S8*Assumptions!$F$98</f>
        <v>-25000</v>
      </c>
      <c r="T85" s="70" t="n">
        <f aca="false">-T8*Assumptions!$F$98</f>
        <v>-25000</v>
      </c>
      <c r="U85" s="70" t="n">
        <f aca="false">-U8*Assumptions!$F$98</f>
        <v>-25000</v>
      </c>
      <c r="V85" s="70" t="n">
        <f aca="false">-V8*Assumptions!$F$98</f>
        <v>-25000</v>
      </c>
      <c r="W85" s="70" t="n">
        <f aca="false">-W8*Assumptions!$F$98</f>
        <v>-25000</v>
      </c>
      <c r="X85" s="70" t="n">
        <f aca="false">-X8*Assumptions!$F$98</f>
        <v>-25000</v>
      </c>
      <c r="Y85" s="70" t="n">
        <f aca="false">-Y8*Assumptions!$F$98</f>
        <v>-25000</v>
      </c>
      <c r="Z85" s="70" t="n">
        <f aca="false">-Z8*Assumptions!$F$98</f>
        <v>-25000</v>
      </c>
      <c r="AA85" s="70" t="n">
        <f aca="false">-AA8*Assumptions!$F$98</f>
        <v>-25000</v>
      </c>
      <c r="AB85" s="70" t="n">
        <f aca="false">-AB8*Assumptions!$F$98</f>
        <v>-25000</v>
      </c>
      <c r="AC85" s="70" t="n">
        <f aca="false">-AC8*Assumptions!$F$98</f>
        <v>-25000</v>
      </c>
      <c r="AD85" s="70" t="n">
        <f aca="false">-AD8*Assumptions!$F$98</f>
        <v>-25000</v>
      </c>
      <c r="AE85" s="70" t="n">
        <f aca="false">-AE8*Assumptions!$F$98</f>
        <v>-25000</v>
      </c>
      <c r="AF85" s="70" t="n">
        <f aca="false">-AF8*Assumptions!$F$98</f>
        <v>-25000</v>
      </c>
      <c r="AG85" s="70" t="n">
        <f aca="false">-AG8*Assumptions!$F$98</f>
        <v>-25000</v>
      </c>
      <c r="AH85" s="70" t="n">
        <f aca="false">-AH8*Assumptions!$F$98</f>
        <v>-25000</v>
      </c>
      <c r="AI85" s="70" t="n">
        <f aca="false">-AI8*Assumptions!$F$98</f>
        <v>-25000</v>
      </c>
      <c r="AJ85" s="70" t="n">
        <f aca="false">-AJ8*Assumptions!$F$98</f>
        <v>-25000</v>
      </c>
      <c r="AK85" s="70" t="n">
        <f aca="false">-AK8*Assumptions!$F$98</f>
        <v>-25000</v>
      </c>
      <c r="AL85" s="70" t="n">
        <f aca="false">-AL8*Assumptions!$F$98</f>
        <v>-25000</v>
      </c>
      <c r="AM85" s="70" t="n">
        <f aca="false">SUM(C85:AL85)</f>
        <v>-875000</v>
      </c>
    </row>
    <row r="86" customFormat="false" ht="15" hidden="false" customHeight="false" outlineLevel="0" collapsed="false">
      <c r="A86" s="10" t="s">
        <v>360</v>
      </c>
      <c r="B86" s="9" t="s">
        <v>95</v>
      </c>
      <c r="C86" s="70" t="n">
        <f aca="false">-C72*Assumptions!$F$99</f>
        <v>-0</v>
      </c>
      <c r="D86" s="70" t="n">
        <f aca="false">-D72*Assumptions!$F$99</f>
        <v>-12909.6</v>
      </c>
      <c r="E86" s="70" t="n">
        <f aca="false">-E72*Assumptions!$F$99</f>
        <v>-25722.378</v>
      </c>
      <c r="F86" s="70" t="n">
        <f aca="false">-F72*Assumptions!$F$99</f>
        <v>-43061.74587</v>
      </c>
      <c r="G86" s="70" t="n">
        <f aca="false">-G72*Assumptions!$F$99</f>
        <v>-72042.4313070732</v>
      </c>
      <c r="H86" s="70" t="n">
        <f aca="false">-H72*Assumptions!$F$99</f>
        <v>-99677.7280070818</v>
      </c>
      <c r="I86" s="70" t="n">
        <f aca="false">-I72*Assumptions!$F$99</f>
        <v>-127984.836933945</v>
      </c>
      <c r="J86" s="70" t="n">
        <f aca="false">-J72*Assumptions!$F$99</f>
        <v>-157613.044600031</v>
      </c>
      <c r="K86" s="70" t="n">
        <f aca="false">-K72*Assumptions!$F$99</f>
        <v>-188881.166192475</v>
      </c>
      <c r="L86" s="70" t="n">
        <f aca="false">-L72*Assumptions!$F$99</f>
        <v>-222012.1815637</v>
      </c>
      <c r="M86" s="70" t="n">
        <f aca="false">-M72*Assumptions!$F$99</f>
        <v>-257217.534330505</v>
      </c>
      <c r="N86" s="70" t="n">
        <f aca="false">-N72*Assumptions!$F$99</f>
        <v>-294715.068439228</v>
      </c>
      <c r="O86" s="70" t="n">
        <f aca="false">-O72*Assumptions!$F$99</f>
        <v>-334733.698889003</v>
      </c>
      <c r="P86" s="70" t="n">
        <f aca="false">-P72*Assumptions!$F$99</f>
        <v>-377515.186862205</v>
      </c>
      <c r="Q86" s="70" t="n">
        <f aca="false">-Q72*Assumptions!$F$99</f>
        <v>-423315.467595604</v>
      </c>
      <c r="R86" s="70" t="n">
        <f aca="false">-R72*Assumptions!$F$99</f>
        <v>-472406.05510813</v>
      </c>
      <c r="S86" s="70" t="n">
        <f aca="false">-S72*Assumptions!$F$99</f>
        <v>-525075.621771908</v>
      </c>
      <c r="T86" s="70" t="n">
        <f aca="false">-T72*Assumptions!$F$99</f>
        <v>-580026.056204324</v>
      </c>
      <c r="U86" s="70" t="n">
        <f aca="false">-U72*Assumptions!$F$99</f>
        <v>-637109.094820402</v>
      </c>
      <c r="V86" s="70" t="n">
        <f aca="false">-V72*Assumptions!$F$99</f>
        <v>-696566.094113126</v>
      </c>
      <c r="W86" s="70" t="n">
        <f aca="false">-W72*Assumptions!$F$99</f>
        <v>-758467.731787536</v>
      </c>
      <c r="X86" s="70" t="n">
        <f aca="false">-X72*Assumptions!$F$99</f>
        <v>-822886.135252503</v>
      </c>
      <c r="Y86" s="70" t="n">
        <f aca="false">-Y72*Assumptions!$F$99</f>
        <v>-889895.735186073</v>
      </c>
      <c r="Z86" s="70" t="n">
        <f aca="false">-Z72*Assumptions!$F$99</f>
        <v>-959575.509884336</v>
      </c>
      <c r="AA86" s="70" t="n">
        <f aca="false">-AA72*Assumptions!$F$99</f>
        <v>-1032010.24146483</v>
      </c>
      <c r="AB86" s="70" t="n">
        <f aca="false">-AB72*Assumptions!$F$99</f>
        <v>-1107291.7012787</v>
      </c>
      <c r="AC86" s="70" t="n">
        <f aca="false">-AC72*Assumptions!$F$99</f>
        <v>-1185519.90805</v>
      </c>
      <c r="AD86" s="70" t="n">
        <f aca="false">-AD72*Assumptions!$F$99</f>
        <v>-1266804.50046012</v>
      </c>
      <c r="AE86" s="70" t="n">
        <f aca="false">-AE72*Assumptions!$F$99</f>
        <v>-1351266.24395267</v>
      </c>
      <c r="AF86" s="70" t="n">
        <f aca="false">-AF72*Assumptions!$F$99</f>
        <v>-1439038.68876758</v>
      </c>
      <c r="AG86" s="70" t="n">
        <f aca="false">-AG72*Assumptions!$F$99</f>
        <v>-1530269.99740263</v>
      </c>
      <c r="AH86" s="70" t="n">
        <f aca="false">-AH72*Assumptions!$F$99</f>
        <v>-1621091.01765899</v>
      </c>
      <c r="AI86" s="70" t="n">
        <f aca="false">-AI72*Assumptions!$F$99</f>
        <v>-1704332.46562424</v>
      </c>
      <c r="AJ86" s="70" t="n">
        <f aca="false">-AJ72*Assumptions!$F$99</f>
        <v>-1782819.64956538</v>
      </c>
      <c r="AK86" s="70" t="n">
        <f aca="false">-AK72*Assumptions!$F$99</f>
        <v>-1857815.94022705</v>
      </c>
      <c r="AL86" s="70" t="n">
        <f aca="false">-AL72*Assumptions!$F$99</f>
        <v>-1929929.71455129</v>
      </c>
      <c r="AM86" s="70" t="n">
        <f aca="false">SUM(C86:AL86)</f>
        <v>-26787600.1717227</v>
      </c>
    </row>
    <row r="87" customFormat="false" ht="15" hidden="false" customHeight="false" outlineLevel="0" collapsed="false">
      <c r="A87" s="38" t="s">
        <v>802</v>
      </c>
      <c r="B87" s="9" t="s">
        <v>95</v>
      </c>
      <c r="C87" s="53" t="n">
        <f aca="false">C75+C76+C77+C78+C79+C80+C81+C82+C83+C84+C85+C86</f>
        <v>-102860</v>
      </c>
      <c r="D87" s="53" t="n">
        <f aca="false">D75+D76+D77+D78+D79+D80+D81+D82+D83+D84+D85+D86</f>
        <v>-635769.6</v>
      </c>
      <c r="E87" s="53" t="n">
        <f aca="false">E75+E76+E77+E78+E79+E80+E81+E82+E83+E84+E85+E86</f>
        <v>-262582.378</v>
      </c>
      <c r="F87" s="53" t="n">
        <f aca="false">F75+F76+F77+F78+F79+F80+F81+F82+F83+F84+F85+F86</f>
        <v>-322811.25787</v>
      </c>
      <c r="G87" s="53" t="n">
        <f aca="false">G75+G76+G77+G78+G79+G80+G81+G82+G83+G84+G85+G86</f>
        <v>-402316.824291473</v>
      </c>
      <c r="H87" s="53" t="n">
        <f aca="false">H75+H76+H77+H78+H79+H80+H81+H82+H83+H84+H85+H86</f>
        <v>-554211.948822126</v>
      </c>
      <c r="I87" s="53" t="n">
        <f aca="false">I75+I76+I77+I78+I79+I80+I81+I82+I83+I84+I85+I86</f>
        <v>-735065.895533036</v>
      </c>
      <c r="J87" s="53" t="n">
        <f aca="false">J75+J76+J77+J78+J79+J80+J81+J82+J83+J84+J85+J86</f>
        <v>-920949.344475405</v>
      </c>
      <c r="K87" s="53" t="n">
        <f aca="false">K75+K76+K77+K78+K79+K80+K81+K82+K83+K84+K85+K86</f>
        <v>-1115765.17238465</v>
      </c>
      <c r="L87" s="53" t="n">
        <f aca="false">L75+L76+L77+L78+L79+L80+L81+L82+L83+L84+L85+L86</f>
        <v>-1321496.21894616</v>
      </c>
      <c r="M87" s="53" t="n">
        <f aca="false">M75+M76+M77+M78+M79+M80+M81+M82+M83+M84+M85+M86</f>
        <v>-1539584.77656213</v>
      </c>
      <c r="N87" s="53" t="n">
        <f aca="false">N75+N76+N77+N78+N79+N80+N81+N82+N83+N84+N85+N86</f>
        <v>-1771415.85794362</v>
      </c>
      <c r="O87" s="53" t="n">
        <f aca="false">O75+O76+O77+O78+O79+O80+O81+O82+O83+O84+O85+O86</f>
        <v>-2018420.87667354</v>
      </c>
      <c r="P87" s="53" t="n">
        <f aca="false">P75+P76+P77+P78+P79+P80+P81+P82+P83+P84+P85+P86</f>
        <v>-2282105.2047295</v>
      </c>
      <c r="Q87" s="53" t="n">
        <f aca="false">Q75+Q76+Q77+Q78+Q79+Q80+Q81+Q82+Q83+Q84+Q85+Q86</f>
        <v>-2564059.29907497</v>
      </c>
      <c r="R87" s="53" t="n">
        <f aca="false">R75+R76+R77+R78+R79+R80+R81+R82+R83+R84+R85+R86</f>
        <v>-2865967.43623586</v>
      </c>
      <c r="S87" s="53" t="n">
        <f aca="false">S75+S76+S77+S78+S79+S80+S81+S82+S83+S84+S85+S86</f>
        <v>-3189617.04596878</v>
      </c>
      <c r="T87" s="53" t="n">
        <f aca="false">T75+T76+T77+T78+T79+T80+T81+T82+T83+T84+T85+T86</f>
        <v>-3535303.48838526</v>
      </c>
      <c r="U87" s="53" t="n">
        <f aca="false">U75+U76+U77+U78+U79+U80+U81+U82+U83+U84+U85+U86</f>
        <v>-3895712.92506827</v>
      </c>
      <c r="V87" s="53" t="n">
        <f aca="false">V75+V76+V77+V78+V79+V80+V81+V82+V83+V84+V85+V86</f>
        <v>-4270268.29752175</v>
      </c>
      <c r="W87" s="53" t="n">
        <f aca="false">W75+W76+W77+W78+W79+W80+W81+W82+W83+W84+W85+W86</f>
        <v>-4660372.57129199</v>
      </c>
      <c r="X87" s="53" t="n">
        <f aca="false">X75+X76+X77+X78+X79+X80+X81+X82+X83+X84+X85+X86</f>
        <v>-5066488.0147197</v>
      </c>
      <c r="Y87" s="53" t="n">
        <f aca="false">Y75+Y76+Y77+Y78+Y79+Y80+Y81+Y82+Y83+Y84+Y85+Y86</f>
        <v>-5489087.20177989</v>
      </c>
      <c r="Z87" s="53" t="n">
        <f aca="false">Z75+Z76+Z77+Z78+Z79+Z80+Z81+Z82+Z83+Z84+Z85+Z86</f>
        <v>-5928659.96811146</v>
      </c>
      <c r="AA87" s="53" t="n">
        <f aca="false">AA75+AA76+AA77+AA78+AA79+AA80+AA81+AA82+AA83+AA84+AA85+AA86</f>
        <v>-6385727.05602637</v>
      </c>
      <c r="AB87" s="53" t="n">
        <f aca="false">AB75+AB76+AB77+AB78+AB79+AB80+AB81+AB82+AB83+AB84+AB85+AB86</f>
        <v>-6860848.23416458</v>
      </c>
      <c r="AC87" s="53" t="n">
        <f aca="false">AC75+AC76+AC77+AC78+AC79+AC80+AC81+AC82+AC83+AC84+AC85+AC86</f>
        <v>-7354630.0991084</v>
      </c>
      <c r="AD87" s="53" t="n">
        <f aca="false">AD75+AD76+AD77+AD78+AD79+AD80+AD81+AD82+AD83+AD84+AD85+AD86</f>
        <v>-7867734.39289612</v>
      </c>
      <c r="AE87" s="53" t="n">
        <f aca="false">AE75+AE76+AE77+AE78+AE79+AE80+AE81+AE82+AE83+AE84+AE85+AE86</f>
        <v>-8400887.08649252</v>
      </c>
      <c r="AF87" s="53" t="n">
        <f aca="false">AF75+AF76+AF77+AF78+AF79+AF80+AF81+AF82+AF83+AF84+AF85+AF86</f>
        <v>-8954888.3553863</v>
      </c>
      <c r="AG87" s="53" t="n">
        <f aca="false">AG75+AG76+AG77+AG78+AG79+AG80+AG81+AG82+AG83+AG84+AG85+AG86</f>
        <v>-9530623.55939965</v>
      </c>
      <c r="AH87" s="53" t="n">
        <f aca="false">AH75+AH76+AH77+AH78+AH79+AH80+AH81+AH82+AH83+AH84+AH85+AH86</f>
        <v>-10003961.413711</v>
      </c>
      <c r="AI87" s="53" t="n">
        <f aca="false">AI75+AI76+AI77+AI78+AI79+AI80+AI81+AI82+AI83+AI84+AI85+AI86</f>
        <v>-10225250.8124659</v>
      </c>
      <c r="AJ87" s="53" t="n">
        <f aca="false">AJ75+AJ76+AJ77+AJ78+AJ79+AJ80+AJ81+AJ82+AJ83+AJ84+AJ85+AJ86</f>
        <v>-10430264.9973142</v>
      </c>
      <c r="AK87" s="53" t="n">
        <f aca="false">AK75+AK76+AK77+AK78+AK79+AK80+AK81+AK82+AK83+AK84+AK85+AK86</f>
        <v>-10624561.8075664</v>
      </c>
      <c r="AL87" s="53" t="n">
        <f aca="false">AL75+AL76+AL77+AL78+AL79+AL80+AL81+AL82+AL83+AL84+AL85+AL86</f>
        <v>-10810669.9436964</v>
      </c>
      <c r="AM87" s="53" t="n">
        <f aca="false">SUM(C87:AL87)</f>
        <v>-162900939.362617</v>
      </c>
    </row>
    <row r="88" customFormat="false" ht="15" hidden="false" customHeight="false" outlineLevel="0" collapsed="false">
      <c r="A88" s="38" t="s">
        <v>803</v>
      </c>
      <c r="B88" s="9" t="s">
        <v>95</v>
      </c>
      <c r="C88" s="53" t="n">
        <f aca="false">C73+C87</f>
        <v>-102860</v>
      </c>
      <c r="D88" s="53" t="n">
        <f aca="false">D73+D87</f>
        <v>-462128.784</v>
      </c>
      <c r="E88" s="53" t="n">
        <f aca="false">E73+E87</f>
        <v>83396.94788</v>
      </c>
      <c r="F88" s="53" t="n">
        <f aca="false">F73+F87</f>
        <v>256391.5595102</v>
      </c>
      <c r="G88" s="53" t="n">
        <f aca="false">G73+G87</f>
        <v>558269.231498604</v>
      </c>
      <c r="H88" s="53" t="n">
        <f aca="false">H73+H87</f>
        <v>771621.660454119</v>
      </c>
      <c r="I88" s="53" t="n">
        <f aca="false">I73+I87</f>
        <v>964446.840402497</v>
      </c>
      <c r="J88" s="53" t="n">
        <f aca="false">J73+J87</f>
        <v>1169284.84490908</v>
      </c>
      <c r="K88" s="53" t="n">
        <f aca="false">K73+K87</f>
        <v>1386421.65228726</v>
      </c>
      <c r="L88" s="53" t="n">
        <f aca="false">L73+L87</f>
        <v>1616783.38904119</v>
      </c>
      <c r="M88" s="53" t="n">
        <f aca="false">M73+M87</f>
        <v>1861677.77268205</v>
      </c>
      <c r="N88" s="53" t="n">
        <f aca="false">N73+N87</f>
        <v>2122548.93627699</v>
      </c>
      <c r="O88" s="53" t="n">
        <f aca="false">O73+O87</f>
        <v>2400935.59033258</v>
      </c>
      <c r="P88" s="53" t="n">
        <f aca="false">P73+P87</f>
        <v>2698466.75783463</v>
      </c>
      <c r="Q88" s="53" t="n">
        <f aca="false">Q73+Q87</f>
        <v>3016867.90459055</v>
      </c>
      <c r="R88" s="53" t="n">
        <f aca="false">R73+R87</f>
        <v>3357970.39118002</v>
      </c>
      <c r="S88" s="53" t="n">
        <f aca="false">S73+S87</f>
        <v>3723722.56171812</v>
      </c>
      <c r="T88" s="53" t="n">
        <f aca="false">T73+T87</f>
        <v>4097822.34359108</v>
      </c>
      <c r="U88" s="53" t="n">
        <f aca="false">U73+U87</f>
        <v>4485581.58761092</v>
      </c>
      <c r="V88" s="53" t="n">
        <f aca="false">V73+V87</f>
        <v>4890520.08649738</v>
      </c>
      <c r="W88" s="53" t="n">
        <f aca="false">W73+W87</f>
        <v>5312155.38082961</v>
      </c>
      <c r="X88" s="53" t="n">
        <f aca="false">X73+X87</f>
        <v>5750965.55932112</v>
      </c>
      <c r="Y88" s="53" t="n">
        <f aca="false">Y73+Y87</f>
        <v>6207448.72945511</v>
      </c>
      <c r="Z88" s="53" t="n">
        <f aca="false">Z73+Z87</f>
        <v>6682145.50781879</v>
      </c>
      <c r="AA88" s="53" t="n">
        <f aca="false">AA73+AA87</f>
        <v>7175641.81112336</v>
      </c>
      <c r="AB88" s="53" t="n">
        <f aca="false">AB73+AB87</f>
        <v>7688576.24159759</v>
      </c>
      <c r="AC88" s="53" t="n">
        <f aca="false">AC73+AC87</f>
        <v>8221648.74068086</v>
      </c>
      <c r="AD88" s="53" t="n">
        <f aca="false">AD73+AD87</f>
        <v>8775630.22457253</v>
      </c>
      <c r="AE88" s="53" t="n">
        <f aca="false">AE73+AE87</f>
        <v>9351373.21100255</v>
      </c>
      <c r="AF88" s="53" t="n">
        <f aca="false">AF73+AF87</f>
        <v>9949823.53401731</v>
      </c>
      <c r="AG88" s="53" t="n">
        <f aca="false">AG73+AG87</f>
        <v>10572033.2731248</v>
      </c>
      <c r="AH88" s="53" t="n">
        <f aca="false">AH73+AH87</f>
        <v>11291561.4853507</v>
      </c>
      <c r="AI88" s="53" t="n">
        <f aca="false">AI73+AI87</f>
        <v>12164290.1660398</v>
      </c>
      <c r="AJ88" s="53" t="n">
        <f aca="false">AJ73+AJ87</f>
        <v>12991251.1346028</v>
      </c>
      <c r="AK88" s="53" t="n">
        <f aca="false">AK73+AK87</f>
        <v>13783391.8337235</v>
      </c>
      <c r="AL88" s="53" t="n">
        <f aca="false">AL73+AL87</f>
        <v>14546095.8854854</v>
      </c>
      <c r="AM88" s="53" t="n">
        <f aca="false">SUM(C88:AL88)</f>
        <v>189361773.993043</v>
      </c>
    </row>
    <row r="89" customFormat="false" ht="15" hidden="false" customHeight="false" outlineLevel="0" collapsed="false">
      <c r="A89" s="38" t="s">
        <v>804</v>
      </c>
      <c r="B89" s="9" t="s">
        <v>59</v>
      </c>
      <c r="C89" s="52" t="n">
        <f aca="false">IFERROR(C88/C72,0)</f>
        <v>0</v>
      </c>
      <c r="D89" s="52" t="n">
        <f aca="false">IFERROR(D88/D72,0)</f>
        <v>-1.78986484476669</v>
      </c>
      <c r="E89" s="52" t="n">
        <f aca="false">IFERROR(E88/E72,0)</f>
        <v>0.162109716061244</v>
      </c>
      <c r="F89" s="52" t="n">
        <f aca="false">IFERROR(F88/F72,0)</f>
        <v>0.297702234698317</v>
      </c>
      <c r="G89" s="52" t="n">
        <f aca="false">IFERROR(G88/G72,0)</f>
        <v>0.387458627762742</v>
      </c>
      <c r="H89" s="52" t="n">
        <f aca="false">IFERROR(H88/H72,0)</f>
        <v>0.387058210435584</v>
      </c>
      <c r="I89" s="52" t="n">
        <f aca="false">IFERROR(I88/I72,0)</f>
        <v>0.376781681137847</v>
      </c>
      <c r="J89" s="52" t="n">
        <f aca="false">IFERROR(J88/J72,0)</f>
        <v>0.370935301667555</v>
      </c>
      <c r="K89" s="52" t="n">
        <f aca="false">IFERROR(K88/K72,0)</f>
        <v>0.367008971893592</v>
      </c>
      <c r="L89" s="52" t="n">
        <f aca="false">IFERROR(L88/L72,0)</f>
        <v>0.364120422954653</v>
      </c>
      <c r="M89" s="52" t="n">
        <f aca="false">IFERROR(M88/M72,0)</f>
        <v>0.361887803941455</v>
      </c>
      <c r="N89" s="52" t="n">
        <f aca="false">IFERROR(N88/N72,0)</f>
        <v>0.360101868478889</v>
      </c>
      <c r="O89" s="52" t="n">
        <f aca="false">IFERROR(O88/O72,0)</f>
        <v>0.358633683776297</v>
      </c>
      <c r="P89" s="52" t="n">
        <f aca="false">IFERROR(P88/P72,0)</f>
        <v>0.357398437432874</v>
      </c>
      <c r="Q89" s="52" t="n">
        <f aca="false">IFERROR(Q88/Q72,0)</f>
        <v>0.356338019223123</v>
      </c>
      <c r="R89" s="52" t="n">
        <f aca="false">IFERROR(R88/R72,0)</f>
        <v>0.355411446876079</v>
      </c>
      <c r="S89" s="52" t="n">
        <f aca="false">IFERROR(S88/S72,0)</f>
        <v>0.354589168427981</v>
      </c>
      <c r="T89" s="52" t="n">
        <f aca="false">IFERROR(T88/T72,0)</f>
        <v>0.353244677524241</v>
      </c>
      <c r="U89" s="52" t="n">
        <f aca="false">IFERROR(U88/U72,0)</f>
        <v>0.352026177626249</v>
      </c>
      <c r="V89" s="52" t="n">
        <f aca="false">IFERROR(V88/V72,0)</f>
        <v>0.35104494231262</v>
      </c>
      <c r="W89" s="52" t="n">
        <f aca="false">IFERROR(W88/W72,0)</f>
        <v>0.350189939413116</v>
      </c>
      <c r="X89" s="52" t="n">
        <f aca="false">IFERROR(X88/X72,0)</f>
        <v>0.349438720191612</v>
      </c>
      <c r="Y89" s="52" t="n">
        <f aca="false">IFERROR(Y88/Y72,0)</f>
        <v>0.348773934069768</v>
      </c>
      <c r="Z89" s="52" t="n">
        <f aca="false">IFERROR(Z88/Z72,0)</f>
        <v>0.348182370172423</v>
      </c>
      <c r="AA89" s="52" t="n">
        <f aca="false">IFERROR(AA88/AA72,0)</f>
        <v>0.347653614412695</v>
      </c>
      <c r="AB89" s="52" t="n">
        <f aca="false">IFERROR(AB88/AB72,0)</f>
        <v>0.347179349069394</v>
      </c>
      <c r="AC89" s="52" t="n">
        <f aca="false">IFERROR(AC88/AC72,0)</f>
        <v>0.346752875462219</v>
      </c>
      <c r="AD89" s="52" t="n">
        <f aca="false">IFERROR(AD88/AD72,0)</f>
        <v>0.346368765716617</v>
      </c>
      <c r="AE89" s="52" t="n">
        <f aca="false">IFERROR(AE88/AE72,0)</f>
        <v>0.34602260112886</v>
      </c>
      <c r="AF89" s="52" t="n">
        <f aca="false">IFERROR(AF88/AF72,0)</f>
        <v>0.345710772465004</v>
      </c>
      <c r="AG89" s="52" t="n">
        <f aca="false">IFERROR(AG88/AG72,0)</f>
        <v>0.345430325729088</v>
      </c>
      <c r="AH89" s="52" t="n">
        <f aca="false">IFERROR(AH88/AH72,0)</f>
        <v>0.348270435229996</v>
      </c>
      <c r="AI89" s="52" t="n">
        <f aca="false">IFERROR(AI88/AI72,0)</f>
        <v>0.356863769581027</v>
      </c>
      <c r="AJ89" s="52" t="n">
        <f aca="false">IFERROR(AJ88/AJ72,0)</f>
        <v>0.364345634673979</v>
      </c>
      <c r="AK89" s="52" t="n">
        <f aca="false">IFERROR(AK88/AK72,0)</f>
        <v>0.370956872940786</v>
      </c>
      <c r="AL89" s="52" t="n">
        <f aca="false">IFERROR(AL88/AL72,0)</f>
        <v>0.376855586392879</v>
      </c>
      <c r="AM89" s="52" t="n">
        <f aca="false">AVERAGE(N89:AL89)</f>
        <v>0.353511359533113</v>
      </c>
    </row>
    <row r="90" customFormat="false" ht="15" hidden="false" customHeight="false" outlineLevel="0" collapsed="false">
      <c r="A90" s="10" t="s">
        <v>805</v>
      </c>
      <c r="B90" s="9" t="s">
        <v>95</v>
      </c>
      <c r="C90" s="70" t="n">
        <f aca="false">-C43*Assumptions!$F$102</f>
        <v>0</v>
      </c>
      <c r="D90" s="70" t="n">
        <f aca="false">-D43*Assumptions!$F$102</f>
        <v>116160</v>
      </c>
      <c r="E90" s="70" t="n">
        <f aca="false">-E43*Assumptions!$F$102</f>
        <v>231448.8</v>
      </c>
      <c r="F90" s="70" t="n">
        <f aca="false">-F43*Assumptions!$F$102</f>
        <v>387467.652</v>
      </c>
      <c r="G90" s="70" t="n">
        <f aca="false">-G43*Assumptions!$F$102</f>
        <v>572757.460622814</v>
      </c>
      <c r="H90" s="70" t="n">
        <f aca="false">-H43*Assumptions!$F$102</f>
        <v>756249.049239051</v>
      </c>
      <c r="I90" s="70" t="n">
        <f aca="false">-I43*Assumptions!$F$102</f>
        <v>938816.445034869</v>
      </c>
      <c r="J90" s="70" t="n">
        <f aca="false">-J43*Assumptions!$F$102</f>
        <v>1125541.28286015</v>
      </c>
      <c r="K90" s="70" t="n">
        <f aca="false">-K43*Assumptions!$F$102</f>
        <v>1318446.47871801</v>
      </c>
      <c r="L90" s="70" t="n">
        <f aca="false">-L43*Assumptions!$F$102</f>
        <v>1518664.08812104</v>
      </c>
      <c r="M90" s="70" t="n">
        <f aca="false">-M43*Assumptions!$F$102</f>
        <v>1727146.98959846</v>
      </c>
      <c r="N90" s="70" t="n">
        <f aca="false">-N43*Assumptions!$F$102</f>
        <v>1944821.5957602</v>
      </c>
      <c r="O90" s="70" t="n">
        <f aca="false">-O43*Assumptions!$F$102</f>
        <v>2172627.13821834</v>
      </c>
      <c r="P90" s="70" t="n">
        <f aca="false">-P43*Assumptions!$F$102</f>
        <v>2411528.26205748</v>
      </c>
      <c r="Q90" s="70" t="n">
        <f aca="false">-Q43*Assumptions!$F$102</f>
        <v>2662521.88847435</v>
      </c>
      <c r="R90" s="70" t="n">
        <f aca="false">-R43*Assumptions!$F$102</f>
        <v>2926643.13546847</v>
      </c>
      <c r="S90" s="70" t="n">
        <f aca="false">-S43*Assumptions!$F$102</f>
        <v>3204971.37153309</v>
      </c>
      <c r="T90" s="70" t="n">
        <f aca="false">-T43*Assumptions!$F$102</f>
        <v>3498636.61621849</v>
      </c>
      <c r="U90" s="70" t="n">
        <f aca="false">-U43*Assumptions!$F$102</f>
        <v>3807392.0801773</v>
      </c>
      <c r="V90" s="70" t="n">
        <f aca="false">-V43*Assumptions!$F$102</f>
        <v>4131197.90202594</v>
      </c>
      <c r="W90" s="70" t="n">
        <f aca="false">-W43*Assumptions!$F$102</f>
        <v>4470385.45702168</v>
      </c>
      <c r="X90" s="70" t="n">
        <f aca="false">-X43*Assumptions!$F$102</f>
        <v>4825295.38053324</v>
      </c>
      <c r="Y90" s="70" t="n">
        <f aca="false">-Y43*Assumptions!$F$102</f>
        <v>5196280.3638361</v>
      </c>
      <c r="Z90" s="70" t="n">
        <f aca="false">-Z43*Assumptions!$F$102</f>
        <v>5583719.68584342</v>
      </c>
      <c r="AA90" s="70" t="n">
        <f aca="false">-AA43*Assumptions!$F$102</f>
        <v>5988026.18727806</v>
      </c>
      <c r="AB90" s="70" t="n">
        <f aca="false">-AB43*Assumptions!$F$102</f>
        <v>6409652.51236197</v>
      </c>
      <c r="AC90" s="70" t="n">
        <f aca="false">-AC43*Assumptions!$F$102</f>
        <v>6849097.64520337</v>
      </c>
      <c r="AD90" s="70" t="n">
        <f aca="false">-AD43*Assumptions!$F$102</f>
        <v>7306914.03043399</v>
      </c>
      <c r="AE90" s="70" t="n">
        <f aca="false">-AE43*Assumptions!$F$102</f>
        <v>7783715.40161315</v>
      </c>
      <c r="AF90" s="70" t="n">
        <f aca="false">-AF43*Assumptions!$F$102</f>
        <v>8280185.41470136</v>
      </c>
      <c r="AG90" s="70" t="n">
        <f aca="false">-AG43*Assumptions!$F$102</f>
        <v>8797087.18680925</v>
      </c>
      <c r="AH90" s="70" t="n">
        <f aca="false">-AH43*Assumptions!$F$102</f>
        <v>9312698.5968903</v>
      </c>
      <c r="AI90" s="70" t="n">
        <f aca="false">-AI43*Assumptions!$F$102</f>
        <v>9787594.1119002</v>
      </c>
      <c r="AJ90" s="70" t="n">
        <f aca="false">-AJ43*Assumptions!$F$102</f>
        <v>10239314.6696581</v>
      </c>
      <c r="AK90" s="70" t="n">
        <f aca="false">-AK43*Assumptions!$F$102</f>
        <v>10675094.6473119</v>
      </c>
      <c r="AL90" s="70" t="n">
        <f aca="false">-AL43*Assumptions!$F$102</f>
        <v>11097667.952294</v>
      </c>
      <c r="AM90" s="70" t="n">
        <f aca="false">AL90</f>
        <v>11097667.952294</v>
      </c>
    </row>
    <row r="91" customFormat="false" ht="15" hidden="false" customHeight="false" outlineLevel="0" collapsed="false">
      <c r="A91" s="10" t="s">
        <v>806</v>
      </c>
      <c r="B91" s="9" t="s">
        <v>95</v>
      </c>
      <c r="C91" s="70" t="n">
        <f aca="false">-C90</f>
        <v>-0</v>
      </c>
      <c r="D91" s="70" t="n">
        <f aca="false">-(D90-C90)</f>
        <v>-116160</v>
      </c>
      <c r="E91" s="70" t="n">
        <f aca="false">-(E90-D90)</f>
        <v>-115288.8</v>
      </c>
      <c r="F91" s="70" t="n">
        <f aca="false">-(F90-E90)</f>
        <v>-156018.852</v>
      </c>
      <c r="G91" s="70" t="n">
        <f aca="false">-(G90-F90)</f>
        <v>-185289.808622814</v>
      </c>
      <c r="H91" s="70" t="n">
        <f aca="false">-(H90-G90)</f>
        <v>-183491.588616236</v>
      </c>
      <c r="I91" s="70" t="n">
        <f aca="false">-(I90-H90)</f>
        <v>-182567.395795818</v>
      </c>
      <c r="J91" s="70" t="n">
        <f aca="false">-(J90-I90)</f>
        <v>-186724.837825282</v>
      </c>
      <c r="K91" s="70" t="n">
        <f aca="false">-(K90-J90)</f>
        <v>-192905.195857856</v>
      </c>
      <c r="L91" s="70" t="n">
        <f aca="false">-(L90-K90)</f>
        <v>-200217.609403034</v>
      </c>
      <c r="M91" s="70" t="n">
        <f aca="false">-(M90-L90)</f>
        <v>-208482.901477422</v>
      </c>
      <c r="N91" s="70" t="n">
        <f aca="false">-(N90-M90)</f>
        <v>-217674.606161739</v>
      </c>
      <c r="O91" s="70" t="n">
        <f aca="false">-(O90-N90)</f>
        <v>-227805.542458135</v>
      </c>
      <c r="P91" s="70" t="n">
        <f aca="false">-(P90-O90)</f>
        <v>-238901.123839144</v>
      </c>
      <c r="Q91" s="70" t="n">
        <f aca="false">-(Q90-P90)</f>
        <v>-250993.62641687</v>
      </c>
      <c r="R91" s="70" t="n">
        <f aca="false">-(R90-Q90)</f>
        <v>-264121.246994116</v>
      </c>
      <c r="S91" s="70" t="n">
        <f aca="false">-(S90-R90)</f>
        <v>-278328.236064619</v>
      </c>
      <c r="T91" s="70" t="n">
        <f aca="false">-(T90-S90)</f>
        <v>-293665.244685403</v>
      </c>
      <c r="U91" s="70" t="n">
        <f aca="false">-(U90-T90)</f>
        <v>-308755.463958813</v>
      </c>
      <c r="V91" s="70" t="n">
        <f aca="false">-(V90-U90)</f>
        <v>-323805.821848637</v>
      </c>
      <c r="W91" s="70" t="n">
        <f aca="false">-(W90-V90)</f>
        <v>-339187.554995741</v>
      </c>
      <c r="X91" s="70" t="n">
        <f aca="false">-(X90-W90)</f>
        <v>-354909.92351156</v>
      </c>
      <c r="Y91" s="70" t="n">
        <f aca="false">-(Y90-X90)</f>
        <v>-370984.983302857</v>
      </c>
      <c r="Z91" s="70" t="n">
        <f aca="false">-(Z90-Y90)</f>
        <v>-387439.322007324</v>
      </c>
      <c r="AA91" s="70" t="n">
        <f aca="false">-(AA90-Z90)</f>
        <v>-404306.501434637</v>
      </c>
      <c r="AB91" s="70" t="n">
        <f aca="false">-(AB90-AA90)</f>
        <v>-421626.325083916</v>
      </c>
      <c r="AC91" s="70" t="n">
        <f aca="false">-(AC90-AB90)</f>
        <v>-439445.132841392</v>
      </c>
      <c r="AD91" s="70" t="n">
        <f aca="false">-(AD90-AC90)</f>
        <v>-457816.385230627</v>
      </c>
      <c r="AE91" s="70" t="n">
        <f aca="false">-(AE90-AD90)</f>
        <v>-476801.37117916</v>
      </c>
      <c r="AF91" s="70" t="n">
        <f aca="false">-(AF90-AE90)</f>
        <v>-496470.013088205</v>
      </c>
      <c r="AG91" s="70" t="n">
        <f aca="false">-(AG90-AF90)</f>
        <v>-516901.772107894</v>
      </c>
      <c r="AH91" s="70" t="n">
        <f aca="false">-(AH90-AG90)</f>
        <v>-515611.410081046</v>
      </c>
      <c r="AI91" s="70" t="n">
        <f aca="false">-(AI90-AH90)</f>
        <v>-474895.515009901</v>
      </c>
      <c r="AJ91" s="70" t="n">
        <f aca="false">-(AJ90-AI90)</f>
        <v>-451720.557757854</v>
      </c>
      <c r="AK91" s="70" t="n">
        <f aca="false">-(AK90-AJ90)</f>
        <v>-435779.977653895</v>
      </c>
      <c r="AL91" s="70" t="n">
        <f aca="false">-(AL90-AK90)</f>
        <v>-422573.304982059</v>
      </c>
      <c r="AM91" s="70" t="n">
        <f aca="false">SUM(C91:AL91)</f>
        <v>-11097667.952294</v>
      </c>
    </row>
    <row r="92" customFormat="false" ht="15" hidden="false" customHeight="false" outlineLevel="0" collapsed="false">
      <c r="A92" s="10" t="s">
        <v>807</v>
      </c>
      <c r="B92" s="9" t="s">
        <v>95</v>
      </c>
      <c r="C92" s="70" t="n">
        <f aca="false">C88+C91</f>
        <v>-102860</v>
      </c>
      <c r="D92" s="70" t="n">
        <f aca="false">D88+D91</f>
        <v>-578288.784</v>
      </c>
      <c r="E92" s="70" t="n">
        <f aca="false">E88+E91</f>
        <v>-31891.85212</v>
      </c>
      <c r="F92" s="70" t="n">
        <f aca="false">F88+F91</f>
        <v>100372.7075102</v>
      </c>
      <c r="G92" s="70" t="n">
        <f aca="false">G88+G91</f>
        <v>372979.422875789</v>
      </c>
      <c r="H92" s="70" t="n">
        <f aca="false">H88+H91</f>
        <v>588130.071837883</v>
      </c>
      <c r="I92" s="70" t="n">
        <f aca="false">I88+I91</f>
        <v>781879.444606678</v>
      </c>
      <c r="J92" s="70" t="n">
        <f aca="false">J88+J91</f>
        <v>982560.007083802</v>
      </c>
      <c r="K92" s="70" t="n">
        <f aca="false">K88+K91</f>
        <v>1193516.45642941</v>
      </c>
      <c r="L92" s="70" t="n">
        <f aca="false">L88+L91</f>
        <v>1416565.77963816</v>
      </c>
      <c r="M92" s="70" t="n">
        <f aca="false">M88+M91</f>
        <v>1653194.87120462</v>
      </c>
      <c r="N92" s="70" t="n">
        <f aca="false">N88+N91</f>
        <v>1904874.33011525</v>
      </c>
      <c r="O92" s="70" t="n">
        <f aca="false">O88+O91</f>
        <v>2173130.04787444</v>
      </c>
      <c r="P92" s="70" t="n">
        <f aca="false">P88+P91</f>
        <v>2459565.63399549</v>
      </c>
      <c r="Q92" s="70" t="n">
        <f aca="false">Q88+Q91</f>
        <v>2765874.27817368</v>
      </c>
      <c r="R92" s="70" t="n">
        <f aca="false">R88+R91</f>
        <v>3093849.14418591</v>
      </c>
      <c r="S92" s="70" t="n">
        <f aca="false">S88+S91</f>
        <v>3445394.3256535</v>
      </c>
      <c r="T92" s="70" t="n">
        <f aca="false">T88+T91</f>
        <v>3804157.09890568</v>
      </c>
      <c r="U92" s="70" t="n">
        <f aca="false">U88+U91</f>
        <v>4176826.1236521</v>
      </c>
      <c r="V92" s="70" t="n">
        <f aca="false">V88+V91</f>
        <v>4566714.26464874</v>
      </c>
      <c r="W92" s="70" t="n">
        <f aca="false">W88+W91</f>
        <v>4972967.82583387</v>
      </c>
      <c r="X92" s="70" t="n">
        <f aca="false">X88+X91</f>
        <v>5396055.63580956</v>
      </c>
      <c r="Y92" s="70" t="n">
        <f aca="false">Y88+Y91</f>
        <v>5836463.74615225</v>
      </c>
      <c r="Z92" s="70" t="n">
        <f aca="false">Z88+Z91</f>
        <v>6294706.18581147</v>
      </c>
      <c r="AA92" s="70" t="n">
        <f aca="false">AA88+AA91</f>
        <v>6771335.30968872</v>
      </c>
      <c r="AB92" s="70" t="n">
        <f aca="false">AB88+AB91</f>
        <v>7266949.91651368</v>
      </c>
      <c r="AC92" s="70" t="n">
        <f aca="false">AC88+AC91</f>
        <v>7782203.60783947</v>
      </c>
      <c r="AD92" s="70" t="n">
        <f aca="false">AD88+AD91</f>
        <v>8317813.8393419</v>
      </c>
      <c r="AE92" s="70" t="n">
        <f aca="false">AE88+AE91</f>
        <v>8874571.83982339</v>
      </c>
      <c r="AF92" s="70" t="n">
        <f aca="false">AF88+AF91</f>
        <v>9453353.5209291</v>
      </c>
      <c r="AG92" s="70" t="n">
        <f aca="false">AG88+AG91</f>
        <v>10055131.5010169</v>
      </c>
      <c r="AH92" s="70" t="n">
        <f aca="false">AH88+AH91</f>
        <v>10775950.0752697</v>
      </c>
      <c r="AI92" s="70" t="n">
        <f aca="false">AI88+AI91</f>
        <v>11689394.6510299</v>
      </c>
      <c r="AJ92" s="70" t="n">
        <f aca="false">AJ88+AJ91</f>
        <v>12539530.5768449</v>
      </c>
      <c r="AK92" s="70" t="n">
        <f aca="false">AK88+AK91</f>
        <v>13347611.8560696</v>
      </c>
      <c r="AL92" s="70" t="n">
        <f aca="false">AL88+AL91</f>
        <v>14123522.5805033</v>
      </c>
      <c r="AM92" s="70" t="n">
        <f aca="false">SUM(C92:AL92)</f>
        <v>178264106.040749</v>
      </c>
    </row>
    <row r="93" customFormat="false" ht="15" hidden="false" customHeight="false" outlineLevel="0" collapsed="false">
      <c r="A93" s="38" t="s">
        <v>808</v>
      </c>
      <c r="B93" s="9" t="s">
        <v>95</v>
      </c>
      <c r="C93" s="53" t="n">
        <f aca="false">C92</f>
        <v>-102860</v>
      </c>
      <c r="D93" s="53" t="n">
        <f aca="false">C93+D92</f>
        <v>-681148.784</v>
      </c>
      <c r="E93" s="53" t="n">
        <f aca="false">D93+E92</f>
        <v>-713040.63612</v>
      </c>
      <c r="F93" s="53" t="n">
        <f aca="false">E93+F92</f>
        <v>-612667.9286098</v>
      </c>
      <c r="G93" s="53" t="n">
        <f aca="false">F93+G92</f>
        <v>-239688.50573401</v>
      </c>
      <c r="H93" s="53" t="n">
        <f aca="false">G93+H92</f>
        <v>348441.566103872</v>
      </c>
      <c r="I93" s="53" t="n">
        <f aca="false">H93+I92</f>
        <v>1130321.01071055</v>
      </c>
      <c r="J93" s="53" t="n">
        <f aca="false">I93+J92</f>
        <v>2112881.01779435</v>
      </c>
      <c r="K93" s="53" t="n">
        <f aca="false">J93+K92</f>
        <v>3306397.47422376</v>
      </c>
      <c r="L93" s="53" t="n">
        <f aca="false">K93+L92</f>
        <v>4722963.25386191</v>
      </c>
      <c r="M93" s="53" t="n">
        <f aca="false">L93+M92</f>
        <v>6376158.12506654</v>
      </c>
      <c r="N93" s="53" t="n">
        <f aca="false">M93+N92</f>
        <v>8281032.45518179</v>
      </c>
      <c r="O93" s="53" t="n">
        <f aca="false">N93+O92</f>
        <v>10454162.5030562</v>
      </c>
      <c r="P93" s="53" t="n">
        <f aca="false">O93+P92</f>
        <v>12913728.1370517</v>
      </c>
      <c r="Q93" s="53" t="n">
        <f aca="false">P93+Q92</f>
        <v>15679602.4152254</v>
      </c>
      <c r="R93" s="53" t="n">
        <f aca="false">Q93+R92</f>
        <v>18773451.5594113</v>
      </c>
      <c r="S93" s="53" t="n">
        <f aca="false">R93+S92</f>
        <v>22218845.8850648</v>
      </c>
      <c r="T93" s="53" t="n">
        <f aca="false">S93+T92</f>
        <v>26023002.9839705</v>
      </c>
      <c r="U93" s="53" t="n">
        <f aca="false">T93+U92</f>
        <v>30199829.1076226</v>
      </c>
      <c r="V93" s="53" t="n">
        <f aca="false">U93+V92</f>
        <v>34766543.3722713</v>
      </c>
      <c r="W93" s="53" t="n">
        <f aca="false">V93+W92</f>
        <v>39739511.1981052</v>
      </c>
      <c r="X93" s="53" t="n">
        <f aca="false">W93+X92</f>
        <v>45135566.8339148</v>
      </c>
      <c r="Y93" s="53" t="n">
        <f aca="false">X93+Y92</f>
        <v>50972030.580067</v>
      </c>
      <c r="Z93" s="53" t="n">
        <f aca="false">Y93+Z92</f>
        <v>57266736.7658785</v>
      </c>
      <c r="AA93" s="53" t="n">
        <f aca="false">Z93+AA92</f>
        <v>64038072.0755672</v>
      </c>
      <c r="AB93" s="53" t="n">
        <f aca="false">AA93+AB92</f>
        <v>71305021.9920809</v>
      </c>
      <c r="AC93" s="53" t="n">
        <f aca="false">AB93+AC92</f>
        <v>79087225.5999204</v>
      </c>
      <c r="AD93" s="53" t="n">
        <f aca="false">AC93+AD92</f>
        <v>87405039.4392622</v>
      </c>
      <c r="AE93" s="53" t="n">
        <f aca="false">AD93+AE92</f>
        <v>96279611.2790856</v>
      </c>
      <c r="AF93" s="53" t="n">
        <f aca="false">AE93+AF92</f>
        <v>105732964.800015</v>
      </c>
      <c r="AG93" s="53" t="n">
        <f aca="false">AF93+AG92</f>
        <v>115788096.301032</v>
      </c>
      <c r="AH93" s="53" t="n">
        <f aca="false">AG93+AH92</f>
        <v>126564046.376301</v>
      </c>
      <c r="AI93" s="53" t="n">
        <f aca="false">AH93+AI92</f>
        <v>138253441.027331</v>
      </c>
      <c r="AJ93" s="53" t="n">
        <f aca="false">AI93+AJ92</f>
        <v>150792971.604176</v>
      </c>
      <c r="AK93" s="53" t="n">
        <f aca="false">AJ93+AK92</f>
        <v>164140583.460246</v>
      </c>
      <c r="AL93" s="53" t="n">
        <f aca="false">AK93+AL92</f>
        <v>178264106.040749</v>
      </c>
      <c r="AM93" s="53" t="n">
        <f aca="false">AL93</f>
        <v>178264106.040749</v>
      </c>
    </row>
    <row r="94" customFormat="false" ht="15" hidden="false" customHeight="false" outlineLevel="0" collapsed="false">
      <c r="A94" s="10" t="s">
        <v>809</v>
      </c>
      <c r="B94" s="9" t="s">
        <v>49</v>
      </c>
      <c r="C94" s="69" t="n">
        <f aca="false">IF(C88&gt;0,C$5,999)</f>
        <v>999</v>
      </c>
      <c r="D94" s="69" t="n">
        <f aca="false">IF(D88&gt;0,D$5,999)</f>
        <v>999</v>
      </c>
      <c r="E94" s="69" t="n">
        <f aca="false">IF(E88&gt;0,E$5,999)</f>
        <v>3</v>
      </c>
      <c r="F94" s="69" t="n">
        <f aca="false">IF(F88&gt;0,F$5,999)</f>
        <v>4</v>
      </c>
      <c r="G94" s="69" t="n">
        <f aca="false">IF(G88&gt;0,G$5,999)</f>
        <v>5</v>
      </c>
      <c r="H94" s="69" t="n">
        <f aca="false">IF(H88&gt;0,H$5,999)</f>
        <v>6</v>
      </c>
      <c r="I94" s="69" t="n">
        <f aca="false">IF(I88&gt;0,I$5,999)</f>
        <v>7</v>
      </c>
      <c r="J94" s="69" t="n">
        <f aca="false">IF(J88&gt;0,J$5,999)</f>
        <v>8</v>
      </c>
      <c r="K94" s="69" t="n">
        <f aca="false">IF(K88&gt;0,K$5,999)</f>
        <v>9</v>
      </c>
      <c r="L94" s="69" t="n">
        <f aca="false">IF(L88&gt;0,L$5,999)</f>
        <v>10</v>
      </c>
      <c r="M94" s="69" t="n">
        <f aca="false">IF(M88&gt;0,M$5,999)</f>
        <v>11</v>
      </c>
      <c r="N94" s="69" t="n">
        <f aca="false">IF(N88&gt;0,N$5,999)</f>
        <v>12</v>
      </c>
      <c r="O94" s="69" t="n">
        <f aca="false">IF(O88&gt;0,O$5,999)</f>
        <v>13</v>
      </c>
      <c r="P94" s="69" t="n">
        <f aca="false">IF(P88&gt;0,P$5,999)</f>
        <v>14</v>
      </c>
      <c r="Q94" s="69" t="n">
        <f aca="false">IF(Q88&gt;0,Q$5,999)</f>
        <v>15</v>
      </c>
      <c r="R94" s="69" t="n">
        <f aca="false">IF(R88&gt;0,R$5,999)</f>
        <v>16</v>
      </c>
      <c r="S94" s="69" t="n">
        <f aca="false">IF(S88&gt;0,S$5,999)</f>
        <v>17</v>
      </c>
      <c r="T94" s="69" t="n">
        <f aca="false">IF(T88&gt;0,T$5,999)</f>
        <v>18</v>
      </c>
      <c r="U94" s="69" t="n">
        <f aca="false">IF(U88&gt;0,U$5,999)</f>
        <v>19</v>
      </c>
      <c r="V94" s="69" t="n">
        <f aca="false">IF(V88&gt;0,V$5,999)</f>
        <v>20</v>
      </c>
      <c r="W94" s="69" t="n">
        <f aca="false">IF(W88&gt;0,W$5,999)</f>
        <v>21</v>
      </c>
      <c r="X94" s="69" t="n">
        <f aca="false">IF(X88&gt;0,X$5,999)</f>
        <v>22</v>
      </c>
      <c r="Y94" s="69" t="n">
        <f aca="false">IF(Y88&gt;0,Y$5,999)</f>
        <v>23</v>
      </c>
      <c r="Z94" s="69" t="n">
        <f aca="false">IF(Z88&gt;0,Z$5,999)</f>
        <v>24</v>
      </c>
      <c r="AA94" s="69" t="n">
        <f aca="false">IF(AA88&gt;0,AA$5,999)</f>
        <v>25</v>
      </c>
      <c r="AB94" s="69" t="n">
        <f aca="false">IF(AB88&gt;0,AB$5,999)</f>
        <v>26</v>
      </c>
      <c r="AC94" s="69" t="n">
        <f aca="false">IF(AC88&gt;0,AC$5,999)</f>
        <v>27</v>
      </c>
      <c r="AD94" s="69" t="n">
        <f aca="false">IF(AD88&gt;0,AD$5,999)</f>
        <v>28</v>
      </c>
      <c r="AE94" s="69" t="n">
        <f aca="false">IF(AE88&gt;0,AE$5,999)</f>
        <v>29</v>
      </c>
      <c r="AF94" s="69" t="n">
        <f aca="false">IF(AF88&gt;0,AF$5,999)</f>
        <v>30</v>
      </c>
      <c r="AG94" s="69" t="n">
        <f aca="false">IF(AG88&gt;0,AG$5,999)</f>
        <v>31</v>
      </c>
      <c r="AH94" s="69" t="n">
        <f aca="false">IF(AH88&gt;0,AH$5,999)</f>
        <v>32</v>
      </c>
      <c r="AI94" s="69" t="n">
        <f aca="false">IF(AI88&gt;0,AI$5,999)</f>
        <v>33</v>
      </c>
      <c r="AJ94" s="69" t="n">
        <f aca="false">IF(AJ88&gt;0,AJ$5,999)</f>
        <v>34</v>
      </c>
      <c r="AK94" s="69" t="n">
        <f aca="false">IF(AK88&gt;0,AK$5,999)</f>
        <v>35</v>
      </c>
      <c r="AL94" s="69" t="n">
        <f aca="false">IF(AL88&gt;0,AL$5,999)</f>
        <v>36</v>
      </c>
      <c r="AM94" s="69"/>
    </row>
    <row r="95" customFormat="false" ht="15" hidden="false" customHeight="false" outlineLevel="0" collapsed="false">
      <c r="A95" s="10" t="s">
        <v>810</v>
      </c>
      <c r="B95" s="9" t="s">
        <v>49</v>
      </c>
      <c r="C95" s="61" t="n">
        <f aca="false">C32+C56</f>
        <v>0</v>
      </c>
      <c r="D95" s="61" t="n">
        <f aca="false">D32+D56</f>
        <v>3000</v>
      </c>
      <c r="E95" s="61" t="n">
        <f aca="false">E32+E56</f>
        <v>4350</v>
      </c>
      <c r="F95" s="61" t="n">
        <f aca="false">F32+F56</f>
        <v>6307.5</v>
      </c>
      <c r="G95" s="61" t="n">
        <f aca="false">G32+G56</f>
        <v>8514.08245381581</v>
      </c>
      <c r="H95" s="61" t="n">
        <f aca="false">H32+H56</f>
        <v>9715.39808785477</v>
      </c>
      <c r="I95" s="61" t="n">
        <f aca="false">I32+I56</f>
        <v>10614.0421856684</v>
      </c>
      <c r="J95" s="61" t="n">
        <f aca="false">J32+J56</f>
        <v>11477.496866923</v>
      </c>
      <c r="K95" s="61" t="n">
        <f aca="false">K32+K56</f>
        <v>12372.7104657485</v>
      </c>
      <c r="L95" s="61" t="n">
        <f aca="false">L32+L56</f>
        <v>13323.5928701822</v>
      </c>
      <c r="M95" s="61" t="n">
        <f aca="false">M32+M56</f>
        <v>14341.4538392755</v>
      </c>
      <c r="N95" s="61" t="n">
        <f aca="false">N32+N56</f>
        <v>15433.6756093775</v>
      </c>
      <c r="O95" s="61" t="n">
        <f aca="false">O32+O56</f>
        <v>16606.313646464</v>
      </c>
      <c r="P95" s="61" t="n">
        <f aca="false">P32+P56</f>
        <v>17865.0409356868</v>
      </c>
      <c r="Q95" s="61" t="n">
        <f aca="false">Q32+Q56</f>
        <v>19215.5643608099</v>
      </c>
      <c r="R95" s="61" t="n">
        <f aca="false">R32+R56</f>
        <v>20663.8440084197</v>
      </c>
      <c r="S95" s="61" t="n">
        <f aca="false">S32+S56</f>
        <v>22216.2272574335</v>
      </c>
      <c r="T95" s="61" t="n">
        <f aca="false">T32+T56</f>
        <v>23812.1988296169</v>
      </c>
      <c r="U95" s="61" t="n">
        <f aca="false">U32+U56</f>
        <v>25446.1634819396</v>
      </c>
      <c r="V95" s="61" t="n">
        <f aca="false">V32+V56</f>
        <v>27134.7232652039</v>
      </c>
      <c r="W95" s="61" t="n">
        <f aca="false">W32+W56</f>
        <v>28882.8307110583</v>
      </c>
      <c r="X95" s="61" t="n">
        <f aca="false">X32+X56</f>
        <v>30692.8257707545</v>
      </c>
      <c r="Y95" s="61" t="n">
        <f aca="false">Y32+Y56</f>
        <v>32566.90027152</v>
      </c>
      <c r="Z95" s="61" t="n">
        <f aca="false">Z32+Z56</f>
        <v>34507.4492449393</v>
      </c>
      <c r="AA95" s="61" t="n">
        <f aca="false">AA32+AA56</f>
        <v>36517.1854654479</v>
      </c>
      <c r="AB95" s="61" t="n">
        <f aca="false">AB32+AB56</f>
        <v>38599.1978796791</v>
      </c>
      <c r="AC95" s="61" t="n">
        <f aca="false">AC32+AC56</f>
        <v>40757.00144271</v>
      </c>
      <c r="AD95" s="61" t="n">
        <f aca="false">AD32+AD56</f>
        <v>42994.5887841724</v>
      </c>
      <c r="AE95" s="61" t="n">
        <f aca="false">AE32+AE56</f>
        <v>45316.4865901923</v>
      </c>
      <c r="AF95" s="61" t="n">
        <f aca="false">AF32+AF56</f>
        <v>47727.8179702799</v>
      </c>
      <c r="AG95" s="61" t="n">
        <f aca="false">AG32+AG56</f>
        <v>50234.3717519895</v>
      </c>
      <c r="AH95" s="61" t="n">
        <f aca="false">AH32+AH56</f>
        <v>52195.681924996</v>
      </c>
      <c r="AI95" s="61" t="n">
        <f aca="false">AI32+AI56</f>
        <v>52807.8533354492</v>
      </c>
      <c r="AJ95" s="61" t="n">
        <f aca="false">AJ32+AJ56</f>
        <v>53271.3091294765</v>
      </c>
      <c r="AK95" s="61" t="n">
        <f aca="false">AK32+AK56</f>
        <v>53760.4034086346</v>
      </c>
      <c r="AL95" s="61" t="n">
        <f aca="false">AL32+AL56</f>
        <v>54305.2694377883</v>
      </c>
      <c r="AM95" s="61" t="n">
        <f aca="false">SUM(C95:AL95)</f>
        <v>977547.201283508</v>
      </c>
    </row>
    <row r="96" customFormat="false" ht="15" hidden="false" customHeight="false" outlineLevel="0" collapsed="false">
      <c r="A96" s="38" t="s">
        <v>811</v>
      </c>
      <c r="B96" s="9" t="s">
        <v>95</v>
      </c>
      <c r="C96" s="51" t="n">
        <f aca="false">IFERROR((C26-C82)/C95,0)</f>
        <v>0</v>
      </c>
      <c r="D96" s="51" t="n">
        <f aca="false">IFERROR((D26-D82)/D95,0)</f>
        <v>28.6666666666667</v>
      </c>
      <c r="E96" s="51" t="n">
        <f aca="false">IFERROR((E26-E82)/E95,0)</f>
        <v>19.7701149425287</v>
      </c>
      <c r="F96" s="51" t="n">
        <f aca="false">IFERROR((F26-F82)/F95,0)</f>
        <v>20.4343261196988</v>
      </c>
      <c r="G96" s="51" t="n">
        <f aca="false">IFERROR((G26-G82)/G95,0)</f>
        <v>23.2845975541558</v>
      </c>
      <c r="H96" s="51" t="n">
        <f aca="false">IFERROR((H26-H82)/H95,0)</f>
        <v>32.6272474771144</v>
      </c>
      <c r="I96" s="51" t="n">
        <f aca="false">IFERROR((I26-I82)/I95,0)</f>
        <v>41.3209214321153</v>
      </c>
      <c r="J96" s="51" t="n">
        <f aca="false">IFERROR((J26-J82)/J95,0)</f>
        <v>49.064119906863</v>
      </c>
      <c r="K96" s="51" t="n">
        <f aca="false">IFERROR((K26-K82)/K95,0)</f>
        <v>56.0505637111572</v>
      </c>
      <c r="L96" s="51" t="n">
        <f aca="false">IFERROR((L26-L82)/L95,0)</f>
        <v>62.3763529360623</v>
      </c>
      <c r="M96" s="51" t="n">
        <f aca="false">IFERROR((M26-M82)/M95,0)</f>
        <v>68.1139868961588</v>
      </c>
      <c r="N96" s="51" t="n">
        <f aca="false">IFERROR((N26-N82)/N95,0)</f>
        <v>73.330370528623</v>
      </c>
      <c r="O96" s="51" t="n">
        <f aca="false">IFERROR((O26-O82)/O95,0)</f>
        <v>78.0875472268778</v>
      </c>
      <c r="P96" s="51" t="n">
        <f aca="false">IFERROR((P26-P82)/P95,0)</f>
        <v>82.4419199717322</v>
      </c>
      <c r="Q96" s="51" t="n">
        <f aca="false">IFERROR((Q26-Q82)/Q95,0)</f>
        <v>86.4438218417067</v>
      </c>
      <c r="R96" s="51" t="n">
        <f aca="false">IFERROR((R26-R82)/R95,0)</f>
        <v>90.1375395914589</v>
      </c>
      <c r="S96" s="51" t="n">
        <f aca="false">IFERROR((S26-S82)/S95,0)</f>
        <v>93.5616393544174</v>
      </c>
      <c r="T96" s="51" t="n">
        <f aca="false">IFERROR((T26-T82)/T95,0)</f>
        <v>97.0230742791746</v>
      </c>
      <c r="U96" s="51" t="n">
        <f aca="false">IFERROR((U26-U82)/U95,0)</f>
        <v>100.29467306969</v>
      </c>
      <c r="V96" s="51" t="n">
        <f aca="false">IFERROR((V26-V82)/V95,0)</f>
        <v>103.309696207757</v>
      </c>
      <c r="W96" s="51" t="n">
        <f aca="false">IFERROR((W26-W82)/W95,0)</f>
        <v>106.114627224689</v>
      </c>
      <c r="X96" s="51" t="n">
        <f aca="false">IFERROR((X26-X82)/X95,0)</f>
        <v>108.730882089229</v>
      </c>
      <c r="Y96" s="51" t="n">
        <f aca="false">IFERROR((Y26-Y82)/Y95,0)</f>
        <v>111.177267867809</v>
      </c>
      <c r="Z96" s="51" t="n">
        <f aca="false">IFERROR((Z26-Z82)/Z95,0)</f>
        <v>113.469448495761</v>
      </c>
      <c r="AA96" s="51" t="n">
        <f aca="false">IFERROR((AA26-AA82)/AA95,0)</f>
        <v>115.620417884779</v>
      </c>
      <c r="AB96" s="51" t="n">
        <f aca="false">IFERROR((AB26-AB82)/AB95,0)</f>
        <v>117.640917736165</v>
      </c>
      <c r="AC96" s="51" t="n">
        <f aca="false">IFERROR((AC26-AC82)/AC95,0)</f>
        <v>119.539792260593</v>
      </c>
      <c r="AD96" s="51" t="n">
        <f aca="false">IFERROR((AD26-AD82)/AD95,0)</f>
        <v>121.324281564946</v>
      </c>
      <c r="AE96" s="51" t="n">
        <f aca="false">IFERROR((AE26-AE82)/AE95,0)</f>
        <v>123.000263732513</v>
      </c>
      <c r="AF96" s="51" t="n">
        <f aca="false">IFERROR((AF26-AF82)/AF95,0)</f>
        <v>124.572455357042</v>
      </c>
      <c r="AG96" s="51" t="n">
        <f aca="false">IFERROR((AG26-AG82)/AG95,0)</f>
        <v>126.044578836135</v>
      </c>
      <c r="AH96" s="51" t="n">
        <f aca="false">IFERROR((AH26-AH82)/AH95,0)</f>
        <v>126.679214737773</v>
      </c>
      <c r="AI96" s="51" t="n">
        <f aca="false">IFERROR((AI26-AI82)/AI95,0)</f>
        <v>125.898630357705</v>
      </c>
      <c r="AJ96" s="51" t="n">
        <f aca="false">IFERROR((AJ26-AJ82)/AJ95,0)</f>
        <v>125.428360883899</v>
      </c>
      <c r="AK96" s="51" t="n">
        <f aca="false">IFERROR((AK26-AK82)/AK95,0)</f>
        <v>124.871232992793</v>
      </c>
      <c r="AL96" s="51" t="n">
        <f aca="false">IFERROR((AL26-AL82)/AL95,0)</f>
        <v>124.170756280211</v>
      </c>
      <c r="AM96" s="51" t="n">
        <f aca="false">AVERAGE(N96:AL96)</f>
        <v>108.756536414939</v>
      </c>
    </row>
    <row r="97" customFormat="false" ht="15" hidden="false" customHeight="false" outlineLevel="0" collapsed="false">
      <c r="A97" s="10" t="s">
        <v>812</v>
      </c>
      <c r="B97" s="9" t="s">
        <v>95</v>
      </c>
      <c r="C97" s="63" t="n">
        <f aca="false">IFERROR(C18/(C19*Assumptions!$F$49*Assumptions!$F$31*Assumptions!$F$32),0)</f>
        <v>0</v>
      </c>
      <c r="D97" s="63" t="n">
        <f aca="false">IFERROR(D18/(D19*Assumptions!$F$49*Assumptions!$F$31*Assumptions!$F$32),0)</f>
        <v>26.7379679144385</v>
      </c>
      <c r="E97" s="63" t="n">
        <f aca="false">IFERROR(E18/(E19*Assumptions!$F$49*Assumptions!$F$31*Assumptions!$F$32),0)</f>
        <v>26.7379679144385</v>
      </c>
      <c r="F97" s="63" t="n">
        <f aca="false">IFERROR(F18/(F19*Assumptions!$F$49*Assumptions!$F$31*Assumptions!$F$32),0)</f>
        <v>26.7379679144385</v>
      </c>
      <c r="G97" s="63" t="n">
        <f aca="false">IFERROR(G18/(G19*Assumptions!$F$49*Assumptions!$F$31*Assumptions!$F$32),0)</f>
        <v>26.7379679144385</v>
      </c>
      <c r="H97" s="63" t="n">
        <f aca="false">IFERROR(H18/(H19*Assumptions!$F$49*Assumptions!$F$31*Assumptions!$F$32),0)</f>
        <v>26.7379679144385</v>
      </c>
      <c r="I97" s="63" t="n">
        <f aca="false">IFERROR(I18/(I19*Assumptions!$F$49*Assumptions!$F$31*Assumptions!$F$32),0)</f>
        <v>26.7379679144385</v>
      </c>
      <c r="J97" s="63" t="n">
        <f aca="false">IFERROR(J18/(J19*Assumptions!$F$49*Assumptions!$F$31*Assumptions!$F$32),0)</f>
        <v>26.7379679144385</v>
      </c>
      <c r="K97" s="63" t="n">
        <f aca="false">IFERROR(K18/(K19*Assumptions!$F$49*Assumptions!$F$31*Assumptions!$F$32),0)</f>
        <v>26.7379679144385</v>
      </c>
      <c r="L97" s="63" t="n">
        <f aca="false">IFERROR(L18/(L19*Assumptions!$F$49*Assumptions!$F$31*Assumptions!$F$32),0)</f>
        <v>26.7379679144385</v>
      </c>
      <c r="M97" s="63" t="n">
        <f aca="false">IFERROR(M18/(M19*Assumptions!$F$49*Assumptions!$F$31*Assumptions!$F$32),0)</f>
        <v>26.7379679144385</v>
      </c>
      <c r="N97" s="63" t="n">
        <f aca="false">IFERROR(N18/(N19*Assumptions!$F$49*Assumptions!$F$31*Assumptions!$F$32),0)</f>
        <v>26.7379679144385</v>
      </c>
      <c r="O97" s="63" t="n">
        <f aca="false">IFERROR(O18/(O19*Assumptions!$F$49*Assumptions!$F$31*Assumptions!$F$32),0)</f>
        <v>26.7379679144385</v>
      </c>
      <c r="P97" s="63" t="n">
        <f aca="false">IFERROR(P18/(P19*Assumptions!$F$49*Assumptions!$F$31*Assumptions!$F$32),0)</f>
        <v>26.7379679144385</v>
      </c>
      <c r="Q97" s="63" t="n">
        <f aca="false">IFERROR(Q18/(Q19*Assumptions!$F$49*Assumptions!$F$31*Assumptions!$F$32),0)</f>
        <v>26.7379679144385</v>
      </c>
      <c r="R97" s="63" t="n">
        <f aca="false">IFERROR(R18/(R19*Assumptions!$F$49*Assumptions!$F$31*Assumptions!$F$32),0)</f>
        <v>26.7379679144385</v>
      </c>
      <c r="S97" s="63" t="n">
        <f aca="false">IFERROR(S18/(S19*Assumptions!$F$49*Assumptions!$F$31*Assumptions!$F$32),0)</f>
        <v>26.7379679144385</v>
      </c>
      <c r="T97" s="63" t="n">
        <f aca="false">IFERROR(T18/(T19*Assumptions!$F$49*Assumptions!$F$31*Assumptions!$F$32),0)</f>
        <v>26.7379679144385</v>
      </c>
      <c r="U97" s="63" t="n">
        <f aca="false">IFERROR(U18/(U19*Assumptions!$F$49*Assumptions!$F$31*Assumptions!$F$32),0)</f>
        <v>26.7379679144385</v>
      </c>
      <c r="V97" s="63" t="n">
        <f aca="false">IFERROR(V18/(V19*Assumptions!$F$49*Assumptions!$F$31*Assumptions!$F$32),0)</f>
        <v>26.7379679144385</v>
      </c>
      <c r="W97" s="63" t="n">
        <f aca="false">IFERROR(W18/(W19*Assumptions!$F$49*Assumptions!$F$31*Assumptions!$F$32),0)</f>
        <v>26.7379679144385</v>
      </c>
      <c r="X97" s="63" t="n">
        <f aca="false">IFERROR(X18/(X19*Assumptions!$F$49*Assumptions!$F$31*Assumptions!$F$32),0)</f>
        <v>26.7379679144385</v>
      </c>
      <c r="Y97" s="63" t="n">
        <f aca="false">IFERROR(Y18/(Y19*Assumptions!$F$49*Assumptions!$F$31*Assumptions!$F$32),0)</f>
        <v>26.7379679144385</v>
      </c>
      <c r="Z97" s="63" t="n">
        <f aca="false">IFERROR(Z18/(Z19*Assumptions!$F$49*Assumptions!$F$31*Assumptions!$F$32),0)</f>
        <v>26.7379679144385</v>
      </c>
      <c r="AA97" s="63" t="n">
        <f aca="false">IFERROR(AA18/(AA19*Assumptions!$F$49*Assumptions!$F$31*Assumptions!$F$32),0)</f>
        <v>26.7379679144385</v>
      </c>
      <c r="AB97" s="63" t="n">
        <f aca="false">IFERROR(AB18/(AB19*Assumptions!$F$49*Assumptions!$F$31*Assumptions!$F$32),0)</f>
        <v>26.7379679144385</v>
      </c>
      <c r="AC97" s="63" t="n">
        <f aca="false">IFERROR(AC18/(AC19*Assumptions!$F$49*Assumptions!$F$31*Assumptions!$F$32),0)</f>
        <v>26.7379679144385</v>
      </c>
      <c r="AD97" s="63" t="n">
        <f aca="false">IFERROR(AD18/(AD19*Assumptions!$F$49*Assumptions!$F$31*Assumptions!$F$32),0)</f>
        <v>26.7379679144385</v>
      </c>
      <c r="AE97" s="63" t="n">
        <f aca="false">IFERROR(AE18/(AE19*Assumptions!$F$49*Assumptions!$F$31*Assumptions!$F$32),0)</f>
        <v>26.7379679144385</v>
      </c>
      <c r="AF97" s="63" t="n">
        <f aca="false">IFERROR(AF18/(AF19*Assumptions!$F$49*Assumptions!$F$31*Assumptions!$F$32),0)</f>
        <v>26.7379679144385</v>
      </c>
      <c r="AG97" s="63" t="n">
        <f aca="false">IFERROR(AG18/(AG19*Assumptions!$F$49*Assumptions!$F$31*Assumptions!$F$32),0)</f>
        <v>26.7379679144385</v>
      </c>
      <c r="AH97" s="63" t="n">
        <f aca="false">IFERROR(AH18/(AH19*Assumptions!$F$49*Assumptions!$F$31*Assumptions!$F$32),0)</f>
        <v>26.7379679144385</v>
      </c>
      <c r="AI97" s="63" t="n">
        <f aca="false">IFERROR(AI18/(AI19*Assumptions!$F$49*Assumptions!$F$31*Assumptions!$F$32),0)</f>
        <v>26.7379679144385</v>
      </c>
      <c r="AJ97" s="63" t="n">
        <f aca="false">IFERROR(AJ18/(AJ19*Assumptions!$F$49*Assumptions!$F$31*Assumptions!$F$32),0)</f>
        <v>26.7379679144385</v>
      </c>
      <c r="AK97" s="63" t="n">
        <f aca="false">IFERROR(AK18/(AK19*Assumptions!$F$49*Assumptions!$F$31*Assumptions!$F$32),0)</f>
        <v>26.7379679144385</v>
      </c>
      <c r="AL97" s="63" t="n">
        <f aca="false">IFERROR(AL18/(AL19*Assumptions!$F$49*Assumptions!$F$31*Assumptions!$F$32),0)</f>
        <v>26.7379679144385</v>
      </c>
      <c r="AM97" s="63" t="n">
        <f aca="false">AVERAGE(N97:AL97)</f>
        <v>26.7379679144385</v>
      </c>
    </row>
    <row r="98" customFormat="false" ht="15" hidden="false" customHeight="false" outlineLevel="0" collapsed="false">
      <c r="A98" s="10" t="s">
        <v>813</v>
      </c>
      <c r="B98" s="9" t="s">
        <v>95</v>
      </c>
      <c r="C98" s="63" t="n">
        <f aca="false">IFERROR(C22/(C23*Assumptions!$F$49*Assumptions!$F$38*Assumptions!$F$39),0)</f>
        <v>0</v>
      </c>
      <c r="D98" s="63" t="n">
        <f aca="false">IFERROR(D22/(D23*Assumptions!$F$49*Assumptions!$F$38*Assumptions!$F$39),0)</f>
        <v>0</v>
      </c>
      <c r="E98" s="63" t="n">
        <f aca="false">IFERROR(E22/(E23*Assumptions!$F$49*Assumptions!$F$38*Assumptions!$F$39),0)</f>
        <v>68.530701754386</v>
      </c>
      <c r="F98" s="63" t="n">
        <f aca="false">IFERROR(F22/(F23*Assumptions!$F$49*Assumptions!$F$38*Assumptions!$F$39),0)</f>
        <v>68.530701754386</v>
      </c>
      <c r="G98" s="63" t="n">
        <f aca="false">IFERROR(G22/(G23*Assumptions!$F$49*Assumptions!$F$38*Assumptions!$F$39),0)</f>
        <v>68.530701754386</v>
      </c>
      <c r="H98" s="63" t="n">
        <f aca="false">IFERROR(H22/(H23*Assumptions!$F$49*Assumptions!$F$38*Assumptions!$F$39),0)</f>
        <v>68.530701754386</v>
      </c>
      <c r="I98" s="63" t="n">
        <f aca="false">IFERROR(I22/(I23*Assumptions!$F$49*Assumptions!$F$38*Assumptions!$F$39),0)</f>
        <v>68.530701754386</v>
      </c>
      <c r="J98" s="63" t="n">
        <f aca="false">IFERROR(J22/(J23*Assumptions!$F$49*Assumptions!$F$38*Assumptions!$F$39),0)</f>
        <v>68.530701754386</v>
      </c>
      <c r="K98" s="63" t="n">
        <f aca="false">IFERROR(K22/(K23*Assumptions!$F$49*Assumptions!$F$38*Assumptions!$F$39),0)</f>
        <v>68.530701754386</v>
      </c>
      <c r="L98" s="63" t="n">
        <f aca="false">IFERROR(L22/(L23*Assumptions!$F$49*Assumptions!$F$38*Assumptions!$F$39),0)</f>
        <v>68.530701754386</v>
      </c>
      <c r="M98" s="63" t="n">
        <f aca="false">IFERROR(M22/(M23*Assumptions!$F$49*Assumptions!$F$38*Assumptions!$F$39),0)</f>
        <v>68.530701754386</v>
      </c>
      <c r="N98" s="63" t="n">
        <f aca="false">IFERROR(N22/(N23*Assumptions!$F$49*Assumptions!$F$38*Assumptions!$F$39),0)</f>
        <v>68.530701754386</v>
      </c>
      <c r="O98" s="63" t="n">
        <f aca="false">IFERROR(O22/(O23*Assumptions!$F$49*Assumptions!$F$38*Assumptions!$F$39),0)</f>
        <v>68.530701754386</v>
      </c>
      <c r="P98" s="63" t="n">
        <f aca="false">IFERROR(P22/(P23*Assumptions!$F$49*Assumptions!$F$38*Assumptions!$F$39),0)</f>
        <v>68.530701754386</v>
      </c>
      <c r="Q98" s="63" t="n">
        <f aca="false">IFERROR(Q22/(Q23*Assumptions!$F$49*Assumptions!$F$38*Assumptions!$F$39),0)</f>
        <v>68.530701754386</v>
      </c>
      <c r="R98" s="63" t="n">
        <f aca="false">IFERROR(R22/(R23*Assumptions!$F$49*Assumptions!$F$38*Assumptions!$F$39),0)</f>
        <v>68.530701754386</v>
      </c>
      <c r="S98" s="63" t="n">
        <f aca="false">IFERROR(S22/(S23*Assumptions!$F$49*Assumptions!$F$38*Assumptions!$F$39),0)</f>
        <v>68.530701754386</v>
      </c>
      <c r="T98" s="63" t="n">
        <f aca="false">IFERROR(T22/(T23*Assumptions!$F$49*Assumptions!$F$38*Assumptions!$F$39),0)</f>
        <v>68.530701754386</v>
      </c>
      <c r="U98" s="63" t="n">
        <f aca="false">IFERROR(U22/(U23*Assumptions!$F$49*Assumptions!$F$38*Assumptions!$F$39),0)</f>
        <v>68.530701754386</v>
      </c>
      <c r="V98" s="63" t="n">
        <f aca="false">IFERROR(V22/(V23*Assumptions!$F$49*Assumptions!$F$38*Assumptions!$F$39),0)</f>
        <v>68.530701754386</v>
      </c>
      <c r="W98" s="63" t="n">
        <f aca="false">IFERROR(W22/(W23*Assumptions!$F$49*Assumptions!$F$38*Assumptions!$F$39),0)</f>
        <v>68.530701754386</v>
      </c>
      <c r="X98" s="63" t="n">
        <f aca="false">IFERROR(X22/(X23*Assumptions!$F$49*Assumptions!$F$38*Assumptions!$F$39),0)</f>
        <v>68.530701754386</v>
      </c>
      <c r="Y98" s="63" t="n">
        <f aca="false">IFERROR(Y22/(Y23*Assumptions!$F$49*Assumptions!$F$38*Assumptions!$F$39),0)</f>
        <v>68.530701754386</v>
      </c>
      <c r="Z98" s="63" t="n">
        <f aca="false">IFERROR(Z22/(Z23*Assumptions!$F$49*Assumptions!$F$38*Assumptions!$F$39),0)</f>
        <v>68.530701754386</v>
      </c>
      <c r="AA98" s="63" t="n">
        <f aca="false">IFERROR(AA22/(AA23*Assumptions!$F$49*Assumptions!$F$38*Assumptions!$F$39),0)</f>
        <v>68.530701754386</v>
      </c>
      <c r="AB98" s="63" t="n">
        <f aca="false">IFERROR(AB22/(AB23*Assumptions!$F$49*Assumptions!$F$38*Assumptions!$F$39),0)</f>
        <v>68.530701754386</v>
      </c>
      <c r="AC98" s="63" t="n">
        <f aca="false">IFERROR(AC22/(AC23*Assumptions!$F$49*Assumptions!$F$38*Assumptions!$F$39),0)</f>
        <v>68.530701754386</v>
      </c>
      <c r="AD98" s="63" t="n">
        <f aca="false">IFERROR(AD22/(AD23*Assumptions!$F$49*Assumptions!$F$38*Assumptions!$F$39),0)</f>
        <v>68.530701754386</v>
      </c>
      <c r="AE98" s="63" t="n">
        <f aca="false">IFERROR(AE22/(AE23*Assumptions!$F$49*Assumptions!$F$38*Assumptions!$F$39),0)</f>
        <v>68.530701754386</v>
      </c>
      <c r="AF98" s="63" t="n">
        <f aca="false">IFERROR(AF22/(AF23*Assumptions!$F$49*Assumptions!$F$38*Assumptions!$F$39),0)</f>
        <v>68.530701754386</v>
      </c>
      <c r="AG98" s="63" t="n">
        <f aca="false">IFERROR(AG22/(AG23*Assumptions!$F$49*Assumptions!$F$38*Assumptions!$F$39),0)</f>
        <v>68.530701754386</v>
      </c>
      <c r="AH98" s="63" t="n">
        <f aca="false">IFERROR(AH22/(AH23*Assumptions!$F$49*Assumptions!$F$38*Assumptions!$F$39),0)</f>
        <v>68.530701754386</v>
      </c>
      <c r="AI98" s="63" t="n">
        <f aca="false">IFERROR(AI22/(AI23*Assumptions!$F$49*Assumptions!$F$38*Assumptions!$F$39),0)</f>
        <v>68.530701754386</v>
      </c>
      <c r="AJ98" s="63" t="n">
        <f aca="false">IFERROR(AJ22/(AJ23*Assumptions!$F$49*Assumptions!$F$38*Assumptions!$F$39),0)</f>
        <v>68.530701754386</v>
      </c>
      <c r="AK98" s="63" t="n">
        <f aca="false">IFERROR(AK22/(AK23*Assumptions!$F$49*Assumptions!$F$38*Assumptions!$F$39),0)</f>
        <v>68.530701754386</v>
      </c>
      <c r="AL98" s="63" t="n">
        <f aca="false">IFERROR(AL22/(AL23*Assumptions!$F$49*Assumptions!$F$38*Assumptions!$F$39),0)</f>
        <v>68.530701754386</v>
      </c>
      <c r="AM98" s="63" t="n">
        <f aca="false">AVERAGE(N98:AL98)</f>
        <v>68.530701754386</v>
      </c>
    </row>
    <row r="99" customFormat="false" ht="15" hidden="false" customHeight="false" outlineLevel="0" collapsed="false">
      <c r="A99" s="10" t="s">
        <v>814</v>
      </c>
      <c r="B99" s="9" t="s">
        <v>95</v>
      </c>
      <c r="C99" s="63" t="n">
        <f aca="false">IFERROR(C24/(C25*Assumptions!$F$49*Assumptions!$F$43),0)</f>
        <v>59.0524734058484</v>
      </c>
      <c r="D99" s="63" t="n">
        <f aca="false">IFERROR(D24/(D25*Assumptions!$F$49*Assumptions!$F$43),0)</f>
        <v>0</v>
      </c>
      <c r="E99" s="63" t="n">
        <f aca="false">IFERROR(E24/(E25*Assumptions!$F$49*Assumptions!$F$43),0)</f>
        <v>0</v>
      </c>
      <c r="F99" s="63" t="n">
        <f aca="false">IFERROR(F24/(F25*Assumptions!$F$49*Assumptions!$F$43),0)</f>
        <v>0</v>
      </c>
      <c r="G99" s="63" t="n">
        <f aca="false">IFERROR(G24/(G25*Assumptions!$F$49*Assumptions!$F$43),0)</f>
        <v>0</v>
      </c>
      <c r="H99" s="63" t="n">
        <f aca="false">IFERROR(H24/(H25*Assumptions!$F$49*Assumptions!$F$43),0)</f>
        <v>83.6441875592841</v>
      </c>
      <c r="I99" s="63" t="n">
        <f aca="false">IFERROR(I24/(I25*Assumptions!$F$49*Assumptions!$F$43),0)</f>
        <v>94.380940400772</v>
      </c>
      <c r="J99" s="63" t="n">
        <f aca="false">IFERROR(J24/(J25*Assumptions!$F$49*Assumptions!$F$43),0)</f>
        <v>101.759466854208</v>
      </c>
      <c r="K99" s="63" t="n">
        <f aca="false">IFERROR(K24/(K25*Assumptions!$F$49*Assumptions!$F$43),0)</f>
        <v>107.539090836205</v>
      </c>
      <c r="L99" s="63" t="n">
        <f aca="false">IFERROR(L24/(L25*Assumptions!$F$49*Assumptions!$F$43),0)</f>
        <v>112.397250845149</v>
      </c>
      <c r="M99" s="63" t="n">
        <f aca="false">IFERROR(M24/(M25*Assumptions!$F$49*Assumptions!$F$43),0)</f>
        <v>116.660670335845</v>
      </c>
      <c r="N99" s="63" t="n">
        <f aca="false">IFERROR(N24/(N25*Assumptions!$F$49*Assumptions!$F$43),0)</f>
        <v>120.513683996189</v>
      </c>
      <c r="O99" s="63" t="n">
        <f aca="false">IFERROR(O24/(O25*Assumptions!$F$49*Assumptions!$F$43),0)</f>
        <v>124.070749258765</v>
      </c>
      <c r="P99" s="63" t="n">
        <f aca="false">IFERROR(P24/(P25*Assumptions!$F$49*Assumptions!$F$43),0)</f>
        <v>127.407846114066</v>
      </c>
      <c r="Q99" s="63" t="n">
        <f aca="false">IFERROR(Q24/(Q25*Assumptions!$F$49*Assumptions!$F$43),0)</f>
        <v>130.577951208866</v>
      </c>
      <c r="R99" s="63" t="n">
        <f aca="false">IFERROR(R24/(R25*Assumptions!$F$49*Assumptions!$F$43),0)</f>
        <v>133.619423535306</v>
      </c>
      <c r="S99" s="63" t="n">
        <f aca="false">IFERROR(S24/(S25*Assumptions!$F$49*Assumptions!$F$43),0)</f>
        <v>136.56088698654</v>
      </c>
      <c r="T99" s="63" t="n">
        <f aca="false">IFERROR(T24/(T25*Assumptions!$F$49*Assumptions!$F$43),0)</f>
        <v>139.424237694272</v>
      </c>
      <c r="U99" s="63" t="n">
        <f aca="false">IFERROR(U24/(U25*Assumptions!$F$49*Assumptions!$F$43),0)</f>
        <v>142.143468079778</v>
      </c>
      <c r="V99" s="63" t="n">
        <f aca="false">IFERROR(V24/(V25*Assumptions!$F$49*Assumptions!$F$43),0)</f>
        <v>144.735835994371</v>
      </c>
      <c r="W99" s="63" t="n">
        <f aca="false">IFERROR(W24/(W25*Assumptions!$F$49*Assumptions!$F$43),0)</f>
        <v>147.228908166376</v>
      </c>
      <c r="X99" s="63" t="n">
        <f aca="false">IFERROR(X24/(X25*Assumptions!$F$49*Assumptions!$F$43),0)</f>
        <v>149.635225978652</v>
      </c>
      <c r="Y99" s="63" t="n">
        <f aca="false">IFERROR(Y24/(Y25*Assumptions!$F$49*Assumptions!$F$43),0)</f>
        <v>151.965397416513</v>
      </c>
      <c r="Z99" s="63" t="n">
        <f aca="false">IFERROR(Z24/(Z25*Assumptions!$F$49*Assumptions!$F$43),0)</f>
        <v>154.228265090076</v>
      </c>
      <c r="AA99" s="63" t="n">
        <f aca="false">IFERROR(AA24/(AA25*Assumptions!$F$49*Assumptions!$F$43),0)</f>
        <v>156.431321551108</v>
      </c>
      <c r="AB99" s="63" t="n">
        <f aca="false">IFERROR(AB24/(AB25*Assumptions!$F$49*Assumptions!$F$43),0)</f>
        <v>158.581006229153</v>
      </c>
      <c r="AC99" s="63" t="n">
        <f aca="false">IFERROR(AC24/(AC25*Assumptions!$F$49*Assumptions!$F$43),0)</f>
        <v>160.682930599431</v>
      </c>
      <c r="AD99" s="63" t="n">
        <f aca="false">IFERROR(AD24/(AD25*Assumptions!$F$49*Assumptions!$F$43),0)</f>
        <v>162.74205138789</v>
      </c>
      <c r="AE99" s="63" t="n">
        <f aca="false">IFERROR(AE24/(AE25*Assumptions!$F$49*Assumptions!$F$43),0)</f>
        <v>164.762805777994</v>
      </c>
      <c r="AF99" s="63" t="n">
        <f aca="false">IFERROR(AF24/(AF25*Assumptions!$F$49*Assumptions!$F$43),0)</f>
        <v>166.749218408054</v>
      </c>
      <c r="AG99" s="63" t="n">
        <f aca="false">IFERROR(AG24/(AG25*Assumptions!$F$49*Assumptions!$F$43),0)</f>
        <v>168.704987158916</v>
      </c>
      <c r="AH99" s="63" t="n">
        <f aca="false">IFERROR(AH24/(AH25*Assumptions!$F$49*Assumptions!$F$43),0)</f>
        <v>169.944639073578</v>
      </c>
      <c r="AI99" s="63" t="n">
        <f aca="false">IFERROR(AI24/(AI25*Assumptions!$F$49*Assumptions!$F$43),0)</f>
        <v>169.80136228214</v>
      </c>
      <c r="AJ99" s="63" t="n">
        <f aca="false">IFERROR(AJ24/(AJ25*Assumptions!$F$49*Assumptions!$F$43),0)</f>
        <v>169.753107910547</v>
      </c>
      <c r="AK99" s="63" t="n">
        <f aca="false">IFERROR(AK24/(AK25*Assumptions!$F$49*Assumptions!$F$43),0)</f>
        <v>169.714792455857</v>
      </c>
      <c r="AL99" s="63" t="n">
        <f aca="false">IFERROR(AL24/(AL25*Assumptions!$F$49*Assumptions!$F$43),0)</f>
        <v>169.67389236941</v>
      </c>
      <c r="AM99" s="63" t="n">
        <f aca="false">AVERAGE(N99:AL99)</f>
        <v>151.586159788954</v>
      </c>
    </row>
    <row r="100" customFormat="false" ht="15" hidden="false" customHeight="false" outlineLevel="0" collapsed="false">
      <c r="A100" s="38" t="s">
        <v>815</v>
      </c>
      <c r="B100" s="9" t="s">
        <v>95</v>
      </c>
      <c r="C100" s="51" t="n">
        <f aca="false">IFERROR(C26/((C19*Assumptions!$F$31*Assumptions!$F$32+C23*Assumptions!$F$38*Assumptions!$F$39+C25*Assumptions!$F$43)*Assumptions!$F$49),0)</f>
        <v>59.0524734058484</v>
      </c>
      <c r="D100" s="51" t="n">
        <f aca="false">IFERROR(D26/((D19*Assumptions!$F$31*Assumptions!$F$32+D23*Assumptions!$F$38*Assumptions!$F$39+D25*Assumptions!$F$43)*Assumptions!$F$49),0)</f>
        <v>26.7379679144385</v>
      </c>
      <c r="E100" s="51" t="n">
        <f aca="false">IFERROR(E26/((E19*Assumptions!$F$31*Assumptions!$F$32+E23*Assumptions!$F$38*Assumptions!$F$39+E25*Assumptions!$F$43)*Assumptions!$F$49),0)</f>
        <v>38.4248162650944</v>
      </c>
      <c r="F100" s="51" t="n">
        <f aca="false">IFERROR(F26/((F19*Assumptions!$F$31*Assumptions!$F$32+F23*Assumptions!$F$38*Assumptions!$F$39+F25*Assumptions!$F$43)*Assumptions!$F$49),0)</f>
        <v>48.0876384657622</v>
      </c>
      <c r="G100" s="51" t="n">
        <f aca="false">IFERROR(G26/((G19*Assumptions!$F$31*Assumptions!$F$32+G23*Assumptions!$F$38*Assumptions!$F$39+G25*Assumptions!$F$43)*Assumptions!$F$49),0)</f>
        <v>55.3687923533963</v>
      </c>
      <c r="H100" s="51" t="n">
        <f aca="false">IFERROR(H26/((H19*Assumptions!$F$31*Assumptions!$F$32+H23*Assumptions!$F$38*Assumptions!$F$39+H25*Assumptions!$F$43)*Assumptions!$F$49),0)</f>
        <v>64.1225949507086</v>
      </c>
      <c r="I100" s="51" t="n">
        <f aca="false">IFERROR(I26/((I19*Assumptions!$F$31*Assumptions!$F$32+I23*Assumptions!$F$38*Assumptions!$F$39+I25*Assumptions!$F$43)*Assumptions!$F$49),0)</f>
        <v>71.9721643424627</v>
      </c>
      <c r="J100" s="51" t="n">
        <f aca="false">IFERROR(J26/((J19*Assumptions!$F$31*Assumptions!$F$32+J23*Assumptions!$F$38*Assumptions!$F$39+J25*Assumptions!$F$43)*Assumptions!$F$49),0)</f>
        <v>78.6536100663001</v>
      </c>
      <c r="K100" s="51" t="n">
        <f aca="false">IFERROR(K26/((K19*Assumptions!$F$31*Assumptions!$F$32+K23*Assumptions!$F$38*Assumptions!$F$39+K25*Assumptions!$F$43)*Assumptions!$F$49),0)</f>
        <v>84.4236523727373</v>
      </c>
      <c r="L100" s="51" t="n">
        <f aca="false">IFERROR(L26/((L19*Assumptions!$F$31*Assumptions!$F$32+L23*Assumptions!$F$38*Assumptions!$F$39+L25*Assumptions!$F$43)*Assumptions!$F$49),0)</f>
        <v>89.4920544349216</v>
      </c>
      <c r="M100" s="51" t="n">
        <f aca="false">IFERROR(M26/((M19*Assumptions!$F$31*Assumptions!$F$32+M23*Assumptions!$F$38*Assumptions!$F$39+M25*Assumptions!$F$43)*Assumptions!$F$49),0)</f>
        <v>94.013131891652</v>
      </c>
      <c r="N100" s="51" t="n">
        <f aca="false">IFERROR(N26/((N19*Assumptions!$F$31*Assumptions!$F$32+N23*Assumptions!$F$38*Assumptions!$F$39+N25*Assumptions!$F$43)*Assumptions!$F$49),0)</f>
        <v>98.1031556040293</v>
      </c>
      <c r="O100" s="51" t="n">
        <f aca="false">IFERROR(O26/((O19*Assumptions!$F$31*Assumptions!$F$32+O23*Assumptions!$F$38*Assumptions!$F$39+O25*Assumptions!$F$43)*Assumptions!$F$49),0)</f>
        <v>101.850271514856</v>
      </c>
      <c r="P100" s="51" t="n">
        <f aca="false">IFERROR(P26/((P19*Assumptions!$F$31*Assumptions!$F$32+P23*Assumptions!$F$38*Assumptions!$F$39+P25*Assumptions!$F$43)*Assumptions!$F$49),0)</f>
        <v>105.322060548994</v>
      </c>
      <c r="Q100" s="51" t="n">
        <f aca="false">IFERROR(Q26/((Q19*Assumptions!$F$31*Assumptions!$F$32+Q23*Assumptions!$F$38*Assumptions!$F$39+Q25*Assumptions!$F$43)*Assumptions!$F$49),0)</f>
        <v>108.57097966116</v>
      </c>
      <c r="R100" s="51" t="n">
        <f aca="false">IFERROR(R26/((R19*Assumptions!$F$31*Assumptions!$F$32+R23*Assumptions!$F$38*Assumptions!$F$39+R25*Assumptions!$F$43)*Assumptions!$F$49),0)</f>
        <v>111.638231159392</v>
      </c>
      <c r="S100" s="51" t="n">
        <f aca="false">IFERROR(S26/((S19*Assumptions!$F$31*Assumptions!$F$32+S23*Assumptions!$F$38*Assumptions!$F$39+S25*Assumptions!$F$43)*Assumptions!$F$49),0)</f>
        <v>114.556529641485</v>
      </c>
      <c r="T100" s="51" t="n">
        <f aca="false">IFERROR(T26/((T19*Assumptions!$F$31*Assumptions!$F$32+T23*Assumptions!$F$38*Assumptions!$F$39+T25*Assumptions!$F$43)*Assumptions!$F$49),0)</f>
        <v>117.352106406339</v>
      </c>
      <c r="U100" s="51" t="n">
        <f aca="false">IFERROR(U26/((U19*Assumptions!$F$31*Assumptions!$F$32+U23*Assumptions!$F$38*Assumptions!$F$39+U25*Assumptions!$F$43)*Assumptions!$F$49),0)</f>
        <v>119.944020089306</v>
      </c>
      <c r="V100" s="51" t="n">
        <f aca="false">IFERROR(V26/((V19*Assumptions!$F$31*Assumptions!$F$32+V23*Assumptions!$F$38*Assumptions!$F$39+V25*Assumptions!$F$43)*Assumptions!$F$49),0)</f>
        <v>122.371912743555</v>
      </c>
      <c r="W100" s="51" t="n">
        <f aca="false">IFERROR(W26/((W19*Assumptions!$F$31*Assumptions!$F$32+W23*Assumptions!$F$38*Assumptions!$F$39+W25*Assumptions!$F$43)*Assumptions!$F$49),0)</f>
        <v>124.674653176994</v>
      </c>
      <c r="X100" s="51" t="n">
        <f aca="false">IFERROR(X26/((X19*Assumptions!$F$31*Assumptions!$F$32+X23*Assumptions!$F$38*Assumptions!$F$39+X25*Assumptions!$F$43)*Assumptions!$F$49),0)</f>
        <v>126.866368117552</v>
      </c>
      <c r="Y100" s="51" t="n">
        <f aca="false">IFERROR(Y26/((Y19*Assumptions!$F$31*Assumptions!$F$32+Y23*Assumptions!$F$38*Assumptions!$F$39+Y25*Assumptions!$F$43)*Assumptions!$F$49),0)</f>
        <v>128.960070693213</v>
      </c>
      <c r="Z100" s="51" t="n">
        <f aca="false">IFERROR(Z26/((Z19*Assumptions!$F$31*Assumptions!$F$32+Z23*Assumptions!$F$38*Assumptions!$F$39+Z25*Assumptions!$F$43)*Assumptions!$F$49),0)</f>
        <v>130.966642454768</v>
      </c>
      <c r="AA100" s="51" t="n">
        <f aca="false">IFERROR(AA26/((AA19*Assumptions!$F$31*Assumptions!$F$32+AA23*Assumptions!$F$38*Assumptions!$F$39+AA25*Assumptions!$F$43)*Assumptions!$F$49),0)</f>
        <v>132.895175841744</v>
      </c>
      <c r="AB100" s="51" t="n">
        <f aca="false">IFERROR(AB26/((AB19*Assumptions!$F$31*Assumptions!$F$32+AB23*Assumptions!$F$38*Assumptions!$F$39+AB25*Assumptions!$F$43)*Assumptions!$F$49),0)</f>
        <v>134.753301832707</v>
      </c>
      <c r="AC100" s="51" t="n">
        <f aca="false">IFERROR(AC26/((AC19*Assumptions!$F$31*Assumptions!$F$32+AC23*Assumptions!$F$38*Assumptions!$F$39+AC25*Assumptions!$F$43)*Assumptions!$F$49),0)</f>
        <v>136.547463434095</v>
      </c>
      <c r="AD100" s="51" t="n">
        <f aca="false">IFERROR(AD26/((AD19*Assumptions!$F$31*Assumptions!$F$32+AD23*Assumptions!$F$38*Assumptions!$F$39+AD25*Assumptions!$F$43)*Assumptions!$F$49),0)</f>
        <v>138.28313322078</v>
      </c>
      <c r="AE100" s="51" t="n">
        <f aca="false">IFERROR(AE26/((AE19*Assumptions!$F$31*Assumptions!$F$32+AE23*Assumptions!$F$38*Assumptions!$F$39+AE25*Assumptions!$F$43)*Assumptions!$F$49),0)</f>
        <v>139.964985587537</v>
      </c>
      <c r="AF100" s="51" t="n">
        <f aca="false">IFERROR(AF26/((AF19*Assumptions!$F$31*Assumptions!$F$32+AF23*Assumptions!$F$38*Assumptions!$F$39+AF25*Assumptions!$F$43)*Assumptions!$F$49),0)</f>
        <v>141.597033782914</v>
      </c>
      <c r="AG100" s="51" t="n">
        <f aca="false">IFERROR(AG26/((AG19*Assumptions!$F$31*Assumptions!$F$32+AG23*Assumptions!$F$38*Assumptions!$F$39+AG25*Assumptions!$F$43)*Assumptions!$F$49),0)</f>
        <v>143.182739680441</v>
      </c>
      <c r="AH100" s="51" t="n">
        <f aca="false">IFERROR(AH26/((AH19*Assumptions!$F$31*Assumptions!$F$32+AH23*Assumptions!$F$38*Assumptions!$F$39+AH25*Assumptions!$F$43)*Assumptions!$F$49),0)</f>
        <v>143.845256696795</v>
      </c>
      <c r="AI100" s="51" t="n">
        <f aca="false">IFERROR(AI26/((AI19*Assumptions!$F$31*Assumptions!$F$32+AI23*Assumptions!$F$38*Assumptions!$F$39+AI25*Assumptions!$F$43)*Assumptions!$F$49),0)</f>
        <v>142.927801332242</v>
      </c>
      <c r="AJ100" s="51" t="n">
        <f aca="false">IFERROR(AJ26/((AJ19*Assumptions!$F$31*Assumptions!$F$32+AJ23*Assumptions!$F$38*Assumptions!$F$39+AJ25*Assumptions!$F$43)*Assumptions!$F$49),0)</f>
        <v>142.556454931273</v>
      </c>
      <c r="AK100" s="51" t="n">
        <f aca="false">IFERROR(AK26/((AK19*Assumptions!$F$31*Assumptions!$F$32+AK23*Assumptions!$F$38*Assumptions!$F$39+AK25*Assumptions!$F$43)*Assumptions!$F$49),0)</f>
        <v>142.232347296302</v>
      </c>
      <c r="AL100" s="51" t="n">
        <f aca="false">IFERROR(AL26/((AL19*Assumptions!$F$31*Assumptions!$F$32+AL23*Assumptions!$F$38*Assumptions!$F$39+AL25*Assumptions!$F$43)*Assumptions!$F$49),0)</f>
        <v>141.882385102821</v>
      </c>
      <c r="AM100" s="51" t="n">
        <f aca="false">AVERAGE(N100:AL100)</f>
        <v>127.673803222052</v>
      </c>
    </row>
    <row r="101" customFormat="false" ht="15" hidden="false" customHeight="false" outlineLevel="0" collapsed="false">
      <c r="A101" s="38" t="s">
        <v>816</v>
      </c>
      <c r="B101" s="9" t="s">
        <v>368</v>
      </c>
      <c r="C101" s="72" t="n">
        <f aca="false">IFERROR(C100/C104,0)</f>
        <v>1.02025217514265</v>
      </c>
      <c r="D101" s="72" t="n">
        <f aca="false">IFERROR(D100/D104,0)</f>
        <v>0.46195304532153</v>
      </c>
      <c r="E101" s="72" t="n">
        <f aca="false">IFERROR(E100/E104,0)</f>
        <v>0.663867237270315</v>
      </c>
      <c r="F101" s="72" t="n">
        <f aca="false">IFERROR(F100/F104,0)</f>
        <v>0.830812240581078</v>
      </c>
      <c r="G101" s="72" t="n">
        <f aca="false">IFERROR(G100/G104,0)</f>
        <v>0.956609055904165</v>
      </c>
      <c r="H101" s="72" t="n">
        <f aca="false">IFERROR(H100/H104,0)</f>
        <v>1.10784888762632</v>
      </c>
      <c r="I101" s="72" t="n">
        <f aca="false">IFERROR(I100/I104,0)</f>
        <v>1.2434662425647</v>
      </c>
      <c r="J101" s="72" t="n">
        <f aca="false">IFERROR(J100/J104,0)</f>
        <v>1.35890187361767</v>
      </c>
      <c r="K101" s="72" t="n">
        <f aca="false">IFERROR(K100/K104,0)</f>
        <v>1.45859114782213</v>
      </c>
      <c r="L101" s="72" t="n">
        <f aca="false">IFERROR(L100/L104,0)</f>
        <v>1.54615815272813</v>
      </c>
      <c r="M101" s="72" t="n">
        <f aca="false">IFERROR(M100/M104,0)</f>
        <v>1.62426900640087</v>
      </c>
      <c r="N101" s="72" t="n">
        <f aca="false">IFERROR(N100/N104,0)</f>
        <v>1.6949325256113</v>
      </c>
      <c r="O101" s="72" t="n">
        <f aca="false">IFERROR(O100/O104,0)</f>
        <v>1.7596716116824</v>
      </c>
      <c r="P101" s="72" t="n">
        <f aca="false">IFERROR(P100/P104,0)</f>
        <v>1.81965386321948</v>
      </c>
      <c r="Q101" s="72" t="n">
        <f aca="false">IFERROR(Q100/Q104,0)</f>
        <v>1.87578558133175</v>
      </c>
      <c r="R101" s="72" t="n">
        <f aca="false">IFERROR(R100/R104,0)</f>
        <v>1.9287786201038</v>
      </c>
      <c r="S101" s="72" t="n">
        <f aca="false">IFERROR(S100/S104,0)</f>
        <v>1.9791981910777</v>
      </c>
      <c r="T101" s="72" t="n">
        <f aca="false">IFERROR(T100/T104,0)</f>
        <v>2.02749749355599</v>
      </c>
      <c r="U101" s="72" t="n">
        <f aca="false">IFERROR(U100/U104,0)</f>
        <v>2.07227810002872</v>
      </c>
      <c r="V101" s="72" t="n">
        <f aca="false">IFERROR(V100/V104,0)</f>
        <v>2.1142249079886</v>
      </c>
      <c r="W101" s="72" t="n">
        <f aca="false">IFERROR(W100/W104,0)</f>
        <v>2.15400945553597</v>
      </c>
      <c r="X101" s="72" t="n">
        <f aca="false">IFERROR(X100/X104,0)</f>
        <v>2.19187581076937</v>
      </c>
      <c r="Y101" s="72" t="n">
        <f aca="false">IFERROR(Y100/Y104,0)</f>
        <v>2.22804880207219</v>
      </c>
      <c r="Z101" s="72" t="n">
        <f aca="false">IFERROR(Z100/Z104,0)</f>
        <v>2.2627164304751</v>
      </c>
      <c r="AA101" s="72" t="n">
        <f aca="false">IFERROR(AA100/AA104,0)</f>
        <v>2.29603578645491</v>
      </c>
      <c r="AB101" s="72" t="n">
        <f aca="false">IFERROR(AB100/AB104,0)</f>
        <v>2.32813871076327</v>
      </c>
      <c r="AC101" s="72" t="n">
        <f aca="false">IFERROR(AC100/AC104,0)</f>
        <v>2.35913651950521</v>
      </c>
      <c r="AD101" s="72" t="n">
        <f aca="false">IFERROR(AD100/AD104,0)</f>
        <v>2.38912376259703</v>
      </c>
      <c r="AE101" s="72" t="n">
        <f aca="false">IFERROR(AE100/AE104,0)</f>
        <v>2.41818119976245</v>
      </c>
      <c r="AF101" s="72" t="n">
        <f aca="false">IFERROR(AF100/AF104,0)</f>
        <v>2.44637816807278</v>
      </c>
      <c r="AG101" s="72" t="n">
        <f aca="false">IFERROR(AG100/AG104,0)</f>
        <v>2.47377447846895</v>
      </c>
      <c r="AH101" s="72" t="n">
        <f aca="false">IFERROR(AH100/AH104,0)</f>
        <v>2.48522081404169</v>
      </c>
      <c r="AI101" s="72" t="n">
        <f aca="false">IFERROR(AI100/AI104,0)</f>
        <v>2.4693698974366</v>
      </c>
      <c r="AJ101" s="72" t="n">
        <f aca="false">IFERROR(AJ100/AJ104,0)</f>
        <v>2.46295412936678</v>
      </c>
      <c r="AK101" s="72" t="n">
        <f aca="false">IFERROR(AK100/AK104,0)</f>
        <v>2.45735450753069</v>
      </c>
      <c r="AL101" s="72" t="n">
        <f aca="false">IFERROR(AL100/AL104,0)</f>
        <v>2.45130819535231</v>
      </c>
      <c r="AM101" s="72" t="n">
        <f aca="false">AVERAGE(N101:AL101)</f>
        <v>2.2058259025122</v>
      </c>
    </row>
    <row r="102" customFormat="false" ht="15" hidden="false" customHeight="false" outlineLevel="0" collapsed="false">
      <c r="A102" s="10" t="s">
        <v>817</v>
      </c>
      <c r="B102" s="9" t="s">
        <v>95</v>
      </c>
      <c r="C102" s="63" t="n">
        <f aca="false">Assumptions!$F$70*(1-Assumptions!$F$80)*(1-Assumptions!$F$79)-Assumptions!$F$73-Assumptions!$F$75-Assumptions!$F$76-Assumptions!$F$77</f>
        <v>184.526606</v>
      </c>
      <c r="D102" s="63" t="n">
        <f aca="false">Assumptions!$F$70*(1-Assumptions!$F$80)*(1-Assumptions!$F$79)-Assumptions!$F$73-Assumptions!$F$75-Assumptions!$F$76-Assumptions!$F$77</f>
        <v>184.526606</v>
      </c>
      <c r="E102" s="63" t="n">
        <f aca="false">Assumptions!$F$70*(1-Assumptions!$F$80)*(1-Assumptions!$F$79)-Assumptions!$F$73-Assumptions!$F$75-Assumptions!$F$76-Assumptions!$F$77</f>
        <v>184.526606</v>
      </c>
      <c r="F102" s="63" t="n">
        <f aca="false">Assumptions!$F$70*(1-Assumptions!$F$80)*(1-Assumptions!$F$79)-Assumptions!$F$73-Assumptions!$F$75-Assumptions!$F$76-Assumptions!$F$77</f>
        <v>184.526606</v>
      </c>
      <c r="G102" s="63" t="n">
        <f aca="false">Assumptions!$F$70*(1-Assumptions!$F$80)*(1-Assumptions!$F$79)-Assumptions!$F$73-Assumptions!$F$75-Assumptions!$F$76-Assumptions!$F$77</f>
        <v>184.526606</v>
      </c>
      <c r="H102" s="63" t="n">
        <f aca="false">Assumptions!$F$70*(1-Assumptions!$F$80)*(1-Assumptions!$F$79)-Assumptions!$F$73-Assumptions!$F$75-Assumptions!$F$76-Assumptions!$F$77</f>
        <v>184.526606</v>
      </c>
      <c r="I102" s="63" t="n">
        <f aca="false">Assumptions!$F$70*(1-Assumptions!$F$80)*(1-Assumptions!$F$79)-Assumptions!$F$73-Assumptions!$F$75-Assumptions!$F$76-Assumptions!$F$77</f>
        <v>184.526606</v>
      </c>
      <c r="J102" s="63" t="n">
        <f aca="false">Assumptions!$F$70*(1-Assumptions!$F$80)*(1-Assumptions!$F$79)-Assumptions!$F$73-Assumptions!$F$75-Assumptions!$F$76-Assumptions!$F$77</f>
        <v>184.526606</v>
      </c>
      <c r="K102" s="63" t="n">
        <f aca="false">Assumptions!$F$70*(1-Assumptions!$F$80)*(1-Assumptions!$F$79)-Assumptions!$F$73-Assumptions!$F$75-Assumptions!$F$76-Assumptions!$F$77</f>
        <v>184.526606</v>
      </c>
      <c r="L102" s="63" t="n">
        <f aca="false">Assumptions!$F$70*(1-Assumptions!$F$80)*(1-Assumptions!$F$79)-Assumptions!$F$73-Assumptions!$F$75-Assumptions!$F$76-Assumptions!$F$77</f>
        <v>184.526606</v>
      </c>
      <c r="M102" s="63" t="n">
        <f aca="false">Assumptions!$F$70*(1-Assumptions!$F$80)*(1-Assumptions!$F$79)-Assumptions!$F$73-Assumptions!$F$75-Assumptions!$F$76-Assumptions!$F$77</f>
        <v>184.526606</v>
      </c>
      <c r="N102" s="63" t="n">
        <f aca="false">Assumptions!$F$70*(1-Assumptions!$F$80)*(1-Assumptions!$F$79)-Assumptions!$F$73-Assumptions!$F$75-Assumptions!$F$76-Assumptions!$F$77</f>
        <v>184.526606</v>
      </c>
      <c r="O102" s="63" t="n">
        <f aca="false">Assumptions!$F$70*(1-Assumptions!$F$80)*(1-Assumptions!$F$79)-Assumptions!$F$73-Assumptions!$F$75-Assumptions!$F$76-Assumptions!$F$77</f>
        <v>184.526606</v>
      </c>
      <c r="P102" s="63" t="n">
        <f aca="false">Assumptions!$F$70*(1-Assumptions!$F$80)*(1-Assumptions!$F$79)-Assumptions!$F$73-Assumptions!$F$75-Assumptions!$F$76-Assumptions!$F$77</f>
        <v>184.526606</v>
      </c>
      <c r="Q102" s="63" t="n">
        <f aca="false">Assumptions!$F$70*(1-Assumptions!$F$80)*(1-Assumptions!$F$79)-Assumptions!$F$73-Assumptions!$F$75-Assumptions!$F$76-Assumptions!$F$77</f>
        <v>184.526606</v>
      </c>
      <c r="R102" s="63" t="n">
        <f aca="false">Assumptions!$F$70*(1-Assumptions!$F$80)*(1-Assumptions!$F$79)-Assumptions!$F$73-Assumptions!$F$75-Assumptions!$F$76-Assumptions!$F$77</f>
        <v>184.526606</v>
      </c>
      <c r="S102" s="63" t="n">
        <f aca="false">Assumptions!$F$70*(1-Assumptions!$F$80)*(1-Assumptions!$F$79)-Assumptions!$F$73-Assumptions!$F$75-Assumptions!$F$76-Assumptions!$F$77</f>
        <v>184.526606</v>
      </c>
      <c r="T102" s="63" t="n">
        <f aca="false">Assumptions!$F$70*(1-Assumptions!$F$80)*(1-Assumptions!$F$79)-Assumptions!$F$73-Assumptions!$F$75-Assumptions!$F$76-Assumptions!$F$77</f>
        <v>184.526606</v>
      </c>
      <c r="U102" s="63" t="n">
        <f aca="false">Assumptions!$F$70*(1-Assumptions!$F$80)*(1-Assumptions!$F$79)-Assumptions!$F$73-Assumptions!$F$75-Assumptions!$F$76-Assumptions!$F$77</f>
        <v>184.526606</v>
      </c>
      <c r="V102" s="63" t="n">
        <f aca="false">Assumptions!$F$70*(1-Assumptions!$F$80)*(1-Assumptions!$F$79)-Assumptions!$F$73-Assumptions!$F$75-Assumptions!$F$76-Assumptions!$F$77</f>
        <v>184.526606</v>
      </c>
      <c r="W102" s="63" t="n">
        <f aca="false">Assumptions!$F$70*(1-Assumptions!$F$80)*(1-Assumptions!$F$79)-Assumptions!$F$73-Assumptions!$F$75-Assumptions!$F$76-Assumptions!$F$77</f>
        <v>184.526606</v>
      </c>
      <c r="X102" s="63" t="n">
        <f aca="false">Assumptions!$F$70*(1-Assumptions!$F$80)*(1-Assumptions!$F$79)-Assumptions!$F$73-Assumptions!$F$75-Assumptions!$F$76-Assumptions!$F$77</f>
        <v>184.526606</v>
      </c>
      <c r="Y102" s="63" t="n">
        <f aca="false">Assumptions!$F$70*(1-Assumptions!$F$80)*(1-Assumptions!$F$79)-Assumptions!$F$73-Assumptions!$F$75-Assumptions!$F$76-Assumptions!$F$77</f>
        <v>184.526606</v>
      </c>
      <c r="Z102" s="63" t="n">
        <f aca="false">Assumptions!$F$70*(1-Assumptions!$F$80)*(1-Assumptions!$F$79)-Assumptions!$F$73-Assumptions!$F$75-Assumptions!$F$76-Assumptions!$F$77</f>
        <v>184.526606</v>
      </c>
      <c r="AA102" s="63" t="n">
        <f aca="false">Assumptions!$F$70*(1-Assumptions!$F$80)*(1-Assumptions!$F$79)-Assumptions!$F$73-Assumptions!$F$75-Assumptions!$F$76-Assumptions!$F$77</f>
        <v>184.526606</v>
      </c>
      <c r="AB102" s="63" t="n">
        <f aca="false">Assumptions!$F$70*(1-Assumptions!$F$80)*(1-Assumptions!$F$79)-Assumptions!$F$73-Assumptions!$F$75-Assumptions!$F$76-Assumptions!$F$77</f>
        <v>184.526606</v>
      </c>
      <c r="AC102" s="63" t="n">
        <f aca="false">Assumptions!$F$70*(1-Assumptions!$F$80)*(1-Assumptions!$F$79)-Assumptions!$F$73-Assumptions!$F$75-Assumptions!$F$76-Assumptions!$F$77</f>
        <v>184.526606</v>
      </c>
      <c r="AD102" s="63" t="n">
        <f aca="false">Assumptions!$F$70*(1-Assumptions!$F$80)*(1-Assumptions!$F$79)-Assumptions!$F$73-Assumptions!$F$75-Assumptions!$F$76-Assumptions!$F$77</f>
        <v>184.526606</v>
      </c>
      <c r="AE102" s="63" t="n">
        <f aca="false">Assumptions!$F$70*(1-Assumptions!$F$80)*(1-Assumptions!$F$79)-Assumptions!$F$73-Assumptions!$F$75-Assumptions!$F$76-Assumptions!$F$77</f>
        <v>184.526606</v>
      </c>
      <c r="AF102" s="63" t="n">
        <f aca="false">Assumptions!$F$70*(1-Assumptions!$F$80)*(1-Assumptions!$F$79)-Assumptions!$F$73-Assumptions!$F$75-Assumptions!$F$76-Assumptions!$F$77</f>
        <v>184.526606</v>
      </c>
      <c r="AG102" s="63" t="n">
        <f aca="false">Assumptions!$F$70*(1-Assumptions!$F$80)*(1-Assumptions!$F$79)-Assumptions!$F$73-Assumptions!$F$75-Assumptions!$F$76-Assumptions!$F$77</f>
        <v>184.526606</v>
      </c>
      <c r="AH102" s="63" t="n">
        <f aca="false">Assumptions!$F$70*(1-Assumptions!$F$80)*(1-Assumptions!$F$79)-Assumptions!$F$73-Assumptions!$F$75-Assumptions!$F$76-Assumptions!$F$77</f>
        <v>184.526606</v>
      </c>
      <c r="AI102" s="63" t="n">
        <f aca="false">Assumptions!$F$70*(1-Assumptions!$F$80)*(1-Assumptions!$F$79)-Assumptions!$F$73-Assumptions!$F$75-Assumptions!$F$76-Assumptions!$F$77</f>
        <v>184.526606</v>
      </c>
      <c r="AJ102" s="63" t="n">
        <f aca="false">Assumptions!$F$70*(1-Assumptions!$F$80)*(1-Assumptions!$F$79)-Assumptions!$F$73-Assumptions!$F$75-Assumptions!$F$76-Assumptions!$F$77</f>
        <v>184.526606</v>
      </c>
      <c r="AK102" s="63" t="n">
        <f aca="false">Assumptions!$F$70*(1-Assumptions!$F$80)*(1-Assumptions!$F$79)-Assumptions!$F$73-Assumptions!$F$75-Assumptions!$F$76-Assumptions!$F$77</f>
        <v>184.526606</v>
      </c>
      <c r="AL102" s="63" t="n">
        <f aca="false">Assumptions!$F$70*(1-Assumptions!$F$80)*(1-Assumptions!$F$79)-Assumptions!$F$73-Assumptions!$F$75-Assumptions!$F$76-Assumptions!$F$77</f>
        <v>184.526606</v>
      </c>
      <c r="AM102" s="63" t="n">
        <f aca="false">AVERAGE(N102:AL102)</f>
        <v>184.526606</v>
      </c>
    </row>
    <row r="103" customFormat="false" ht="15" hidden="false" customHeight="false" outlineLevel="0" collapsed="false">
      <c r="A103" s="10" t="s">
        <v>818</v>
      </c>
      <c r="B103" s="9" t="s">
        <v>95</v>
      </c>
      <c r="C103" s="70" t="n">
        <f aca="false">C102/Assumptions!$F$68</f>
        <v>1942.38532631579</v>
      </c>
      <c r="D103" s="70" t="n">
        <f aca="false">D102/Assumptions!$F$68</f>
        <v>1942.38532631579</v>
      </c>
      <c r="E103" s="70" t="n">
        <f aca="false">E102/Assumptions!$F$68</f>
        <v>1942.38532631579</v>
      </c>
      <c r="F103" s="70" t="n">
        <f aca="false">F102/Assumptions!$F$68</f>
        <v>1942.38532631579</v>
      </c>
      <c r="G103" s="70" t="n">
        <f aca="false">G102/Assumptions!$F$68</f>
        <v>1942.38532631579</v>
      </c>
      <c r="H103" s="70" t="n">
        <f aca="false">H102/Assumptions!$F$68</f>
        <v>1942.38532631579</v>
      </c>
      <c r="I103" s="70" t="n">
        <f aca="false">I102/Assumptions!$F$68</f>
        <v>1942.38532631579</v>
      </c>
      <c r="J103" s="70" t="n">
        <f aca="false">J102/Assumptions!$F$68</f>
        <v>1942.38532631579</v>
      </c>
      <c r="K103" s="70" t="n">
        <f aca="false">K102/Assumptions!$F$68</f>
        <v>1942.38532631579</v>
      </c>
      <c r="L103" s="70" t="n">
        <f aca="false">L102/Assumptions!$F$68</f>
        <v>1942.38532631579</v>
      </c>
      <c r="M103" s="70" t="n">
        <f aca="false">M102/Assumptions!$F$68</f>
        <v>1942.38532631579</v>
      </c>
      <c r="N103" s="70" t="n">
        <f aca="false">N102/Assumptions!$F$68</f>
        <v>1942.38532631579</v>
      </c>
      <c r="O103" s="70" t="n">
        <f aca="false">O102/Assumptions!$F$68</f>
        <v>1942.38532631579</v>
      </c>
      <c r="P103" s="70" t="n">
        <f aca="false">P102/Assumptions!$F$68</f>
        <v>1942.38532631579</v>
      </c>
      <c r="Q103" s="70" t="n">
        <f aca="false">Q102/Assumptions!$F$68</f>
        <v>1942.38532631579</v>
      </c>
      <c r="R103" s="70" t="n">
        <f aca="false">R102/Assumptions!$F$68</f>
        <v>1942.38532631579</v>
      </c>
      <c r="S103" s="70" t="n">
        <f aca="false">S102/Assumptions!$F$68</f>
        <v>1942.38532631579</v>
      </c>
      <c r="T103" s="70" t="n">
        <f aca="false">T102/Assumptions!$F$68</f>
        <v>1942.38532631579</v>
      </c>
      <c r="U103" s="70" t="n">
        <f aca="false">U102/Assumptions!$F$68</f>
        <v>1942.38532631579</v>
      </c>
      <c r="V103" s="70" t="n">
        <f aca="false">V102/Assumptions!$F$68</f>
        <v>1942.38532631579</v>
      </c>
      <c r="W103" s="70" t="n">
        <f aca="false">W102/Assumptions!$F$68</f>
        <v>1942.38532631579</v>
      </c>
      <c r="X103" s="70" t="n">
        <f aca="false">X102/Assumptions!$F$68</f>
        <v>1942.38532631579</v>
      </c>
      <c r="Y103" s="70" t="n">
        <f aca="false">Y102/Assumptions!$F$68</f>
        <v>1942.38532631579</v>
      </c>
      <c r="Z103" s="70" t="n">
        <f aca="false">Z102/Assumptions!$F$68</f>
        <v>1942.38532631579</v>
      </c>
      <c r="AA103" s="70" t="n">
        <f aca="false">AA102/Assumptions!$F$68</f>
        <v>1942.38532631579</v>
      </c>
      <c r="AB103" s="70" t="n">
        <f aca="false">AB102/Assumptions!$F$68</f>
        <v>1942.38532631579</v>
      </c>
      <c r="AC103" s="70" t="n">
        <f aca="false">AC102/Assumptions!$F$68</f>
        <v>1942.38532631579</v>
      </c>
      <c r="AD103" s="70" t="n">
        <f aca="false">AD102/Assumptions!$F$68</f>
        <v>1942.38532631579</v>
      </c>
      <c r="AE103" s="70" t="n">
        <f aca="false">AE102/Assumptions!$F$68</f>
        <v>1942.38532631579</v>
      </c>
      <c r="AF103" s="70" t="n">
        <f aca="false">AF102/Assumptions!$F$68</f>
        <v>1942.38532631579</v>
      </c>
      <c r="AG103" s="70" t="n">
        <f aca="false">AG102/Assumptions!$F$68</f>
        <v>1942.38532631579</v>
      </c>
      <c r="AH103" s="70" t="n">
        <f aca="false">AH102/Assumptions!$F$68</f>
        <v>1942.38532631579</v>
      </c>
      <c r="AI103" s="70" t="n">
        <f aca="false">AI102/Assumptions!$F$68</f>
        <v>1942.38532631579</v>
      </c>
      <c r="AJ103" s="70" t="n">
        <f aca="false">AJ102/Assumptions!$F$68</f>
        <v>1942.38532631579</v>
      </c>
      <c r="AK103" s="70" t="n">
        <f aca="false">AK102/Assumptions!$F$68</f>
        <v>1942.38532631579</v>
      </c>
      <c r="AL103" s="70" t="n">
        <f aca="false">AL102/Assumptions!$F$68</f>
        <v>1942.38532631579</v>
      </c>
      <c r="AM103" s="70" t="n">
        <f aca="false">AVERAGE(N103:AL103)</f>
        <v>1942.38532631579</v>
      </c>
    </row>
    <row r="104" customFormat="false" ht="15" hidden="false" customHeight="false" outlineLevel="0" collapsed="false">
      <c r="A104" s="10" t="s">
        <v>397</v>
      </c>
      <c r="B104" s="9" t="s">
        <v>95</v>
      </c>
      <c r="C104" s="63" t="n">
        <f aca="false">Assumptions!$F$50*(1-Assumptions!$F$80)*(1-Assumptions!$F$79)-Assumptions!$F$50*Assumptions!$F$55-Assumptions!$F$56</f>
        <v>57.880272</v>
      </c>
      <c r="D104" s="63" t="n">
        <f aca="false">Assumptions!$F$50*(1-Assumptions!$F$80)*(1-Assumptions!$F$79)-Assumptions!$F$50*Assumptions!$F$55-Assumptions!$F$56</f>
        <v>57.880272</v>
      </c>
      <c r="E104" s="63" t="n">
        <f aca="false">Assumptions!$F$50*(1-Assumptions!$F$80)*(1-Assumptions!$F$79)-Assumptions!$F$50*Assumptions!$F$55-Assumptions!$F$56</f>
        <v>57.880272</v>
      </c>
      <c r="F104" s="63" t="n">
        <f aca="false">Assumptions!$F$50*(1-Assumptions!$F$80)*(1-Assumptions!$F$79)-Assumptions!$F$50*Assumptions!$F$55-Assumptions!$F$56</f>
        <v>57.880272</v>
      </c>
      <c r="G104" s="63" t="n">
        <f aca="false">Assumptions!$F$50*(1-Assumptions!$F$80)*(1-Assumptions!$F$79)-Assumptions!$F$50*Assumptions!$F$55-Assumptions!$F$56</f>
        <v>57.880272</v>
      </c>
      <c r="H104" s="63" t="n">
        <f aca="false">Assumptions!$F$50*(1-Assumptions!$F$80)*(1-Assumptions!$F$79)-Assumptions!$F$50*Assumptions!$F$55-Assumptions!$F$56</f>
        <v>57.880272</v>
      </c>
      <c r="I104" s="63" t="n">
        <f aca="false">Assumptions!$F$50*(1-Assumptions!$F$80)*(1-Assumptions!$F$79)-Assumptions!$F$50*Assumptions!$F$55-Assumptions!$F$56</f>
        <v>57.880272</v>
      </c>
      <c r="J104" s="63" t="n">
        <f aca="false">Assumptions!$F$50*(1-Assumptions!$F$80)*(1-Assumptions!$F$79)-Assumptions!$F$50*Assumptions!$F$55-Assumptions!$F$56</f>
        <v>57.880272</v>
      </c>
      <c r="K104" s="63" t="n">
        <f aca="false">Assumptions!$F$50*(1-Assumptions!$F$80)*(1-Assumptions!$F$79)-Assumptions!$F$50*Assumptions!$F$55-Assumptions!$F$56</f>
        <v>57.880272</v>
      </c>
      <c r="L104" s="63" t="n">
        <f aca="false">Assumptions!$F$50*(1-Assumptions!$F$80)*(1-Assumptions!$F$79)-Assumptions!$F$50*Assumptions!$F$55-Assumptions!$F$56</f>
        <v>57.880272</v>
      </c>
      <c r="M104" s="63" t="n">
        <f aca="false">Assumptions!$F$50*(1-Assumptions!$F$80)*(1-Assumptions!$F$79)-Assumptions!$F$50*Assumptions!$F$55-Assumptions!$F$56</f>
        <v>57.880272</v>
      </c>
      <c r="N104" s="63" t="n">
        <f aca="false">Assumptions!$F$50*(1-Assumptions!$F$80)*(1-Assumptions!$F$79)-Assumptions!$F$50*Assumptions!$F$55-Assumptions!$F$56</f>
        <v>57.880272</v>
      </c>
      <c r="O104" s="63" t="n">
        <f aca="false">Assumptions!$F$50*(1-Assumptions!$F$80)*(1-Assumptions!$F$79)-Assumptions!$F$50*Assumptions!$F$55-Assumptions!$F$56</f>
        <v>57.880272</v>
      </c>
      <c r="P104" s="63" t="n">
        <f aca="false">Assumptions!$F$50*(1-Assumptions!$F$80)*(1-Assumptions!$F$79)-Assumptions!$F$50*Assumptions!$F$55-Assumptions!$F$56</f>
        <v>57.880272</v>
      </c>
      <c r="Q104" s="63" t="n">
        <f aca="false">Assumptions!$F$50*(1-Assumptions!$F$80)*(1-Assumptions!$F$79)-Assumptions!$F$50*Assumptions!$F$55-Assumptions!$F$56</f>
        <v>57.880272</v>
      </c>
      <c r="R104" s="63" t="n">
        <f aca="false">Assumptions!$F$50*(1-Assumptions!$F$80)*(1-Assumptions!$F$79)-Assumptions!$F$50*Assumptions!$F$55-Assumptions!$F$56</f>
        <v>57.880272</v>
      </c>
      <c r="S104" s="63" t="n">
        <f aca="false">Assumptions!$F$50*(1-Assumptions!$F$80)*(1-Assumptions!$F$79)-Assumptions!$F$50*Assumptions!$F$55-Assumptions!$F$56</f>
        <v>57.880272</v>
      </c>
      <c r="T104" s="63" t="n">
        <f aca="false">Assumptions!$F$50*(1-Assumptions!$F$80)*(1-Assumptions!$F$79)-Assumptions!$F$50*Assumptions!$F$55-Assumptions!$F$56</f>
        <v>57.880272</v>
      </c>
      <c r="U104" s="63" t="n">
        <f aca="false">Assumptions!$F$50*(1-Assumptions!$F$80)*(1-Assumptions!$F$79)-Assumptions!$F$50*Assumptions!$F$55-Assumptions!$F$56</f>
        <v>57.880272</v>
      </c>
      <c r="V104" s="63" t="n">
        <f aca="false">Assumptions!$F$50*(1-Assumptions!$F$80)*(1-Assumptions!$F$79)-Assumptions!$F$50*Assumptions!$F$55-Assumptions!$F$56</f>
        <v>57.880272</v>
      </c>
      <c r="W104" s="63" t="n">
        <f aca="false">Assumptions!$F$50*(1-Assumptions!$F$80)*(1-Assumptions!$F$79)-Assumptions!$F$50*Assumptions!$F$55-Assumptions!$F$56</f>
        <v>57.880272</v>
      </c>
      <c r="X104" s="63" t="n">
        <f aca="false">Assumptions!$F$50*(1-Assumptions!$F$80)*(1-Assumptions!$F$79)-Assumptions!$F$50*Assumptions!$F$55-Assumptions!$F$56</f>
        <v>57.880272</v>
      </c>
      <c r="Y104" s="63" t="n">
        <f aca="false">Assumptions!$F$50*(1-Assumptions!$F$80)*(1-Assumptions!$F$79)-Assumptions!$F$50*Assumptions!$F$55-Assumptions!$F$56</f>
        <v>57.880272</v>
      </c>
      <c r="Z104" s="63" t="n">
        <f aca="false">Assumptions!$F$50*(1-Assumptions!$F$80)*(1-Assumptions!$F$79)-Assumptions!$F$50*Assumptions!$F$55-Assumptions!$F$56</f>
        <v>57.880272</v>
      </c>
      <c r="AA104" s="63" t="n">
        <f aca="false">Assumptions!$F$50*(1-Assumptions!$F$80)*(1-Assumptions!$F$79)-Assumptions!$F$50*Assumptions!$F$55-Assumptions!$F$56</f>
        <v>57.880272</v>
      </c>
      <c r="AB104" s="63" t="n">
        <f aca="false">Assumptions!$F$50*(1-Assumptions!$F$80)*(1-Assumptions!$F$79)-Assumptions!$F$50*Assumptions!$F$55-Assumptions!$F$56</f>
        <v>57.880272</v>
      </c>
      <c r="AC104" s="63" t="n">
        <f aca="false">Assumptions!$F$50*(1-Assumptions!$F$80)*(1-Assumptions!$F$79)-Assumptions!$F$50*Assumptions!$F$55-Assumptions!$F$56</f>
        <v>57.880272</v>
      </c>
      <c r="AD104" s="63" t="n">
        <f aca="false">Assumptions!$F$50*(1-Assumptions!$F$80)*(1-Assumptions!$F$79)-Assumptions!$F$50*Assumptions!$F$55-Assumptions!$F$56</f>
        <v>57.880272</v>
      </c>
      <c r="AE104" s="63" t="n">
        <f aca="false">Assumptions!$F$50*(1-Assumptions!$F$80)*(1-Assumptions!$F$79)-Assumptions!$F$50*Assumptions!$F$55-Assumptions!$F$56</f>
        <v>57.880272</v>
      </c>
      <c r="AF104" s="63" t="n">
        <f aca="false">Assumptions!$F$50*(1-Assumptions!$F$80)*(1-Assumptions!$F$79)-Assumptions!$F$50*Assumptions!$F$55-Assumptions!$F$56</f>
        <v>57.880272</v>
      </c>
      <c r="AG104" s="63" t="n">
        <f aca="false">Assumptions!$F$50*(1-Assumptions!$F$80)*(1-Assumptions!$F$79)-Assumptions!$F$50*Assumptions!$F$55-Assumptions!$F$56</f>
        <v>57.880272</v>
      </c>
      <c r="AH104" s="63" t="n">
        <f aca="false">Assumptions!$F$50*(1-Assumptions!$F$80)*(1-Assumptions!$F$79)-Assumptions!$F$50*Assumptions!$F$55-Assumptions!$F$56</f>
        <v>57.880272</v>
      </c>
      <c r="AI104" s="63" t="n">
        <f aca="false">Assumptions!$F$50*(1-Assumptions!$F$80)*(1-Assumptions!$F$79)-Assumptions!$F$50*Assumptions!$F$55-Assumptions!$F$56</f>
        <v>57.880272</v>
      </c>
      <c r="AJ104" s="63" t="n">
        <f aca="false">Assumptions!$F$50*(1-Assumptions!$F$80)*(1-Assumptions!$F$79)-Assumptions!$F$50*Assumptions!$F$55-Assumptions!$F$56</f>
        <v>57.880272</v>
      </c>
      <c r="AK104" s="63" t="n">
        <f aca="false">Assumptions!$F$50*(1-Assumptions!$F$80)*(1-Assumptions!$F$79)-Assumptions!$F$50*Assumptions!$F$55-Assumptions!$F$56</f>
        <v>57.880272</v>
      </c>
      <c r="AL104" s="63" t="n">
        <f aca="false">Assumptions!$F$50*(1-Assumptions!$F$80)*(1-Assumptions!$F$79)-Assumptions!$F$50*Assumptions!$F$55-Assumptions!$F$56</f>
        <v>57.880272</v>
      </c>
      <c r="AM104" s="63" t="n">
        <f aca="false">AVERAGE(N104:AL104)</f>
        <v>57.880272</v>
      </c>
    </row>
    <row r="105" customFormat="false" ht="15" hidden="false" customHeight="false" outlineLevel="0" collapsed="false">
      <c r="A105" s="10" t="s">
        <v>398</v>
      </c>
      <c r="B105" s="9" t="s">
        <v>95</v>
      </c>
      <c r="C105" s="70" t="n">
        <f aca="false">C104/Assumptions!$F$52</f>
        <v>1052.36858181818</v>
      </c>
      <c r="D105" s="70" t="n">
        <f aca="false">D104/Assumptions!$F$52</f>
        <v>1052.36858181818</v>
      </c>
      <c r="E105" s="70" t="n">
        <f aca="false">E104/Assumptions!$F$52</f>
        <v>1052.36858181818</v>
      </c>
      <c r="F105" s="70" t="n">
        <f aca="false">F104/Assumptions!$F$52</f>
        <v>1052.36858181818</v>
      </c>
      <c r="G105" s="70" t="n">
        <f aca="false">G104/Assumptions!$F$52</f>
        <v>1052.36858181818</v>
      </c>
      <c r="H105" s="70" t="n">
        <f aca="false">H104/Assumptions!$F$52</f>
        <v>1052.36858181818</v>
      </c>
      <c r="I105" s="70" t="n">
        <f aca="false">I104/Assumptions!$F$52</f>
        <v>1052.36858181818</v>
      </c>
      <c r="J105" s="70" t="n">
        <f aca="false">J104/Assumptions!$F$52</f>
        <v>1052.36858181818</v>
      </c>
      <c r="K105" s="70" t="n">
        <f aca="false">K104/Assumptions!$F$52</f>
        <v>1052.36858181818</v>
      </c>
      <c r="L105" s="70" t="n">
        <f aca="false">L104/Assumptions!$F$52</f>
        <v>1052.36858181818</v>
      </c>
      <c r="M105" s="70" t="n">
        <f aca="false">M104/Assumptions!$F$52</f>
        <v>1052.36858181818</v>
      </c>
      <c r="N105" s="70" t="n">
        <f aca="false">N104/Assumptions!$F$52</f>
        <v>1052.36858181818</v>
      </c>
      <c r="O105" s="70" t="n">
        <f aca="false">O104/Assumptions!$F$52</f>
        <v>1052.36858181818</v>
      </c>
      <c r="P105" s="70" t="n">
        <f aca="false">P104/Assumptions!$F$52</f>
        <v>1052.36858181818</v>
      </c>
      <c r="Q105" s="70" t="n">
        <f aca="false">Q104/Assumptions!$F$52</f>
        <v>1052.36858181818</v>
      </c>
      <c r="R105" s="70" t="n">
        <f aca="false">R104/Assumptions!$F$52</f>
        <v>1052.36858181818</v>
      </c>
      <c r="S105" s="70" t="n">
        <f aca="false">S104/Assumptions!$F$52</f>
        <v>1052.36858181818</v>
      </c>
      <c r="T105" s="70" t="n">
        <f aca="false">T104/Assumptions!$F$52</f>
        <v>1052.36858181818</v>
      </c>
      <c r="U105" s="70" t="n">
        <f aca="false">U104/Assumptions!$F$52</f>
        <v>1052.36858181818</v>
      </c>
      <c r="V105" s="70" t="n">
        <f aca="false">V104/Assumptions!$F$52</f>
        <v>1052.36858181818</v>
      </c>
      <c r="W105" s="70" t="n">
        <f aca="false">W104/Assumptions!$F$52</f>
        <v>1052.36858181818</v>
      </c>
      <c r="X105" s="70" t="n">
        <f aca="false">X104/Assumptions!$F$52</f>
        <v>1052.36858181818</v>
      </c>
      <c r="Y105" s="70" t="n">
        <f aca="false">Y104/Assumptions!$F$52</f>
        <v>1052.36858181818</v>
      </c>
      <c r="Z105" s="70" t="n">
        <f aca="false">Z104/Assumptions!$F$52</f>
        <v>1052.36858181818</v>
      </c>
      <c r="AA105" s="70" t="n">
        <f aca="false">AA104/Assumptions!$F$52</f>
        <v>1052.36858181818</v>
      </c>
      <c r="AB105" s="70" t="n">
        <f aca="false">AB104/Assumptions!$F$52</f>
        <v>1052.36858181818</v>
      </c>
      <c r="AC105" s="70" t="n">
        <f aca="false">AC104/Assumptions!$F$52</f>
        <v>1052.36858181818</v>
      </c>
      <c r="AD105" s="70" t="n">
        <f aca="false">AD104/Assumptions!$F$52</f>
        <v>1052.36858181818</v>
      </c>
      <c r="AE105" s="70" t="n">
        <f aca="false">AE104/Assumptions!$F$52</f>
        <v>1052.36858181818</v>
      </c>
      <c r="AF105" s="70" t="n">
        <f aca="false">AF104/Assumptions!$F$52</f>
        <v>1052.36858181818</v>
      </c>
      <c r="AG105" s="70" t="n">
        <f aca="false">AG104/Assumptions!$F$52</f>
        <v>1052.36858181818</v>
      </c>
      <c r="AH105" s="70" t="n">
        <f aca="false">AH104/Assumptions!$F$52</f>
        <v>1052.36858181818</v>
      </c>
      <c r="AI105" s="70" t="n">
        <f aca="false">AI104/Assumptions!$F$52</f>
        <v>1052.36858181818</v>
      </c>
      <c r="AJ105" s="70" t="n">
        <f aca="false">AJ104/Assumptions!$F$52</f>
        <v>1052.36858181818</v>
      </c>
      <c r="AK105" s="70" t="n">
        <f aca="false">AK104/Assumptions!$F$52</f>
        <v>1052.36858181818</v>
      </c>
      <c r="AL105" s="70" t="n">
        <f aca="false">AL104/Assumptions!$F$52</f>
        <v>1052.36858181818</v>
      </c>
      <c r="AM105" s="70" t="n">
        <f aca="false">AVERAGE(N105:AL105)</f>
        <v>1052.36858181818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821</v>
      </c>
    </row>
    <row r="2" customFormat="false" ht="15" hidden="false" customHeight="false" outlineLevel="0" collapsed="false">
      <c r="A2" s="67" t="s">
        <v>681</v>
      </c>
    </row>
    <row r="4" customFormat="false" ht="15" hidden="false" customHeight="false" outlineLevel="0" collapsed="false">
      <c r="A4" s="37" t="s">
        <v>682</v>
      </c>
      <c r="B4" s="37" t="s">
        <v>25</v>
      </c>
      <c r="C4" s="68" t="s">
        <v>683</v>
      </c>
      <c r="D4" s="68" t="s">
        <v>684</v>
      </c>
      <c r="E4" s="68" t="s">
        <v>685</v>
      </c>
      <c r="F4" s="68" t="s">
        <v>686</v>
      </c>
      <c r="G4" s="68" t="s">
        <v>687</v>
      </c>
      <c r="H4" s="68" t="s">
        <v>688</v>
      </c>
      <c r="I4" s="68" t="s">
        <v>689</v>
      </c>
      <c r="J4" s="68" t="s">
        <v>690</v>
      </c>
      <c r="K4" s="68" t="s">
        <v>691</v>
      </c>
      <c r="L4" s="68" t="s">
        <v>692</v>
      </c>
      <c r="M4" s="68" t="s">
        <v>693</v>
      </c>
      <c r="N4" s="68" t="s">
        <v>694</v>
      </c>
      <c r="O4" s="68" t="s">
        <v>695</v>
      </c>
      <c r="P4" s="68" t="s">
        <v>696</v>
      </c>
      <c r="Q4" s="68" t="s">
        <v>697</v>
      </c>
      <c r="R4" s="68" t="s">
        <v>698</v>
      </c>
      <c r="S4" s="68" t="s">
        <v>699</v>
      </c>
      <c r="T4" s="68" t="s">
        <v>700</v>
      </c>
      <c r="U4" s="68" t="s">
        <v>701</v>
      </c>
      <c r="V4" s="68" t="s">
        <v>702</v>
      </c>
      <c r="W4" s="68" t="s">
        <v>703</v>
      </c>
      <c r="X4" s="68" t="s">
        <v>704</v>
      </c>
      <c r="Y4" s="68" t="s">
        <v>705</v>
      </c>
      <c r="Z4" s="68" t="s">
        <v>706</v>
      </c>
      <c r="AA4" s="68" t="s">
        <v>707</v>
      </c>
      <c r="AB4" s="68" t="s">
        <v>708</v>
      </c>
      <c r="AC4" s="68" t="s">
        <v>709</v>
      </c>
      <c r="AD4" s="68" t="s">
        <v>710</v>
      </c>
      <c r="AE4" s="68" t="s">
        <v>711</v>
      </c>
      <c r="AF4" s="68" t="s">
        <v>712</v>
      </c>
      <c r="AG4" s="68" t="s">
        <v>713</v>
      </c>
      <c r="AH4" s="68" t="s">
        <v>714</v>
      </c>
      <c r="AI4" s="68" t="s">
        <v>715</v>
      </c>
      <c r="AJ4" s="68" t="s">
        <v>716</v>
      </c>
      <c r="AK4" s="68" t="s">
        <v>717</v>
      </c>
      <c r="AL4" s="68" t="s">
        <v>718</v>
      </c>
      <c r="AM4" s="37" t="s">
        <v>719</v>
      </c>
    </row>
    <row r="5" customFormat="false" ht="15" hidden="false" customHeight="false" outlineLevel="0" collapsed="false">
      <c r="A5" s="0" t="s">
        <v>720</v>
      </c>
      <c r="B5" s="0" t="s">
        <v>49</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721</v>
      </c>
      <c r="B6" s="0" t="s">
        <v>49</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722</v>
      </c>
      <c r="B8" s="9" t="s">
        <v>723</v>
      </c>
      <c r="C8" s="69" t="n">
        <f aca="false">IF(C$5&gt;=Assumptions!$G$6,1,0)</f>
        <v>0</v>
      </c>
      <c r="D8" s="69" t="n">
        <f aca="false">IF(D$5&gt;=Assumptions!$G$6,1,0)</f>
        <v>1</v>
      </c>
      <c r="E8" s="69" t="n">
        <f aca="false">IF(E$5&gt;=Assumptions!$G$6,1,0)</f>
        <v>1</v>
      </c>
      <c r="F8" s="69" t="n">
        <f aca="false">IF(F$5&gt;=Assumptions!$G$6,1,0)</f>
        <v>1</v>
      </c>
      <c r="G8" s="69" t="n">
        <f aca="false">IF(G$5&gt;=Assumptions!$G$6,1,0)</f>
        <v>1</v>
      </c>
      <c r="H8" s="69" t="n">
        <f aca="false">IF(H$5&gt;=Assumptions!$G$6,1,0)</f>
        <v>1</v>
      </c>
      <c r="I8" s="69" t="n">
        <f aca="false">IF(I$5&gt;=Assumptions!$G$6,1,0)</f>
        <v>1</v>
      </c>
      <c r="J8" s="69" t="n">
        <f aca="false">IF(J$5&gt;=Assumptions!$G$6,1,0)</f>
        <v>1</v>
      </c>
      <c r="K8" s="69" t="n">
        <f aca="false">IF(K$5&gt;=Assumptions!$G$6,1,0)</f>
        <v>1</v>
      </c>
      <c r="L8" s="69" t="n">
        <f aca="false">IF(L$5&gt;=Assumptions!$G$6,1,0)</f>
        <v>1</v>
      </c>
      <c r="M8" s="69" t="n">
        <f aca="false">IF(M$5&gt;=Assumptions!$G$6,1,0)</f>
        <v>1</v>
      </c>
      <c r="N8" s="69" t="n">
        <f aca="false">IF(N$5&gt;=Assumptions!$G$6,1,0)</f>
        <v>1</v>
      </c>
      <c r="O8" s="69" t="n">
        <f aca="false">IF(O$5&gt;=Assumptions!$G$6,1,0)</f>
        <v>1</v>
      </c>
      <c r="P8" s="69" t="n">
        <f aca="false">IF(P$5&gt;=Assumptions!$G$6,1,0)</f>
        <v>1</v>
      </c>
      <c r="Q8" s="69" t="n">
        <f aca="false">IF(Q$5&gt;=Assumptions!$G$6,1,0)</f>
        <v>1</v>
      </c>
      <c r="R8" s="69" t="n">
        <f aca="false">IF(R$5&gt;=Assumptions!$G$6,1,0)</f>
        <v>1</v>
      </c>
      <c r="S8" s="69" t="n">
        <f aca="false">IF(S$5&gt;=Assumptions!$G$6,1,0)</f>
        <v>1</v>
      </c>
      <c r="T8" s="69" t="n">
        <f aca="false">IF(T$5&gt;=Assumptions!$G$6,1,0)</f>
        <v>1</v>
      </c>
      <c r="U8" s="69" t="n">
        <f aca="false">IF(U$5&gt;=Assumptions!$G$6,1,0)</f>
        <v>1</v>
      </c>
      <c r="V8" s="69" t="n">
        <f aca="false">IF(V$5&gt;=Assumptions!$G$6,1,0)</f>
        <v>1</v>
      </c>
      <c r="W8" s="69" t="n">
        <f aca="false">IF(W$5&gt;=Assumptions!$G$6,1,0)</f>
        <v>1</v>
      </c>
      <c r="X8" s="69" t="n">
        <f aca="false">IF(X$5&gt;=Assumptions!$G$6,1,0)</f>
        <v>1</v>
      </c>
      <c r="Y8" s="69" t="n">
        <f aca="false">IF(Y$5&gt;=Assumptions!$G$6,1,0)</f>
        <v>1</v>
      </c>
      <c r="Z8" s="69" t="n">
        <f aca="false">IF(Z$5&gt;=Assumptions!$G$6,1,0)</f>
        <v>1</v>
      </c>
      <c r="AA8" s="69" t="n">
        <f aca="false">IF(AA$5&gt;=Assumptions!$G$6,1,0)</f>
        <v>1</v>
      </c>
      <c r="AB8" s="69" t="n">
        <f aca="false">IF(AB$5&gt;=Assumptions!$G$6,1,0)</f>
        <v>1</v>
      </c>
      <c r="AC8" s="69" t="n">
        <f aca="false">IF(AC$5&gt;=Assumptions!$G$6,1,0)</f>
        <v>1</v>
      </c>
      <c r="AD8" s="69" t="n">
        <f aca="false">IF(AD$5&gt;=Assumptions!$G$6,1,0)</f>
        <v>1</v>
      </c>
      <c r="AE8" s="69" t="n">
        <f aca="false">IF(AE$5&gt;=Assumptions!$G$6,1,0)</f>
        <v>1</v>
      </c>
      <c r="AF8" s="69" t="n">
        <f aca="false">IF(AF$5&gt;=Assumptions!$G$6,1,0)</f>
        <v>1</v>
      </c>
      <c r="AG8" s="69" t="n">
        <f aca="false">IF(AG$5&gt;=Assumptions!$G$6,1,0)</f>
        <v>1</v>
      </c>
      <c r="AH8" s="69" t="n">
        <f aca="false">IF(AH$5&gt;=Assumptions!$G$6,1,0)</f>
        <v>1</v>
      </c>
      <c r="AI8" s="69" t="n">
        <f aca="false">IF(AI$5&gt;=Assumptions!$G$6,1,0)</f>
        <v>1</v>
      </c>
      <c r="AJ8" s="69" t="n">
        <f aca="false">IF(AJ$5&gt;=Assumptions!$G$6,1,0)</f>
        <v>1</v>
      </c>
      <c r="AK8" s="69" t="n">
        <f aca="false">IF(AK$5&gt;=Assumptions!$G$6,1,0)</f>
        <v>1</v>
      </c>
      <c r="AL8" s="69" t="n">
        <f aca="false">IF(AL$5&gt;=Assumptions!$G$6,1,0)</f>
        <v>1</v>
      </c>
      <c r="AM8" s="69"/>
    </row>
    <row r="9" customFormat="false" ht="15" hidden="false" customHeight="false" outlineLevel="0" collapsed="false">
      <c r="A9" s="10" t="s">
        <v>724</v>
      </c>
      <c r="B9" s="9" t="s">
        <v>723</v>
      </c>
      <c r="C9" s="69" t="n">
        <f aca="false">IF(C$5&gt;=Assumptions!$G$7,1,0)</f>
        <v>0</v>
      </c>
      <c r="D9" s="69" t="n">
        <f aca="false">IF(D$5&gt;=Assumptions!$G$7,1,0)</f>
        <v>0</v>
      </c>
      <c r="E9" s="69" t="n">
        <f aca="false">IF(E$5&gt;=Assumptions!$G$7,1,0)</f>
        <v>0</v>
      </c>
      <c r="F9" s="69" t="n">
        <f aca="false">IF(F$5&gt;=Assumptions!$G$7,1,0)</f>
        <v>0</v>
      </c>
      <c r="G9" s="69" t="n">
        <f aca="false">IF(G$5&gt;=Assumptions!$G$7,1,0)</f>
        <v>0</v>
      </c>
      <c r="H9" s="69" t="n">
        <f aca="false">IF(H$5&gt;=Assumptions!$G$7,1,0)</f>
        <v>0</v>
      </c>
      <c r="I9" s="69" t="n">
        <f aca="false">IF(I$5&gt;=Assumptions!$G$7,1,0)</f>
        <v>1</v>
      </c>
      <c r="J9" s="69" t="n">
        <f aca="false">IF(J$5&gt;=Assumptions!$G$7,1,0)</f>
        <v>1</v>
      </c>
      <c r="K9" s="69" t="n">
        <f aca="false">IF(K$5&gt;=Assumptions!$G$7,1,0)</f>
        <v>1</v>
      </c>
      <c r="L9" s="69" t="n">
        <f aca="false">IF(L$5&gt;=Assumptions!$G$7,1,0)</f>
        <v>1</v>
      </c>
      <c r="M9" s="69" t="n">
        <f aca="false">IF(M$5&gt;=Assumptions!$G$7,1,0)</f>
        <v>1</v>
      </c>
      <c r="N9" s="69" t="n">
        <f aca="false">IF(N$5&gt;=Assumptions!$G$7,1,0)</f>
        <v>1</v>
      </c>
      <c r="O9" s="69" t="n">
        <f aca="false">IF(O$5&gt;=Assumptions!$G$7,1,0)</f>
        <v>1</v>
      </c>
      <c r="P9" s="69" t="n">
        <f aca="false">IF(P$5&gt;=Assumptions!$G$7,1,0)</f>
        <v>1</v>
      </c>
      <c r="Q9" s="69" t="n">
        <f aca="false">IF(Q$5&gt;=Assumptions!$G$7,1,0)</f>
        <v>1</v>
      </c>
      <c r="R9" s="69" t="n">
        <f aca="false">IF(R$5&gt;=Assumptions!$G$7,1,0)</f>
        <v>1</v>
      </c>
      <c r="S9" s="69" t="n">
        <f aca="false">IF(S$5&gt;=Assumptions!$G$7,1,0)</f>
        <v>1</v>
      </c>
      <c r="T9" s="69" t="n">
        <f aca="false">IF(T$5&gt;=Assumptions!$G$7,1,0)</f>
        <v>1</v>
      </c>
      <c r="U9" s="69" t="n">
        <f aca="false">IF(U$5&gt;=Assumptions!$G$7,1,0)</f>
        <v>1</v>
      </c>
      <c r="V9" s="69" t="n">
        <f aca="false">IF(V$5&gt;=Assumptions!$G$7,1,0)</f>
        <v>1</v>
      </c>
      <c r="W9" s="69" t="n">
        <f aca="false">IF(W$5&gt;=Assumptions!$G$7,1,0)</f>
        <v>1</v>
      </c>
      <c r="X9" s="69" t="n">
        <f aca="false">IF(X$5&gt;=Assumptions!$G$7,1,0)</f>
        <v>1</v>
      </c>
      <c r="Y9" s="69" t="n">
        <f aca="false">IF(Y$5&gt;=Assumptions!$G$7,1,0)</f>
        <v>1</v>
      </c>
      <c r="Z9" s="69" t="n">
        <f aca="false">IF(Z$5&gt;=Assumptions!$G$7,1,0)</f>
        <v>1</v>
      </c>
      <c r="AA9" s="69" t="n">
        <f aca="false">IF(AA$5&gt;=Assumptions!$G$7,1,0)</f>
        <v>1</v>
      </c>
      <c r="AB9" s="69" t="n">
        <f aca="false">IF(AB$5&gt;=Assumptions!$G$7,1,0)</f>
        <v>1</v>
      </c>
      <c r="AC9" s="69" t="n">
        <f aca="false">IF(AC$5&gt;=Assumptions!$G$7,1,0)</f>
        <v>1</v>
      </c>
      <c r="AD9" s="69" t="n">
        <f aca="false">IF(AD$5&gt;=Assumptions!$G$7,1,0)</f>
        <v>1</v>
      </c>
      <c r="AE9" s="69" t="n">
        <f aca="false">IF(AE$5&gt;=Assumptions!$G$7,1,0)</f>
        <v>1</v>
      </c>
      <c r="AF9" s="69" t="n">
        <f aca="false">IF(AF$5&gt;=Assumptions!$G$7,1,0)</f>
        <v>1</v>
      </c>
      <c r="AG9" s="69" t="n">
        <f aca="false">IF(AG$5&gt;=Assumptions!$G$7,1,0)</f>
        <v>1</v>
      </c>
      <c r="AH9" s="69" t="n">
        <f aca="false">IF(AH$5&gt;=Assumptions!$G$7,1,0)</f>
        <v>1</v>
      </c>
      <c r="AI9" s="69" t="n">
        <f aca="false">IF(AI$5&gt;=Assumptions!$G$7,1,0)</f>
        <v>1</v>
      </c>
      <c r="AJ9" s="69" t="n">
        <f aca="false">IF(AJ$5&gt;=Assumptions!$G$7,1,0)</f>
        <v>1</v>
      </c>
      <c r="AK9" s="69" t="n">
        <f aca="false">IF(AK$5&gt;=Assumptions!$G$7,1,0)</f>
        <v>1</v>
      </c>
      <c r="AL9" s="69" t="n">
        <f aca="false">IF(AL$5&gt;=Assumptions!$G$7,1,0)</f>
        <v>1</v>
      </c>
      <c r="AM9" s="69"/>
    </row>
    <row r="10" customFormat="false" ht="15" hidden="false" customHeight="false" outlineLevel="0" collapsed="false">
      <c r="A10" s="10" t="s">
        <v>725</v>
      </c>
      <c r="B10" s="9" t="s">
        <v>49</v>
      </c>
      <c r="C10" s="69" t="n">
        <f aca="false">MAX(0,C$5-Assumptions!$G$6)</f>
        <v>0</v>
      </c>
      <c r="D10" s="69" t="n">
        <f aca="false">MAX(0,D$5-Assumptions!$G$6)</f>
        <v>0</v>
      </c>
      <c r="E10" s="69" t="n">
        <f aca="false">MAX(0,E$5-Assumptions!$G$6)</f>
        <v>1</v>
      </c>
      <c r="F10" s="69" t="n">
        <f aca="false">MAX(0,F$5-Assumptions!$G$6)</f>
        <v>2</v>
      </c>
      <c r="G10" s="69" t="n">
        <f aca="false">MAX(0,G$5-Assumptions!$G$6)</f>
        <v>3</v>
      </c>
      <c r="H10" s="69" t="n">
        <f aca="false">MAX(0,H$5-Assumptions!$G$6)</f>
        <v>4</v>
      </c>
      <c r="I10" s="69" t="n">
        <f aca="false">MAX(0,I$5-Assumptions!$G$6)</f>
        <v>5</v>
      </c>
      <c r="J10" s="69" t="n">
        <f aca="false">MAX(0,J$5-Assumptions!$G$6)</f>
        <v>6</v>
      </c>
      <c r="K10" s="69" t="n">
        <f aca="false">MAX(0,K$5-Assumptions!$G$6)</f>
        <v>7</v>
      </c>
      <c r="L10" s="69" t="n">
        <f aca="false">MAX(0,L$5-Assumptions!$G$6)</f>
        <v>8</v>
      </c>
      <c r="M10" s="69" t="n">
        <f aca="false">MAX(0,M$5-Assumptions!$G$6)</f>
        <v>9</v>
      </c>
      <c r="N10" s="69" t="n">
        <f aca="false">MAX(0,N$5-Assumptions!$G$6)</f>
        <v>10</v>
      </c>
      <c r="O10" s="69" t="n">
        <f aca="false">MAX(0,O$5-Assumptions!$G$6)</f>
        <v>11</v>
      </c>
      <c r="P10" s="69" t="n">
        <f aca="false">MAX(0,P$5-Assumptions!$G$6)</f>
        <v>12</v>
      </c>
      <c r="Q10" s="69" t="n">
        <f aca="false">MAX(0,Q$5-Assumptions!$G$6)</f>
        <v>13</v>
      </c>
      <c r="R10" s="69" t="n">
        <f aca="false">MAX(0,R$5-Assumptions!$G$6)</f>
        <v>14</v>
      </c>
      <c r="S10" s="69" t="n">
        <f aca="false">MAX(0,S$5-Assumptions!$G$6)</f>
        <v>15</v>
      </c>
      <c r="T10" s="69" t="n">
        <f aca="false">MAX(0,T$5-Assumptions!$G$6)</f>
        <v>16</v>
      </c>
      <c r="U10" s="69" t="n">
        <f aca="false">MAX(0,U$5-Assumptions!$G$6)</f>
        <v>17</v>
      </c>
      <c r="V10" s="69" t="n">
        <f aca="false">MAX(0,V$5-Assumptions!$G$6)</f>
        <v>18</v>
      </c>
      <c r="W10" s="69" t="n">
        <f aca="false">MAX(0,W$5-Assumptions!$G$6)</f>
        <v>19</v>
      </c>
      <c r="X10" s="69" t="n">
        <f aca="false">MAX(0,X$5-Assumptions!$G$6)</f>
        <v>20</v>
      </c>
      <c r="Y10" s="69" t="n">
        <f aca="false">MAX(0,Y$5-Assumptions!$G$6)</f>
        <v>21</v>
      </c>
      <c r="Z10" s="69" t="n">
        <f aca="false">MAX(0,Z$5-Assumptions!$G$6)</f>
        <v>22</v>
      </c>
      <c r="AA10" s="69" t="n">
        <f aca="false">MAX(0,AA$5-Assumptions!$G$6)</f>
        <v>23</v>
      </c>
      <c r="AB10" s="69" t="n">
        <f aca="false">MAX(0,AB$5-Assumptions!$G$6)</f>
        <v>24</v>
      </c>
      <c r="AC10" s="69" t="n">
        <f aca="false">MAX(0,AC$5-Assumptions!$G$6)</f>
        <v>25</v>
      </c>
      <c r="AD10" s="69" t="n">
        <f aca="false">MAX(0,AD$5-Assumptions!$G$6)</f>
        <v>26</v>
      </c>
      <c r="AE10" s="69" t="n">
        <f aca="false">MAX(0,AE$5-Assumptions!$G$6)</f>
        <v>27</v>
      </c>
      <c r="AF10" s="69" t="n">
        <f aca="false">MAX(0,AF$5-Assumptions!$G$6)</f>
        <v>28</v>
      </c>
      <c r="AG10" s="69" t="n">
        <f aca="false">MAX(0,AG$5-Assumptions!$G$6)</f>
        <v>29</v>
      </c>
      <c r="AH10" s="69" t="n">
        <f aca="false">MAX(0,AH$5-Assumptions!$G$6)</f>
        <v>30</v>
      </c>
      <c r="AI10" s="69" t="n">
        <f aca="false">MAX(0,AI$5-Assumptions!$G$6)</f>
        <v>31</v>
      </c>
      <c r="AJ10" s="69" t="n">
        <f aca="false">MAX(0,AJ$5-Assumptions!$G$6)</f>
        <v>32</v>
      </c>
      <c r="AK10" s="69" t="n">
        <f aca="false">MAX(0,AK$5-Assumptions!$G$6)</f>
        <v>33</v>
      </c>
      <c r="AL10" s="69" t="n">
        <f aca="false">MAX(0,AL$5-Assumptions!$G$6)</f>
        <v>34</v>
      </c>
      <c r="AM10" s="69"/>
    </row>
    <row r="11" customFormat="false" ht="15" hidden="false" customHeight="false" outlineLevel="0" collapsed="false">
      <c r="A11" s="10" t="s">
        <v>726</v>
      </c>
      <c r="B11" s="9" t="s">
        <v>82</v>
      </c>
      <c r="C11" s="61" t="n">
        <f aca="false">Assumptions!$G$9*Assumptions!$G$10*Assumptions!$G$11*Assumptions!$G$12</f>
        <v>0</v>
      </c>
      <c r="D11" s="61" t="n">
        <f aca="false">Assumptions!$G$9*Assumptions!$G$10*Assumptions!$G$11*Assumptions!$G$12</f>
        <v>0</v>
      </c>
      <c r="E11" s="61" t="n">
        <f aca="false">Assumptions!$G$9*Assumptions!$G$10*Assumptions!$G$11*Assumptions!$G$12</f>
        <v>0</v>
      </c>
      <c r="F11" s="61" t="n">
        <f aca="false">Assumptions!$G$9*Assumptions!$G$10*Assumptions!$G$11*Assumptions!$G$12</f>
        <v>0</v>
      </c>
      <c r="G11" s="61" t="n">
        <f aca="false">Assumptions!$G$9*Assumptions!$G$10*Assumptions!$G$11*Assumptions!$G$12</f>
        <v>0</v>
      </c>
      <c r="H11" s="61" t="n">
        <f aca="false">Assumptions!$G$9*Assumptions!$G$10*Assumptions!$G$11*Assumptions!$G$12</f>
        <v>0</v>
      </c>
      <c r="I11" s="61" t="n">
        <f aca="false">Assumptions!$G$9*Assumptions!$G$10*Assumptions!$G$11*Assumptions!$G$12</f>
        <v>0</v>
      </c>
      <c r="J11" s="61" t="n">
        <f aca="false">Assumptions!$G$9*Assumptions!$G$10*Assumptions!$G$11*Assumptions!$G$12</f>
        <v>0</v>
      </c>
      <c r="K11" s="61" t="n">
        <f aca="false">Assumptions!$G$9*Assumptions!$G$10*Assumptions!$G$11*Assumptions!$G$12</f>
        <v>0</v>
      </c>
      <c r="L11" s="61" t="n">
        <f aca="false">Assumptions!$G$9*Assumptions!$G$10*Assumptions!$G$11*Assumptions!$G$12</f>
        <v>0</v>
      </c>
      <c r="M11" s="61" t="n">
        <f aca="false">Assumptions!$G$9*Assumptions!$G$10*Assumptions!$G$11*Assumptions!$G$12</f>
        <v>0</v>
      </c>
      <c r="N11" s="61" t="n">
        <f aca="false">Assumptions!$G$9*Assumptions!$G$10*Assumptions!$G$11*Assumptions!$G$12</f>
        <v>0</v>
      </c>
      <c r="O11" s="61" t="n">
        <f aca="false">Assumptions!$G$9*Assumptions!$G$10*Assumptions!$G$11*Assumptions!$G$12</f>
        <v>0</v>
      </c>
      <c r="P11" s="61" t="n">
        <f aca="false">Assumptions!$G$9*Assumptions!$G$10*Assumptions!$G$11*Assumptions!$G$12</f>
        <v>0</v>
      </c>
      <c r="Q11" s="61" t="n">
        <f aca="false">Assumptions!$G$9*Assumptions!$G$10*Assumptions!$G$11*Assumptions!$G$12</f>
        <v>0</v>
      </c>
      <c r="R11" s="61" t="n">
        <f aca="false">Assumptions!$G$9*Assumptions!$G$10*Assumptions!$G$11*Assumptions!$G$12</f>
        <v>0</v>
      </c>
      <c r="S11" s="61" t="n">
        <f aca="false">Assumptions!$G$9*Assumptions!$G$10*Assumptions!$G$11*Assumptions!$G$12</f>
        <v>0</v>
      </c>
      <c r="T11" s="61" t="n">
        <f aca="false">Assumptions!$G$9*Assumptions!$G$10*Assumptions!$G$11*Assumptions!$G$12</f>
        <v>0</v>
      </c>
      <c r="U11" s="61" t="n">
        <f aca="false">Assumptions!$G$9*Assumptions!$G$10*Assumptions!$G$11*Assumptions!$G$12</f>
        <v>0</v>
      </c>
      <c r="V11" s="61" t="n">
        <f aca="false">Assumptions!$G$9*Assumptions!$G$10*Assumptions!$G$11*Assumptions!$G$12</f>
        <v>0</v>
      </c>
      <c r="W11" s="61" t="n">
        <f aca="false">Assumptions!$G$9*Assumptions!$G$10*Assumptions!$G$11*Assumptions!$G$12</f>
        <v>0</v>
      </c>
      <c r="X11" s="61" t="n">
        <f aca="false">Assumptions!$G$9*Assumptions!$G$10*Assumptions!$G$11*Assumptions!$G$12</f>
        <v>0</v>
      </c>
      <c r="Y11" s="61" t="n">
        <f aca="false">Assumptions!$G$9*Assumptions!$G$10*Assumptions!$G$11*Assumptions!$G$12</f>
        <v>0</v>
      </c>
      <c r="Z11" s="61" t="n">
        <f aca="false">Assumptions!$G$9*Assumptions!$G$10*Assumptions!$G$11*Assumptions!$G$12</f>
        <v>0</v>
      </c>
      <c r="AA11" s="61" t="n">
        <f aca="false">Assumptions!$G$9*Assumptions!$G$10*Assumptions!$G$11*Assumptions!$G$12</f>
        <v>0</v>
      </c>
      <c r="AB11" s="61" t="n">
        <f aca="false">Assumptions!$G$9*Assumptions!$G$10*Assumptions!$G$11*Assumptions!$G$12</f>
        <v>0</v>
      </c>
      <c r="AC11" s="61" t="n">
        <f aca="false">Assumptions!$G$9*Assumptions!$G$10*Assumptions!$G$11*Assumptions!$G$12</f>
        <v>0</v>
      </c>
      <c r="AD11" s="61" t="n">
        <f aca="false">Assumptions!$G$9*Assumptions!$G$10*Assumptions!$G$11*Assumptions!$G$12</f>
        <v>0</v>
      </c>
      <c r="AE11" s="61" t="n">
        <f aca="false">Assumptions!$G$9*Assumptions!$G$10*Assumptions!$G$11*Assumptions!$G$12</f>
        <v>0</v>
      </c>
      <c r="AF11" s="61" t="n">
        <f aca="false">Assumptions!$G$9*Assumptions!$G$10*Assumptions!$G$11*Assumptions!$G$12</f>
        <v>0</v>
      </c>
      <c r="AG11" s="61" t="n">
        <f aca="false">Assumptions!$G$9*Assumptions!$G$10*Assumptions!$G$11*Assumptions!$G$12</f>
        <v>0</v>
      </c>
      <c r="AH11" s="61" t="n">
        <f aca="false">Assumptions!$G$9*Assumptions!$G$10*Assumptions!$G$11*Assumptions!$G$12</f>
        <v>0</v>
      </c>
      <c r="AI11" s="61" t="n">
        <f aca="false">Assumptions!$G$9*Assumptions!$G$10*Assumptions!$G$11*Assumptions!$G$12</f>
        <v>0</v>
      </c>
      <c r="AJ11" s="61" t="n">
        <f aca="false">Assumptions!$G$9*Assumptions!$G$10*Assumptions!$G$11*Assumptions!$G$12</f>
        <v>0</v>
      </c>
      <c r="AK11" s="61" t="n">
        <f aca="false">Assumptions!$G$9*Assumptions!$G$10*Assumptions!$G$11*Assumptions!$G$12</f>
        <v>0</v>
      </c>
      <c r="AL11" s="61" t="n">
        <f aca="false">Assumptions!$G$9*Assumptions!$G$10*Assumptions!$G$11*Assumptions!$G$12</f>
        <v>0</v>
      </c>
      <c r="AM11" s="61"/>
    </row>
    <row r="12" customFormat="false" ht="15" hidden="false" customHeight="false" outlineLevel="0" collapsed="false">
      <c r="A12" s="10" t="s">
        <v>727</v>
      </c>
      <c r="B12" s="9" t="s">
        <v>76</v>
      </c>
      <c r="C12" s="57" t="n">
        <f aca="false">IF(C8=0,0,IF(C10=0,Assumptions!$G$15,Assumptions!$G$14+(1-Assumptions!$G$14)*Assumptions!$G$13^C10))</f>
        <v>0</v>
      </c>
      <c r="D12" s="57" t="n">
        <f aca="false">IF(D8=0,0,IF(D10=0,Assumptions!$G$15,Assumptions!$G$14+(1-Assumptions!$G$14)*Assumptions!$G$13^D10))</f>
        <v>1</v>
      </c>
      <c r="E12" s="57" t="n">
        <f aca="false">IF(E8=0,0,IF(E10=0,Assumptions!$G$15,Assumptions!$G$14+(1-Assumptions!$G$14)*Assumptions!$G$13^E10))</f>
        <v>0.872</v>
      </c>
      <c r="F12" s="57" t="n">
        <f aca="false">IF(F8=0,0,IF(F10=0,Assumptions!$G$15,Assumptions!$G$14+(1-Assumptions!$G$14)*Assumptions!$G$13^F10))</f>
        <v>0.7696</v>
      </c>
      <c r="G12" s="57" t="n">
        <f aca="false">IF(G8=0,0,IF(G10=0,Assumptions!$G$15,Assumptions!$G$14+(1-Assumptions!$G$14)*Assumptions!$G$13^G10))</f>
        <v>0.68768</v>
      </c>
      <c r="H12" s="57" t="n">
        <f aca="false">IF(H8=0,0,IF(H10=0,Assumptions!$G$15,Assumptions!$G$14+(1-Assumptions!$G$14)*Assumptions!$G$13^H10))</f>
        <v>0.622144</v>
      </c>
      <c r="I12" s="57" t="n">
        <f aca="false">IF(I8=0,0,IF(I10=0,Assumptions!$G$15,Assumptions!$G$14+(1-Assumptions!$G$14)*Assumptions!$G$13^I10))</f>
        <v>0.5697152</v>
      </c>
      <c r="J12" s="57" t="n">
        <f aca="false">IF(J8=0,0,IF(J10=0,Assumptions!$G$15,Assumptions!$G$14+(1-Assumptions!$G$14)*Assumptions!$G$13^J10))</f>
        <v>0.52777216</v>
      </c>
      <c r="K12" s="57" t="n">
        <f aca="false">IF(K8=0,0,IF(K10=0,Assumptions!$G$15,Assumptions!$G$14+(1-Assumptions!$G$14)*Assumptions!$G$13^K10))</f>
        <v>0.494217728</v>
      </c>
      <c r="L12" s="57" t="n">
        <f aca="false">IF(L8=0,0,IF(L10=0,Assumptions!$G$15,Assumptions!$G$14+(1-Assumptions!$G$14)*Assumptions!$G$13^L10))</f>
        <v>0.4673741824</v>
      </c>
      <c r="M12" s="57" t="n">
        <f aca="false">IF(M8=0,0,IF(M10=0,Assumptions!$G$15,Assumptions!$G$14+(1-Assumptions!$G$14)*Assumptions!$G$13^M10))</f>
        <v>0.44589934592</v>
      </c>
      <c r="N12" s="57" t="n">
        <f aca="false">IF(N8=0,0,IF(N10=0,Assumptions!$G$15,Assumptions!$G$14+(1-Assumptions!$G$14)*Assumptions!$G$13^N10))</f>
        <v>0.428719476736</v>
      </c>
      <c r="O12" s="57" t="n">
        <f aca="false">IF(O8=0,0,IF(O10=0,Assumptions!$G$15,Assumptions!$G$14+(1-Assumptions!$G$14)*Assumptions!$G$13^O10))</f>
        <v>0.4149755813888</v>
      </c>
      <c r="P12" s="57" t="n">
        <f aca="false">IF(P8=0,0,IF(P10=0,Assumptions!$G$15,Assumptions!$G$14+(1-Assumptions!$G$14)*Assumptions!$G$13^P10))</f>
        <v>0.40398046511104</v>
      </c>
      <c r="Q12" s="57" t="n">
        <f aca="false">IF(Q8=0,0,IF(Q10=0,Assumptions!$G$15,Assumptions!$G$14+(1-Assumptions!$G$14)*Assumptions!$G$13^Q10))</f>
        <v>0.395184372088832</v>
      </c>
      <c r="R12" s="57" t="n">
        <f aca="false">IF(R8=0,0,IF(R10=0,Assumptions!$G$15,Assumptions!$G$14+(1-Assumptions!$G$14)*Assumptions!$G$13^R10))</f>
        <v>0.388147497671066</v>
      </c>
      <c r="S12" s="57" t="n">
        <f aca="false">IF(S8=0,0,IF(S10=0,Assumptions!$G$15,Assumptions!$G$14+(1-Assumptions!$G$14)*Assumptions!$G$13^S10))</f>
        <v>0.382517998136853</v>
      </c>
      <c r="T12" s="57" t="n">
        <f aca="false">IF(T8=0,0,IF(T10=0,Assumptions!$G$15,Assumptions!$G$14+(1-Assumptions!$G$14)*Assumptions!$G$13^T10))</f>
        <v>0.378014398509482</v>
      </c>
      <c r="U12" s="57" t="n">
        <f aca="false">IF(U8=0,0,IF(U10=0,Assumptions!$G$15,Assumptions!$G$14+(1-Assumptions!$G$14)*Assumptions!$G$13^U10))</f>
        <v>0.374411518807586</v>
      </c>
      <c r="V12" s="57" t="n">
        <f aca="false">IF(V8=0,0,IF(V10=0,Assumptions!$G$15,Assumptions!$G$14+(1-Assumptions!$G$14)*Assumptions!$G$13^V10))</f>
        <v>0.371529215046068</v>
      </c>
      <c r="W12" s="57" t="n">
        <f aca="false">IF(W8=0,0,IF(W10=0,Assumptions!$G$15,Assumptions!$G$14+(1-Assumptions!$G$14)*Assumptions!$G$13^W10))</f>
        <v>0.369223372036855</v>
      </c>
      <c r="X12" s="57" t="n">
        <f aca="false">IF(X8=0,0,IF(X10=0,Assumptions!$G$15,Assumptions!$G$14+(1-Assumptions!$G$14)*Assumptions!$G$13^X10))</f>
        <v>0.367378697629484</v>
      </c>
      <c r="Y12" s="57" t="n">
        <f aca="false">IF(Y8=0,0,IF(Y10=0,Assumptions!$G$15,Assumptions!$G$14+(1-Assumptions!$G$14)*Assumptions!$G$13^Y10))</f>
        <v>0.365902958103587</v>
      </c>
      <c r="Z12" s="57" t="n">
        <f aca="false">IF(Z8=0,0,IF(Z10=0,Assumptions!$G$15,Assumptions!$G$14+(1-Assumptions!$G$14)*Assumptions!$G$13^Z10))</f>
        <v>0.36472236648287</v>
      </c>
      <c r="AA12" s="57" t="n">
        <f aca="false">IF(AA8=0,0,IF(AA10=0,Assumptions!$G$15,Assumptions!$G$14+(1-Assumptions!$G$14)*Assumptions!$G$13^AA10))</f>
        <v>0.363777893186296</v>
      </c>
      <c r="AB12" s="57" t="n">
        <f aca="false">IF(AB8=0,0,IF(AB10=0,Assumptions!$G$15,Assumptions!$G$14+(1-Assumptions!$G$14)*Assumptions!$G$13^AB10))</f>
        <v>0.363022314549037</v>
      </c>
      <c r="AC12" s="57" t="n">
        <f aca="false">IF(AC8=0,0,IF(AC10=0,Assumptions!$G$15,Assumptions!$G$14+(1-Assumptions!$G$14)*Assumptions!$G$13^AC10))</f>
        <v>0.362417851639229</v>
      </c>
      <c r="AD12" s="57" t="n">
        <f aca="false">IF(AD8=0,0,IF(AD10=0,Assumptions!$G$15,Assumptions!$G$14+(1-Assumptions!$G$14)*Assumptions!$G$13^AD10))</f>
        <v>0.361934281311383</v>
      </c>
      <c r="AE12" s="57" t="n">
        <f aca="false">IF(AE8=0,0,IF(AE10=0,Assumptions!$G$15,Assumptions!$G$14+(1-Assumptions!$G$14)*Assumptions!$G$13^AE10))</f>
        <v>0.361547425049107</v>
      </c>
      <c r="AF12" s="57" t="n">
        <f aca="false">IF(AF8=0,0,IF(AF10=0,Assumptions!$G$15,Assumptions!$G$14+(1-Assumptions!$G$14)*Assumptions!$G$13^AF10))</f>
        <v>0.361237940039285</v>
      </c>
      <c r="AG12" s="57" t="n">
        <f aca="false">IF(AG8=0,0,IF(AG10=0,Assumptions!$G$15,Assumptions!$G$14+(1-Assumptions!$G$14)*Assumptions!$G$13^AG10))</f>
        <v>0.360990352031428</v>
      </c>
      <c r="AH12" s="57" t="n">
        <f aca="false">IF(AH8=0,0,IF(AH10=0,Assumptions!$G$15,Assumptions!$G$14+(1-Assumptions!$G$14)*Assumptions!$G$13^AH10))</f>
        <v>0.360792281625143</v>
      </c>
      <c r="AI12" s="57" t="n">
        <f aca="false">IF(AI8=0,0,IF(AI10=0,Assumptions!$G$15,Assumptions!$G$14+(1-Assumptions!$G$14)*Assumptions!$G$13^AI10))</f>
        <v>0.360633825300114</v>
      </c>
      <c r="AJ12" s="57" t="n">
        <f aca="false">IF(AJ8=0,0,IF(AJ10=0,Assumptions!$G$15,Assumptions!$G$14+(1-Assumptions!$G$14)*Assumptions!$G$13^AJ10))</f>
        <v>0.360507060240091</v>
      </c>
      <c r="AK12" s="57" t="n">
        <f aca="false">IF(AK8=0,0,IF(AK10=0,Assumptions!$G$15,Assumptions!$G$14+(1-Assumptions!$G$14)*Assumptions!$G$13^AK10))</f>
        <v>0.360405648192073</v>
      </c>
      <c r="AL12" s="57" t="n">
        <f aca="false">IF(AL8=0,0,IF(AL10=0,Assumptions!$G$15,Assumptions!$G$14+(1-Assumptions!$G$14)*Assumptions!$G$13^AL10))</f>
        <v>0.360324518553658</v>
      </c>
      <c r="AM12" s="57"/>
    </row>
    <row r="13" customFormat="false" ht="15" hidden="false" customHeight="false" outlineLevel="0" collapsed="false">
      <c r="A13" s="10" t="s">
        <v>728</v>
      </c>
      <c r="B13" s="9" t="s">
        <v>82</v>
      </c>
      <c r="C13" s="61" t="n">
        <f aca="false">C11*C12</f>
        <v>0</v>
      </c>
      <c r="D13" s="61" t="n">
        <f aca="false">D11*D12</f>
        <v>0</v>
      </c>
      <c r="E13" s="61" t="n">
        <f aca="false">E11*E12</f>
        <v>0</v>
      </c>
      <c r="F13" s="61" t="n">
        <f aca="false">F11*F12</f>
        <v>0</v>
      </c>
      <c r="G13" s="61" t="n">
        <f aca="false">G11*G12</f>
        <v>0</v>
      </c>
      <c r="H13" s="61" t="n">
        <f aca="false">H11*H12</f>
        <v>0</v>
      </c>
      <c r="I13" s="61" t="n">
        <f aca="false">I11*I12</f>
        <v>0</v>
      </c>
      <c r="J13" s="61" t="n">
        <f aca="false">J11*J12</f>
        <v>0</v>
      </c>
      <c r="K13" s="61" t="n">
        <f aca="false">K11*K12</f>
        <v>0</v>
      </c>
      <c r="L13" s="61" t="n">
        <f aca="false">L11*L12</f>
        <v>0</v>
      </c>
      <c r="M13" s="61" t="n">
        <f aca="false">M11*M12</f>
        <v>0</v>
      </c>
      <c r="N13" s="61" t="n">
        <f aca="false">N11*N12</f>
        <v>0</v>
      </c>
      <c r="O13" s="61" t="n">
        <f aca="false">O11*O12</f>
        <v>0</v>
      </c>
      <c r="P13" s="61" t="n">
        <f aca="false">P11*P12</f>
        <v>0</v>
      </c>
      <c r="Q13" s="61" t="n">
        <f aca="false">Q11*Q12</f>
        <v>0</v>
      </c>
      <c r="R13" s="61" t="n">
        <f aca="false">R11*R12</f>
        <v>0</v>
      </c>
      <c r="S13" s="61" t="n">
        <f aca="false">S11*S12</f>
        <v>0</v>
      </c>
      <c r="T13" s="61" t="n">
        <f aca="false">T11*T12</f>
        <v>0</v>
      </c>
      <c r="U13" s="61" t="n">
        <f aca="false">U11*U12</f>
        <v>0</v>
      </c>
      <c r="V13" s="61" t="n">
        <f aca="false">V11*V12</f>
        <v>0</v>
      </c>
      <c r="W13" s="61" t="n">
        <f aca="false">W11*W12</f>
        <v>0</v>
      </c>
      <c r="X13" s="61" t="n">
        <f aca="false">X11*X12</f>
        <v>0</v>
      </c>
      <c r="Y13" s="61" t="n">
        <f aca="false">Y11*Y12</f>
        <v>0</v>
      </c>
      <c r="Z13" s="61" t="n">
        <f aca="false">Z11*Z12</f>
        <v>0</v>
      </c>
      <c r="AA13" s="61" t="n">
        <f aca="false">AA11*AA12</f>
        <v>0</v>
      </c>
      <c r="AB13" s="61" t="n">
        <f aca="false">AB11*AB12</f>
        <v>0</v>
      </c>
      <c r="AC13" s="61" t="n">
        <f aca="false">AC11*AC12</f>
        <v>0</v>
      </c>
      <c r="AD13" s="61" t="n">
        <f aca="false">AD11*AD12</f>
        <v>0</v>
      </c>
      <c r="AE13" s="61" t="n">
        <f aca="false">AE11*AE12</f>
        <v>0</v>
      </c>
      <c r="AF13" s="61" t="n">
        <f aca="false">AF11*AF12</f>
        <v>0</v>
      </c>
      <c r="AG13" s="61" t="n">
        <f aca="false">AG11*AG12</f>
        <v>0</v>
      </c>
      <c r="AH13" s="61" t="n">
        <f aca="false">AH11*AH12</f>
        <v>0</v>
      </c>
      <c r="AI13" s="61" t="n">
        <f aca="false">AI11*AI12</f>
        <v>0</v>
      </c>
      <c r="AJ13" s="61" t="n">
        <f aca="false">AJ11*AJ12</f>
        <v>0</v>
      </c>
      <c r="AK13" s="61" t="n">
        <f aca="false">AK11*AK12</f>
        <v>0</v>
      </c>
      <c r="AL13" s="61" t="n">
        <f aca="false">AL11*AL12</f>
        <v>0</v>
      </c>
      <c r="AM13" s="61" t="n">
        <f aca="false">SUM(C13:AL13)</f>
        <v>0</v>
      </c>
    </row>
    <row r="14" customFormat="false" ht="15" hidden="false" customHeight="false" outlineLevel="0" collapsed="false">
      <c r="A14" s="10" t="s">
        <v>729</v>
      </c>
      <c r="B14" s="9" t="s">
        <v>730</v>
      </c>
      <c r="C14" s="61" t="n">
        <f aca="false">Assumptions!$G$9*Assumptions!$G$10*Assumptions!$G$11*C12</f>
        <v>0</v>
      </c>
      <c r="D14" s="61" t="n">
        <f aca="false">Assumptions!$G$9*Assumptions!$G$10*Assumptions!$G$11*D12</f>
        <v>0</v>
      </c>
      <c r="E14" s="61" t="n">
        <f aca="false">Assumptions!$G$9*Assumptions!$G$10*Assumptions!$G$11*E12</f>
        <v>0</v>
      </c>
      <c r="F14" s="61" t="n">
        <f aca="false">Assumptions!$G$9*Assumptions!$G$10*Assumptions!$G$11*F12</f>
        <v>0</v>
      </c>
      <c r="G14" s="61" t="n">
        <f aca="false">Assumptions!$G$9*Assumptions!$G$10*Assumptions!$G$11*G12</f>
        <v>0</v>
      </c>
      <c r="H14" s="61" t="n">
        <f aca="false">Assumptions!$G$9*Assumptions!$G$10*Assumptions!$G$11*H12</f>
        <v>0</v>
      </c>
      <c r="I14" s="61" t="n">
        <f aca="false">Assumptions!$G$9*Assumptions!$G$10*Assumptions!$G$11*I12</f>
        <v>0</v>
      </c>
      <c r="J14" s="61" t="n">
        <f aca="false">Assumptions!$G$9*Assumptions!$G$10*Assumptions!$G$11*J12</f>
        <v>0</v>
      </c>
      <c r="K14" s="61" t="n">
        <f aca="false">Assumptions!$G$9*Assumptions!$G$10*Assumptions!$G$11*K12</f>
        <v>0</v>
      </c>
      <c r="L14" s="61" t="n">
        <f aca="false">Assumptions!$G$9*Assumptions!$G$10*Assumptions!$G$11*L12</f>
        <v>0</v>
      </c>
      <c r="M14" s="61" t="n">
        <f aca="false">Assumptions!$G$9*Assumptions!$G$10*Assumptions!$G$11*M12</f>
        <v>0</v>
      </c>
      <c r="N14" s="61" t="n">
        <f aca="false">Assumptions!$G$9*Assumptions!$G$10*Assumptions!$G$11*N12</f>
        <v>0</v>
      </c>
      <c r="O14" s="61" t="n">
        <f aca="false">Assumptions!$G$9*Assumptions!$G$10*Assumptions!$G$11*O12</f>
        <v>0</v>
      </c>
      <c r="P14" s="61" t="n">
        <f aca="false">Assumptions!$G$9*Assumptions!$G$10*Assumptions!$G$11*P12</f>
        <v>0</v>
      </c>
      <c r="Q14" s="61" t="n">
        <f aca="false">Assumptions!$G$9*Assumptions!$G$10*Assumptions!$G$11*Q12</f>
        <v>0</v>
      </c>
      <c r="R14" s="61" t="n">
        <f aca="false">Assumptions!$G$9*Assumptions!$G$10*Assumptions!$G$11*R12</f>
        <v>0</v>
      </c>
      <c r="S14" s="61" t="n">
        <f aca="false">Assumptions!$G$9*Assumptions!$G$10*Assumptions!$G$11*S12</f>
        <v>0</v>
      </c>
      <c r="T14" s="61" t="n">
        <f aca="false">Assumptions!$G$9*Assumptions!$G$10*Assumptions!$G$11*T12</f>
        <v>0</v>
      </c>
      <c r="U14" s="61" t="n">
        <f aca="false">Assumptions!$G$9*Assumptions!$G$10*Assumptions!$G$11*U12</f>
        <v>0</v>
      </c>
      <c r="V14" s="61" t="n">
        <f aca="false">Assumptions!$G$9*Assumptions!$G$10*Assumptions!$G$11*V12</f>
        <v>0</v>
      </c>
      <c r="W14" s="61" t="n">
        <f aca="false">Assumptions!$G$9*Assumptions!$G$10*Assumptions!$G$11*W12</f>
        <v>0</v>
      </c>
      <c r="X14" s="61" t="n">
        <f aca="false">Assumptions!$G$9*Assumptions!$G$10*Assumptions!$G$11*X12</f>
        <v>0</v>
      </c>
      <c r="Y14" s="61" t="n">
        <f aca="false">Assumptions!$G$9*Assumptions!$G$10*Assumptions!$G$11*Y12</f>
        <v>0</v>
      </c>
      <c r="Z14" s="61" t="n">
        <f aca="false">Assumptions!$G$9*Assumptions!$G$10*Assumptions!$G$11*Z12</f>
        <v>0</v>
      </c>
      <c r="AA14" s="61" t="n">
        <f aca="false">Assumptions!$G$9*Assumptions!$G$10*Assumptions!$G$11*AA12</f>
        <v>0</v>
      </c>
      <c r="AB14" s="61" t="n">
        <f aca="false">Assumptions!$G$9*Assumptions!$G$10*Assumptions!$G$11*AB12</f>
        <v>0</v>
      </c>
      <c r="AC14" s="61" t="n">
        <f aca="false">Assumptions!$G$9*Assumptions!$G$10*Assumptions!$G$11*AC12</f>
        <v>0</v>
      </c>
      <c r="AD14" s="61" t="n">
        <f aca="false">Assumptions!$G$9*Assumptions!$G$10*Assumptions!$G$11*AD12</f>
        <v>0</v>
      </c>
      <c r="AE14" s="61" t="n">
        <f aca="false">Assumptions!$G$9*Assumptions!$G$10*Assumptions!$G$11*AE12</f>
        <v>0</v>
      </c>
      <c r="AF14" s="61" t="n">
        <f aca="false">Assumptions!$G$9*Assumptions!$G$10*Assumptions!$G$11*AF12</f>
        <v>0</v>
      </c>
      <c r="AG14" s="61" t="n">
        <f aca="false">Assumptions!$G$9*Assumptions!$G$10*Assumptions!$G$11*AG12</f>
        <v>0</v>
      </c>
      <c r="AH14" s="61" t="n">
        <f aca="false">Assumptions!$G$9*Assumptions!$G$10*Assumptions!$G$11*AH12</f>
        <v>0</v>
      </c>
      <c r="AI14" s="61" t="n">
        <f aca="false">Assumptions!$G$9*Assumptions!$G$10*Assumptions!$G$11*AI12</f>
        <v>0</v>
      </c>
      <c r="AJ14" s="61" t="n">
        <f aca="false">Assumptions!$G$9*Assumptions!$G$10*Assumptions!$G$11*AJ12</f>
        <v>0</v>
      </c>
      <c r="AK14" s="61" t="n">
        <f aca="false">Assumptions!$G$9*Assumptions!$G$10*Assumptions!$G$11*AK12</f>
        <v>0</v>
      </c>
      <c r="AL14" s="61" t="n">
        <f aca="false">Assumptions!$G$9*Assumptions!$G$10*Assumptions!$G$11*AL12</f>
        <v>0</v>
      </c>
      <c r="AM14" s="61" t="n">
        <f aca="false">SUM(C14:AL14)</f>
        <v>0</v>
      </c>
    </row>
    <row r="15" customFormat="false" ht="15" hidden="false" customHeight="false" outlineLevel="0" collapsed="false">
      <c r="A15" s="10" t="s">
        <v>731</v>
      </c>
      <c r="B15" s="9" t="s">
        <v>82</v>
      </c>
      <c r="C15" s="61" t="n">
        <f aca="false">MIN(Assumptions!$G$19,Assumptions!$G$17*(1+Assumptions!$G$18)^(C$5-1))</f>
        <v>2200</v>
      </c>
      <c r="D15" s="61" t="n">
        <f aca="false">MIN(Assumptions!$G$19,Assumptions!$G$17*(1+Assumptions!$G$18)^(D$5-1))</f>
        <v>2398</v>
      </c>
      <c r="E15" s="61" t="n">
        <f aca="false">MIN(Assumptions!$G$19,Assumptions!$G$17*(1+Assumptions!$G$18)^(E$5-1))</f>
        <v>2613.82</v>
      </c>
      <c r="F15" s="61" t="n">
        <f aca="false">MIN(Assumptions!$G$19,Assumptions!$G$17*(1+Assumptions!$G$18)^(F$5-1))</f>
        <v>2849.0638</v>
      </c>
      <c r="G15" s="61" t="n">
        <f aca="false">MIN(Assumptions!$G$19,Assumptions!$G$17*(1+Assumptions!$G$18)^(G$5-1))</f>
        <v>3105.479542</v>
      </c>
      <c r="H15" s="61" t="n">
        <f aca="false">MIN(Assumptions!$G$19,Assumptions!$G$17*(1+Assumptions!$G$18)^(H$5-1))</f>
        <v>3384.97270078</v>
      </c>
      <c r="I15" s="61" t="n">
        <f aca="false">MIN(Assumptions!$G$19,Assumptions!$G$17*(1+Assumptions!$G$18)^(I$5-1))</f>
        <v>3689.6202438502</v>
      </c>
      <c r="J15" s="61" t="n">
        <f aca="false">MIN(Assumptions!$G$19,Assumptions!$G$17*(1+Assumptions!$G$18)^(J$5-1))</f>
        <v>4021.68606579672</v>
      </c>
      <c r="K15" s="61" t="n">
        <f aca="false">MIN(Assumptions!$G$19,Assumptions!$G$17*(1+Assumptions!$G$18)^(K$5-1))</f>
        <v>4383.63781171843</v>
      </c>
      <c r="L15" s="61" t="n">
        <f aca="false">MIN(Assumptions!$G$19,Assumptions!$G$17*(1+Assumptions!$G$18)^(L$5-1))</f>
        <v>4778.16521477308</v>
      </c>
      <c r="M15" s="61" t="n">
        <f aca="false">MIN(Assumptions!$G$19,Assumptions!$G$17*(1+Assumptions!$G$18)^(M$5-1))</f>
        <v>5208.20008410266</v>
      </c>
      <c r="N15" s="61" t="n">
        <f aca="false">MIN(Assumptions!$G$19,Assumptions!$G$17*(1+Assumptions!$G$18)^(N$5-1))</f>
        <v>5676.9380916719</v>
      </c>
      <c r="O15" s="61" t="n">
        <f aca="false">MIN(Assumptions!$G$19,Assumptions!$G$17*(1+Assumptions!$G$18)^(O$5-1))</f>
        <v>6187.86251992237</v>
      </c>
      <c r="P15" s="61" t="n">
        <f aca="false">MIN(Assumptions!$G$19,Assumptions!$G$17*(1+Assumptions!$G$18)^(P$5-1))</f>
        <v>6744.77014671539</v>
      </c>
      <c r="Q15" s="61" t="n">
        <f aca="false">MIN(Assumptions!$G$19,Assumptions!$G$17*(1+Assumptions!$G$18)^(Q$5-1))</f>
        <v>7351.79945991977</v>
      </c>
      <c r="R15" s="61" t="n">
        <f aca="false">MIN(Assumptions!$G$19,Assumptions!$G$17*(1+Assumptions!$G$18)^(R$5-1))</f>
        <v>8013.46141131255</v>
      </c>
      <c r="S15" s="61" t="n">
        <f aca="false">MIN(Assumptions!$G$19,Assumptions!$G$17*(1+Assumptions!$G$18)^(S$5-1))</f>
        <v>8734.67293833068</v>
      </c>
      <c r="T15" s="61" t="n">
        <f aca="false">MIN(Assumptions!$G$19,Assumptions!$G$17*(1+Assumptions!$G$18)^(T$5-1))</f>
        <v>9520.79350278045</v>
      </c>
      <c r="U15" s="61" t="n">
        <f aca="false">MIN(Assumptions!$G$19,Assumptions!$G$17*(1+Assumptions!$G$18)^(U$5-1))</f>
        <v>10377.6649180307</v>
      </c>
      <c r="V15" s="61" t="n">
        <f aca="false">MIN(Assumptions!$G$19,Assumptions!$G$17*(1+Assumptions!$G$18)^(V$5-1))</f>
        <v>11311.6547606535</v>
      </c>
      <c r="W15" s="61" t="n">
        <f aca="false">MIN(Assumptions!$G$19,Assumptions!$G$17*(1+Assumptions!$G$18)^(W$5-1))</f>
        <v>12329.7036891123</v>
      </c>
      <c r="X15" s="61" t="n">
        <f aca="false">MIN(Assumptions!$G$19,Assumptions!$G$17*(1+Assumptions!$G$18)^(X$5-1))</f>
        <v>13439.3770211324</v>
      </c>
      <c r="Y15" s="61" t="n">
        <f aca="false">MIN(Assumptions!$G$19,Assumptions!$G$17*(1+Assumptions!$G$18)^(Y$5-1))</f>
        <v>14648.9209530343</v>
      </c>
      <c r="Z15" s="61" t="n">
        <f aca="false">MIN(Assumptions!$G$19,Assumptions!$G$17*(1+Assumptions!$G$18)^(Z$5-1))</f>
        <v>15967.3238388074</v>
      </c>
      <c r="AA15" s="61" t="n">
        <f aca="false">MIN(Assumptions!$G$19,Assumptions!$G$17*(1+Assumptions!$G$18)^(AA$5-1))</f>
        <v>17404.3829843</v>
      </c>
      <c r="AB15" s="61" t="n">
        <f aca="false">MIN(Assumptions!$G$19,Assumptions!$G$17*(1+Assumptions!$G$18)^(AB$5-1))</f>
        <v>18970.777452887</v>
      </c>
      <c r="AC15" s="61" t="n">
        <f aca="false">MIN(Assumptions!$G$19,Assumptions!$G$17*(1+Assumptions!$G$18)^(AC$5-1))</f>
        <v>20678.1474236469</v>
      </c>
      <c r="AD15" s="61" t="n">
        <f aca="false">MIN(Assumptions!$G$19,Assumptions!$G$17*(1+Assumptions!$G$18)^(AD$5-1))</f>
        <v>22539.1806917751</v>
      </c>
      <c r="AE15" s="61" t="n">
        <f aca="false">MIN(Assumptions!$G$19,Assumptions!$G$17*(1+Assumptions!$G$18)^(AE$5-1))</f>
        <v>24567.7069540349</v>
      </c>
      <c r="AF15" s="61" t="n">
        <f aca="false">MIN(Assumptions!$G$19,Assumptions!$G$17*(1+Assumptions!$G$18)^(AF$5-1))</f>
        <v>26778.800579898</v>
      </c>
      <c r="AG15" s="61" t="n">
        <f aca="false">MIN(Assumptions!$G$19,Assumptions!$G$17*(1+Assumptions!$G$18)^(AG$5-1))</f>
        <v>29188.8926320888</v>
      </c>
      <c r="AH15" s="61" t="n">
        <f aca="false">MIN(Assumptions!$G$19,Assumptions!$G$17*(1+Assumptions!$G$18)^(AH$5-1))</f>
        <v>31815.8929689768</v>
      </c>
      <c r="AI15" s="61" t="n">
        <f aca="false">MIN(Assumptions!$G$19,Assumptions!$G$17*(1+Assumptions!$G$18)^(AI$5-1))</f>
        <v>34679.3233361847</v>
      </c>
      <c r="AJ15" s="61" t="n">
        <f aca="false">MIN(Assumptions!$G$19,Assumptions!$G$17*(1+Assumptions!$G$18)^(AJ$5-1))</f>
        <v>37800.4624364413</v>
      </c>
      <c r="AK15" s="61" t="n">
        <f aca="false">MIN(Assumptions!$G$19,Assumptions!$G$17*(1+Assumptions!$G$18)^(AK$5-1))</f>
        <v>41202.5040557211</v>
      </c>
      <c r="AL15" s="61" t="n">
        <f aca="false">MIN(Assumptions!$G$19,Assumptions!$G$17*(1+Assumptions!$G$18)^(AL$5-1))</f>
        <v>44910.729420736</v>
      </c>
      <c r="AM15" s="61" t="n">
        <f aca="false">SUM(C15:AL15)</f>
        <v>519474.389651135</v>
      </c>
    </row>
    <row r="16" customFormat="false" ht="15" hidden="false" customHeight="false" outlineLevel="0" collapsed="false">
      <c r="A16" s="38" t="s">
        <v>732</v>
      </c>
      <c r="B16" s="9" t="s">
        <v>95</v>
      </c>
      <c r="C16" s="53" t="n">
        <f aca="false">Assumptions!$G$20</f>
        <v>8000</v>
      </c>
      <c r="D16" s="53" t="n">
        <f aca="false">IF(D8=0,Assumptions!$G$20,MIN(Assumptions!$G$24,MAX(Assumptions!$G$21,C72*Assumptions!$G$22)))</f>
        <v>30000</v>
      </c>
      <c r="E16" s="53" t="n">
        <f aca="false">IF(E8=0,Assumptions!$G$20,MIN(Assumptions!$G$24,MAX(Assumptions!$G$21,D72*Assumptions!$G$22)))</f>
        <v>30000</v>
      </c>
      <c r="F16" s="53" t="n">
        <f aca="false">IF(F8=0,Assumptions!$G$20,MIN(Assumptions!$G$24,MAX(Assumptions!$G$21,E72*Assumptions!$G$22)))</f>
        <v>30000</v>
      </c>
      <c r="G16" s="53" t="n">
        <f aca="false">IF(G8=0,Assumptions!$G$20,MIN(Assumptions!$G$24,MAX(Assumptions!$G$21,F72*Assumptions!$G$22)))</f>
        <v>30000</v>
      </c>
      <c r="H16" s="53" t="n">
        <f aca="false">IF(H8=0,Assumptions!$G$20,MIN(Assumptions!$G$24,MAX(Assumptions!$G$21,G72*Assumptions!$G$22)))</f>
        <v>30000</v>
      </c>
      <c r="I16" s="53" t="n">
        <f aca="false">IF(I8=0,Assumptions!$G$20,MIN(Assumptions!$G$24,MAX(Assumptions!$G$21,H72*Assumptions!$G$22)))</f>
        <v>30000</v>
      </c>
      <c r="J16" s="53" t="n">
        <f aca="false">IF(J8=0,Assumptions!$G$20,MIN(Assumptions!$G$24,MAX(Assumptions!$G$21,I72*Assumptions!$G$22)))</f>
        <v>30000</v>
      </c>
      <c r="K16" s="53" t="n">
        <f aca="false">IF(K8=0,Assumptions!$G$20,MIN(Assumptions!$G$24,MAX(Assumptions!$G$21,J72*Assumptions!$G$22)))</f>
        <v>30000</v>
      </c>
      <c r="L16" s="53" t="n">
        <f aca="false">IF(L8=0,Assumptions!$G$20,MIN(Assumptions!$G$24,MAX(Assumptions!$G$21,K72*Assumptions!$G$22)))</f>
        <v>30000</v>
      </c>
      <c r="M16" s="53" t="n">
        <f aca="false">IF(M8=0,Assumptions!$G$20,MIN(Assumptions!$G$24,MAX(Assumptions!$G$21,L72*Assumptions!$G$22)))</f>
        <v>30000</v>
      </c>
      <c r="N16" s="53" t="n">
        <f aca="false">IF(N8=0,Assumptions!$G$20,MIN(Assumptions!$G$24,MAX(Assumptions!$G$21,M72*Assumptions!$G$22)))</f>
        <v>30000</v>
      </c>
      <c r="O16" s="53" t="n">
        <f aca="false">IF(O8=0,Assumptions!$G$20,MIN(Assumptions!$G$24,MAX(Assumptions!$G$21,N72*Assumptions!$G$22)))</f>
        <v>30000</v>
      </c>
      <c r="P16" s="53" t="n">
        <f aca="false">IF(P8=0,Assumptions!$G$20,MIN(Assumptions!$G$24,MAX(Assumptions!$G$21,O72*Assumptions!$G$22)))</f>
        <v>30000</v>
      </c>
      <c r="Q16" s="53" t="n">
        <f aca="false">IF(Q8=0,Assumptions!$G$20,MIN(Assumptions!$G$24,MAX(Assumptions!$G$21,P72*Assumptions!$G$22)))</f>
        <v>30000</v>
      </c>
      <c r="R16" s="53" t="n">
        <f aca="false">IF(R8=0,Assumptions!$G$20,MIN(Assumptions!$G$24,MAX(Assumptions!$G$21,Q72*Assumptions!$G$22)))</f>
        <v>30000</v>
      </c>
      <c r="S16" s="53" t="n">
        <f aca="false">IF(S8=0,Assumptions!$G$20,MIN(Assumptions!$G$24,MAX(Assumptions!$G$21,R72*Assumptions!$G$22)))</f>
        <v>30000</v>
      </c>
      <c r="T16" s="53" t="n">
        <f aca="false">IF(T8=0,Assumptions!$G$20,MIN(Assumptions!$G$24,MAX(Assumptions!$G$21,S72*Assumptions!$G$22)))</f>
        <v>30000</v>
      </c>
      <c r="U16" s="53" t="n">
        <f aca="false">IF(U8=0,Assumptions!$G$20,MIN(Assumptions!$G$24,MAX(Assumptions!$G$21,T72*Assumptions!$G$22)))</f>
        <v>30000</v>
      </c>
      <c r="V16" s="53" t="n">
        <f aca="false">IF(V8=0,Assumptions!$G$20,MIN(Assumptions!$G$24,MAX(Assumptions!$G$21,U72*Assumptions!$G$22)))</f>
        <v>31418.4363149437</v>
      </c>
      <c r="W16" s="53" t="n">
        <f aca="false">IF(W8=0,Assumptions!$G$20,MIN(Assumptions!$G$24,MAX(Assumptions!$G$21,V72*Assumptions!$G$22)))</f>
        <v>33473.1334338585</v>
      </c>
      <c r="X16" s="53" t="n">
        <f aca="false">IF(X8=0,Assumptions!$G$20,MIN(Assumptions!$G$24,MAX(Assumptions!$G$21,W72*Assumptions!$G$22)))</f>
        <v>35768.3162120958</v>
      </c>
      <c r="Y16" s="53" t="n">
        <f aca="false">IF(Y8=0,Assumptions!$G$20,MIN(Assumptions!$G$24,MAX(Assumptions!$G$21,X72*Assumptions!$G$22)))</f>
        <v>38296.1143989489</v>
      </c>
      <c r="Z16" s="53" t="n">
        <f aca="false">IF(Z8=0,Assumptions!$G$20,MIN(Assumptions!$G$24,MAX(Assumptions!$G$21,Y72*Assumptions!$G$22)))</f>
        <v>41073.0220230843</v>
      </c>
      <c r="AA16" s="53" t="n">
        <f aca="false">IF(AA8=0,Assumptions!$G$20,MIN(Assumptions!$G$24,MAX(Assumptions!$G$21,Z72*Assumptions!$G$22)))</f>
        <v>44121.4643953032</v>
      </c>
      <c r="AB16" s="53" t="n">
        <f aca="false">IF(AB8=0,Assumptions!$G$20,MIN(Assumptions!$G$24,MAX(Assumptions!$G$21,AA72*Assumptions!$G$22)))</f>
        <v>47466.4634592922</v>
      </c>
      <c r="AC16" s="53" t="n">
        <f aca="false">IF(AC8=0,Assumptions!$G$20,MIN(Assumptions!$G$24,MAX(Assumptions!$G$21,AB72*Assumptions!$G$22)))</f>
        <v>51064.7526279795</v>
      </c>
      <c r="AD16" s="53" t="n">
        <f aca="false">IF(AD8=0,Assumptions!$G$20,MIN(Assumptions!$G$24,MAX(Assumptions!$G$21,AC72*Assumptions!$G$22)))</f>
        <v>54911.2624246507</v>
      </c>
      <c r="AE16" s="53" t="n">
        <f aca="false">IF(AE8=0,Assumptions!$G$20,MIN(Assumptions!$G$24,MAX(Assumptions!$G$21,AD72*Assumptions!$G$22)))</f>
        <v>59045.3352730078</v>
      </c>
      <c r="AF16" s="53" t="n">
        <f aca="false">IF(AF8=0,Assumptions!$G$20,MIN(Assumptions!$G$24,MAX(Assumptions!$G$21,AE72*Assumptions!$G$22)))</f>
        <v>63493.4025835492</v>
      </c>
      <c r="AG16" s="53" t="n">
        <f aca="false">IF(AG8=0,Assumptions!$G$20,MIN(Assumptions!$G$24,MAX(Assumptions!$G$21,AF72*Assumptions!$G$22)))</f>
        <v>68283.5491401044</v>
      </c>
      <c r="AH16" s="53" t="n">
        <f aca="false">IF(AH8=0,Assumptions!$G$20,MIN(Assumptions!$G$24,MAX(Assumptions!$G$21,AG72*Assumptions!$G$22)))</f>
        <v>73446.0026067968</v>
      </c>
      <c r="AI16" s="53" t="n">
        <f aca="false">IF(AI8=0,Assumptions!$G$20,MIN(Assumptions!$G$24,MAX(Assumptions!$G$21,AH72*Assumptions!$G$22)))</f>
        <v>79013.4379889591</v>
      </c>
      <c r="AJ16" s="53" t="n">
        <f aca="false">IF(AJ8=0,Assumptions!$G$20,MIN(Assumptions!$G$24,MAX(Assumptions!$G$21,AI72*Assumptions!$G$22)))</f>
        <v>85021.2109154047</v>
      </c>
      <c r="AK16" s="53" t="n">
        <f aca="false">IF(AK8=0,Assumptions!$G$20,MIN(Assumptions!$G$24,MAX(Assumptions!$G$21,AJ72*Assumptions!$G$22)))</f>
        <v>91507.6016327116</v>
      </c>
      <c r="AL16" s="53" t="n">
        <f aca="false">IF(AL8=0,Assumptions!$G$20,MIN(Assumptions!$G$24,MAX(Assumptions!$G$21,AK72*Assumptions!$G$22)))</f>
        <v>98514.0781974886</v>
      </c>
      <c r="AM16" s="53" t="n">
        <f aca="false">SUM(C16:AL16)</f>
        <v>1543917.58362818</v>
      </c>
    </row>
    <row r="17" customFormat="false" ht="15" hidden="false" customHeight="false" outlineLevel="0" collapsed="false">
      <c r="A17" s="10" t="s">
        <v>733</v>
      </c>
      <c r="B17" s="9" t="s">
        <v>82</v>
      </c>
      <c r="C17" s="61" t="n">
        <f aca="false">(C14*Assumptions!$G$27+C15*Assumptions!$G$28)*Assumptions!$G$29*C8</f>
        <v>0</v>
      </c>
      <c r="D17" s="61" t="n">
        <f aca="false">(D14*Assumptions!$G$27+D15*Assumptions!$G$28)*Assumptions!$G$29*D8</f>
        <v>124.696</v>
      </c>
      <c r="E17" s="61" t="n">
        <f aca="false">(E14*Assumptions!$G$27+E15*Assumptions!$G$28)*Assumptions!$G$29*E8</f>
        <v>135.91864</v>
      </c>
      <c r="F17" s="61" t="n">
        <f aca="false">(F14*Assumptions!$G$27+F15*Assumptions!$G$28)*Assumptions!$G$29*F8</f>
        <v>148.1513176</v>
      </c>
      <c r="G17" s="61" t="n">
        <f aca="false">(G14*Assumptions!$G$27+G15*Assumptions!$G$28)*Assumptions!$G$29*G8</f>
        <v>161.484936184</v>
      </c>
      <c r="H17" s="61" t="n">
        <f aca="false">(H14*Assumptions!$G$27+H15*Assumptions!$G$28)*Assumptions!$G$29*H8</f>
        <v>176.01858044056</v>
      </c>
      <c r="I17" s="61" t="n">
        <f aca="false">(I14*Assumptions!$G$27+I15*Assumptions!$G$28)*Assumptions!$G$29*I8</f>
        <v>191.860252680211</v>
      </c>
      <c r="J17" s="61" t="n">
        <f aca="false">(J14*Assumptions!$G$27+J15*Assumptions!$G$28)*Assumptions!$G$29*J8</f>
        <v>209.127675421429</v>
      </c>
      <c r="K17" s="61" t="n">
        <f aca="false">(K14*Assumptions!$G$27+K15*Assumptions!$G$28)*Assumptions!$G$29*K8</f>
        <v>227.949166209358</v>
      </c>
      <c r="L17" s="61" t="n">
        <f aca="false">(L14*Assumptions!$G$27+L15*Assumptions!$G$28)*Assumptions!$G$29*L8</f>
        <v>248.4645911682</v>
      </c>
      <c r="M17" s="61" t="n">
        <f aca="false">(M14*Assumptions!$G$27+M15*Assumptions!$G$28)*Assumptions!$G$29*M8</f>
        <v>270.826404373338</v>
      </c>
      <c r="N17" s="61" t="n">
        <f aca="false">(N14*Assumptions!$G$27+N15*Assumptions!$G$28)*Assumptions!$G$29*N8</f>
        <v>295.200780766939</v>
      </c>
      <c r="O17" s="61" t="n">
        <f aca="false">(O14*Assumptions!$G$27+O15*Assumptions!$G$28)*Assumptions!$G$29*O8</f>
        <v>321.768851035963</v>
      </c>
      <c r="P17" s="61" t="n">
        <f aca="false">(P14*Assumptions!$G$27+P15*Assumptions!$G$28)*Assumptions!$G$29*P8</f>
        <v>350.7280476292</v>
      </c>
      <c r="Q17" s="61" t="n">
        <f aca="false">(Q14*Assumptions!$G$27+Q15*Assumptions!$G$28)*Assumptions!$G$29*Q8</f>
        <v>382.293571915828</v>
      </c>
      <c r="R17" s="61" t="n">
        <f aca="false">(R14*Assumptions!$G$27+R15*Assumptions!$G$28)*Assumptions!$G$29*R8</f>
        <v>416.699993388253</v>
      </c>
      <c r="S17" s="61" t="n">
        <f aca="false">(S14*Assumptions!$G$27+S15*Assumptions!$G$28)*Assumptions!$G$29*S8</f>
        <v>454.202992793196</v>
      </c>
      <c r="T17" s="61" t="n">
        <f aca="false">(T14*Assumptions!$G$27+T15*Assumptions!$G$28)*Assumptions!$G$29*T8</f>
        <v>495.081262144583</v>
      </c>
      <c r="U17" s="61" t="n">
        <f aca="false">(U14*Assumptions!$G$27+U15*Assumptions!$G$28)*Assumptions!$G$29*U8</f>
        <v>539.638575737596</v>
      </c>
      <c r="V17" s="61" t="n">
        <f aca="false">(V14*Assumptions!$G$27+V15*Assumptions!$G$28)*Assumptions!$G$29*V8</f>
        <v>588.206047553979</v>
      </c>
      <c r="W17" s="61" t="n">
        <f aca="false">(W14*Assumptions!$G$27+W15*Assumptions!$G$28)*Assumptions!$G$29*W8</f>
        <v>641.144591833838</v>
      </c>
      <c r="X17" s="61" t="n">
        <f aca="false">(X14*Assumptions!$G$27+X15*Assumptions!$G$28)*Assumptions!$G$29*X8</f>
        <v>698.847605098883</v>
      </c>
      <c r="Y17" s="61" t="n">
        <f aca="false">(Y14*Assumptions!$G$27+Y15*Assumptions!$G$28)*Assumptions!$G$29*Y8</f>
        <v>761.743889557783</v>
      </c>
      <c r="Z17" s="61" t="n">
        <f aca="false">(Z14*Assumptions!$G$27+Z15*Assumptions!$G$28)*Assumptions!$G$29*Z8</f>
        <v>830.300839617983</v>
      </c>
      <c r="AA17" s="61" t="n">
        <f aca="false">(AA14*Assumptions!$G$27+AA15*Assumptions!$G$28)*Assumptions!$G$29*AA8</f>
        <v>905.027915183602</v>
      </c>
      <c r="AB17" s="61" t="n">
        <f aca="false">(AB14*Assumptions!$G$27+AB15*Assumptions!$G$28)*Assumptions!$G$29*AB8</f>
        <v>986.480427550126</v>
      </c>
      <c r="AC17" s="61" t="n">
        <f aca="false">(AC14*Assumptions!$G$27+AC15*Assumptions!$G$28)*Assumptions!$G$29*AC8</f>
        <v>1075.26366602964</v>
      </c>
      <c r="AD17" s="61" t="n">
        <f aca="false">(AD14*Assumptions!$G$27+AD15*Assumptions!$G$28)*Assumptions!$G$29*AD8</f>
        <v>1172.0373959723</v>
      </c>
      <c r="AE17" s="61" t="n">
        <f aca="false">(AE14*Assumptions!$G$27+AE15*Assumptions!$G$28)*Assumptions!$G$29*AE8</f>
        <v>1277.52076160981</v>
      </c>
      <c r="AF17" s="61" t="n">
        <f aca="false">(AF14*Assumptions!$G$27+AF15*Assumptions!$G$28)*Assumptions!$G$29*AF8</f>
        <v>1392.4976301547</v>
      </c>
      <c r="AG17" s="61" t="n">
        <f aca="false">(AG14*Assumptions!$G$27+AG15*Assumptions!$G$28)*Assumptions!$G$29*AG8</f>
        <v>1517.82241686862</v>
      </c>
      <c r="AH17" s="61" t="n">
        <f aca="false">(AH14*Assumptions!$G$27+AH15*Assumptions!$G$28)*Assumptions!$G$29*AH8</f>
        <v>1654.42643438679</v>
      </c>
      <c r="AI17" s="61" t="n">
        <f aca="false">(AI14*Assumptions!$G$27+AI15*Assumptions!$G$28)*Assumptions!$G$29*AI8</f>
        <v>1803.32481348161</v>
      </c>
      <c r="AJ17" s="61" t="n">
        <f aca="false">(AJ14*Assumptions!$G$27+AJ15*Assumptions!$G$28)*Assumptions!$G$29*AJ8</f>
        <v>1965.62404669495</v>
      </c>
      <c r="AK17" s="61" t="n">
        <f aca="false">(AK14*Assumptions!$G$27+AK15*Assumptions!$G$28)*Assumptions!$G$29*AK8</f>
        <v>2142.5302108975</v>
      </c>
      <c r="AL17" s="61" t="n">
        <f aca="false">(AL14*Assumptions!$G$27+AL15*Assumptions!$G$28)*Assumptions!$G$29*AL8</f>
        <v>2335.35792987827</v>
      </c>
      <c r="AM17" s="61" t="n">
        <f aca="false">SUM(C17:AL17)</f>
        <v>26898.268261859</v>
      </c>
    </row>
    <row r="18" customFormat="false" ht="15" hidden="false" customHeight="false" outlineLevel="0" collapsed="false">
      <c r="A18" s="10" t="s">
        <v>734</v>
      </c>
      <c r="B18" s="9" t="s">
        <v>95</v>
      </c>
      <c r="C18" s="70" t="n">
        <f aca="false">MIN(C16,C17*Assumptions!$G$30)</f>
        <v>0</v>
      </c>
      <c r="D18" s="70" t="n">
        <f aca="false">MIN(D16,D17*Assumptions!$G$30)</f>
        <v>137.1656</v>
      </c>
      <c r="E18" s="70" t="n">
        <f aca="false">MIN(E16,E17*Assumptions!$G$30)</f>
        <v>149.510504</v>
      </c>
      <c r="F18" s="70" t="n">
        <f aca="false">MIN(F16,F17*Assumptions!$G$30)</f>
        <v>162.96644936</v>
      </c>
      <c r="G18" s="70" t="n">
        <f aca="false">MIN(G16,G17*Assumptions!$G$30)</f>
        <v>177.6334298024</v>
      </c>
      <c r="H18" s="70" t="n">
        <f aca="false">MIN(H16,H17*Assumptions!$G$30)</f>
        <v>193.620438484616</v>
      </c>
      <c r="I18" s="70" t="n">
        <f aca="false">MIN(I16,I17*Assumptions!$G$30)</f>
        <v>211.046277948232</v>
      </c>
      <c r="J18" s="70" t="n">
        <f aca="false">MIN(J16,J17*Assumptions!$G$30)</f>
        <v>230.040442963572</v>
      </c>
      <c r="K18" s="70" t="n">
        <f aca="false">MIN(K16,K17*Assumptions!$G$30)</f>
        <v>250.744082830294</v>
      </c>
      <c r="L18" s="70" t="n">
        <f aca="false">MIN(L16,L17*Assumptions!$G$30)</f>
        <v>273.31105028502</v>
      </c>
      <c r="M18" s="70" t="n">
        <f aca="false">MIN(M16,M17*Assumptions!$G$30)</f>
        <v>297.909044810672</v>
      </c>
      <c r="N18" s="70" t="n">
        <f aca="false">MIN(N16,N17*Assumptions!$G$30)</f>
        <v>324.720858843633</v>
      </c>
      <c r="O18" s="70" t="n">
        <f aca="false">MIN(O16,O17*Assumptions!$G$30)</f>
        <v>353.94573613956</v>
      </c>
      <c r="P18" s="70" t="n">
        <f aca="false">MIN(P16,P17*Assumptions!$G$30)</f>
        <v>385.80085239212</v>
      </c>
      <c r="Q18" s="70" t="n">
        <f aca="false">MIN(Q16,Q17*Assumptions!$G$30)</f>
        <v>420.522929107411</v>
      </c>
      <c r="R18" s="70" t="n">
        <f aca="false">MIN(R16,R17*Assumptions!$G$30)</f>
        <v>458.369992727078</v>
      </c>
      <c r="S18" s="70" t="n">
        <f aca="false">MIN(S16,S17*Assumptions!$G$30)</f>
        <v>499.623292072515</v>
      </c>
      <c r="T18" s="70" t="n">
        <f aca="false">MIN(T16,T17*Assumptions!$G$30)</f>
        <v>544.589388359042</v>
      </c>
      <c r="U18" s="70" t="n">
        <f aca="false">MIN(U16,U17*Assumptions!$G$30)</f>
        <v>593.602433311355</v>
      </c>
      <c r="V18" s="70" t="n">
        <f aca="false">MIN(V16,V17*Assumptions!$G$30)</f>
        <v>647.026652309377</v>
      </c>
      <c r="W18" s="70" t="n">
        <f aca="false">MIN(W16,W17*Assumptions!$G$30)</f>
        <v>705.259051017221</v>
      </c>
      <c r="X18" s="70" t="n">
        <f aca="false">MIN(X16,X17*Assumptions!$G$30)</f>
        <v>768.732365608771</v>
      </c>
      <c r="Y18" s="70" t="n">
        <f aca="false">MIN(Y16,Y17*Assumptions!$G$30)</f>
        <v>837.918278513561</v>
      </c>
      <c r="Z18" s="70" t="n">
        <f aca="false">MIN(Z16,Z17*Assumptions!$G$30)</f>
        <v>913.330923579781</v>
      </c>
      <c r="AA18" s="70" t="n">
        <f aca="false">MIN(AA16,AA17*Assumptions!$G$30)</f>
        <v>995.530706701962</v>
      </c>
      <c r="AB18" s="70" t="n">
        <f aca="false">MIN(AB16,AB17*Assumptions!$G$30)</f>
        <v>1085.12847030514</v>
      </c>
      <c r="AC18" s="70" t="n">
        <f aca="false">MIN(AC16,AC17*Assumptions!$G$30)</f>
        <v>1182.7900326326</v>
      </c>
      <c r="AD18" s="70" t="n">
        <f aca="false">MIN(AD16,AD17*Assumptions!$G$30)</f>
        <v>1289.24113556954</v>
      </c>
      <c r="AE18" s="70" t="n">
        <f aca="false">MIN(AE16,AE17*Assumptions!$G$30)</f>
        <v>1405.27283777079</v>
      </c>
      <c r="AF18" s="70" t="n">
        <f aca="false">MIN(AF16,AF17*Assumptions!$G$30)</f>
        <v>1531.74739317017</v>
      </c>
      <c r="AG18" s="70" t="n">
        <f aca="false">MIN(AG16,AG17*Assumptions!$G$30)</f>
        <v>1669.60465855548</v>
      </c>
      <c r="AH18" s="70" t="n">
        <f aca="false">MIN(AH16,AH17*Assumptions!$G$30)</f>
        <v>1819.86907782547</v>
      </c>
      <c r="AI18" s="70" t="n">
        <f aca="false">MIN(AI16,AI17*Assumptions!$G$30)</f>
        <v>1983.65729482977</v>
      </c>
      <c r="AJ18" s="70" t="n">
        <f aca="false">MIN(AJ16,AJ17*Assumptions!$G$30)</f>
        <v>2162.18645136445</v>
      </c>
      <c r="AK18" s="70" t="n">
        <f aca="false">MIN(AK16,AK17*Assumptions!$G$30)</f>
        <v>2356.78323198725</v>
      </c>
      <c r="AL18" s="70" t="n">
        <f aca="false">MIN(AL16,AL17*Assumptions!$G$30)</f>
        <v>2568.8937228661</v>
      </c>
      <c r="AM18" s="70" t="n">
        <f aca="false">SUM(C18:AL18)</f>
        <v>29588.0950880449</v>
      </c>
    </row>
    <row r="19" customFormat="false" ht="15" hidden="false" customHeight="false" outlineLevel="0" collapsed="false">
      <c r="A19" s="10" t="s">
        <v>735</v>
      </c>
      <c r="B19" s="9" t="s">
        <v>82</v>
      </c>
      <c r="C19" s="61" t="n">
        <f aca="false">C18/Assumptions!$G$30</f>
        <v>0</v>
      </c>
      <c r="D19" s="61" t="n">
        <f aca="false">D18/Assumptions!$G$30</f>
        <v>124.696</v>
      </c>
      <c r="E19" s="61" t="n">
        <f aca="false">E18/Assumptions!$G$30</f>
        <v>135.91864</v>
      </c>
      <c r="F19" s="61" t="n">
        <f aca="false">F18/Assumptions!$G$30</f>
        <v>148.1513176</v>
      </c>
      <c r="G19" s="61" t="n">
        <f aca="false">G18/Assumptions!$G$30</f>
        <v>161.484936184</v>
      </c>
      <c r="H19" s="61" t="n">
        <f aca="false">H18/Assumptions!$G$30</f>
        <v>176.01858044056</v>
      </c>
      <c r="I19" s="61" t="n">
        <f aca="false">I18/Assumptions!$G$30</f>
        <v>191.860252680211</v>
      </c>
      <c r="J19" s="61" t="n">
        <f aca="false">J18/Assumptions!$G$30</f>
        <v>209.127675421429</v>
      </c>
      <c r="K19" s="61" t="n">
        <f aca="false">K18/Assumptions!$G$30</f>
        <v>227.949166209358</v>
      </c>
      <c r="L19" s="61" t="n">
        <f aca="false">L18/Assumptions!$G$30</f>
        <v>248.4645911682</v>
      </c>
      <c r="M19" s="61" t="n">
        <f aca="false">M18/Assumptions!$G$30</f>
        <v>270.826404373338</v>
      </c>
      <c r="N19" s="61" t="n">
        <f aca="false">N18/Assumptions!$G$30</f>
        <v>295.200780766939</v>
      </c>
      <c r="O19" s="61" t="n">
        <f aca="false">O18/Assumptions!$G$30</f>
        <v>321.768851035963</v>
      </c>
      <c r="P19" s="61" t="n">
        <f aca="false">P18/Assumptions!$G$30</f>
        <v>350.7280476292</v>
      </c>
      <c r="Q19" s="61" t="n">
        <f aca="false">Q18/Assumptions!$G$30</f>
        <v>382.293571915828</v>
      </c>
      <c r="R19" s="61" t="n">
        <f aca="false">R18/Assumptions!$G$30</f>
        <v>416.699993388253</v>
      </c>
      <c r="S19" s="61" t="n">
        <f aca="false">S18/Assumptions!$G$30</f>
        <v>454.202992793196</v>
      </c>
      <c r="T19" s="61" t="n">
        <f aca="false">T18/Assumptions!$G$30</f>
        <v>495.081262144583</v>
      </c>
      <c r="U19" s="61" t="n">
        <f aca="false">U18/Assumptions!$G$30</f>
        <v>539.638575737596</v>
      </c>
      <c r="V19" s="61" t="n">
        <f aca="false">V18/Assumptions!$G$30</f>
        <v>588.206047553979</v>
      </c>
      <c r="W19" s="61" t="n">
        <f aca="false">W18/Assumptions!$G$30</f>
        <v>641.144591833838</v>
      </c>
      <c r="X19" s="61" t="n">
        <f aca="false">X18/Assumptions!$G$30</f>
        <v>698.847605098883</v>
      </c>
      <c r="Y19" s="61" t="n">
        <f aca="false">Y18/Assumptions!$G$30</f>
        <v>761.743889557783</v>
      </c>
      <c r="Z19" s="61" t="n">
        <f aca="false">Z18/Assumptions!$G$30</f>
        <v>830.300839617983</v>
      </c>
      <c r="AA19" s="61" t="n">
        <f aca="false">AA18/Assumptions!$G$30</f>
        <v>905.027915183602</v>
      </c>
      <c r="AB19" s="61" t="n">
        <f aca="false">AB18/Assumptions!$G$30</f>
        <v>986.480427550126</v>
      </c>
      <c r="AC19" s="61" t="n">
        <f aca="false">AC18/Assumptions!$G$30</f>
        <v>1075.26366602964</v>
      </c>
      <c r="AD19" s="61" t="n">
        <f aca="false">AD18/Assumptions!$G$30</f>
        <v>1172.0373959723</v>
      </c>
      <c r="AE19" s="61" t="n">
        <f aca="false">AE18/Assumptions!$G$30</f>
        <v>1277.52076160981</v>
      </c>
      <c r="AF19" s="61" t="n">
        <f aca="false">AF18/Assumptions!$G$30</f>
        <v>1392.4976301547</v>
      </c>
      <c r="AG19" s="61" t="n">
        <f aca="false">AG18/Assumptions!$G$30</f>
        <v>1517.82241686862</v>
      </c>
      <c r="AH19" s="61" t="n">
        <f aca="false">AH18/Assumptions!$G$30</f>
        <v>1654.42643438679</v>
      </c>
      <c r="AI19" s="61" t="n">
        <f aca="false">AI18/Assumptions!$G$30</f>
        <v>1803.32481348161</v>
      </c>
      <c r="AJ19" s="61" t="n">
        <f aca="false">AJ18/Assumptions!$G$30</f>
        <v>1965.62404669495</v>
      </c>
      <c r="AK19" s="61" t="n">
        <f aca="false">AK18/Assumptions!$G$30</f>
        <v>2142.5302108975</v>
      </c>
      <c r="AL19" s="61" t="n">
        <f aca="false">AL18/Assumptions!$G$30</f>
        <v>2335.35792987827</v>
      </c>
      <c r="AM19" s="61" t="n">
        <f aca="false">SUM(C19:AL19)</f>
        <v>26898.268261859</v>
      </c>
    </row>
    <row r="20" customFormat="false" ht="15" hidden="false" customHeight="false" outlineLevel="0" collapsed="false">
      <c r="A20" s="10" t="s">
        <v>736</v>
      </c>
      <c r="B20" s="9" t="s">
        <v>49</v>
      </c>
      <c r="C20" s="61" t="n">
        <f aca="false">C8*(Assumptions!$G$35*C14)</f>
        <v>0</v>
      </c>
      <c r="D20" s="61" t="n">
        <f aca="false">D8*(Assumptions!$G$35*D14+Assumptions!$G$34*C29)</f>
        <v>3815.5093209235</v>
      </c>
      <c r="E20" s="61" t="n">
        <f aca="false">E8*(Assumptions!$G$35*E14+Assumptions!$G$34*D29)</f>
        <v>8664.8057383357</v>
      </c>
      <c r="F20" s="61" t="n">
        <f aca="false">F8*(Assumptions!$G$35*F14+Assumptions!$G$34*E29)</f>
        <v>9139.15047173678</v>
      </c>
      <c r="G20" s="61" t="n">
        <f aca="false">G8*(Assumptions!$G$35*G14+Assumptions!$G$34*F29)</f>
        <v>9306.95201953911</v>
      </c>
      <c r="H20" s="61" t="n">
        <f aca="false">H8*(Assumptions!$G$35*H14+Assumptions!$G$34*G29)</f>
        <v>9464.71590928196</v>
      </c>
      <c r="I20" s="61" t="n">
        <f aca="false">I8*(Assumptions!$G$35*I14+Assumptions!$G$34*H29)</f>
        <v>9634.8627669231</v>
      </c>
      <c r="J20" s="61" t="n">
        <f aca="false">J8*(Assumptions!$G$35*J14+Assumptions!$G$34*I29)</f>
        <v>9820.18209921948</v>
      </c>
      <c r="K20" s="61" t="n">
        <f aca="false">K8*(Assumptions!$G$35*K14+Assumptions!$G$34*J29)</f>
        <v>10022.1577881992</v>
      </c>
      <c r="L20" s="61" t="n">
        <f aca="false">L8*(Assumptions!$G$35*L14+Assumptions!$G$34*K29)</f>
        <v>10242.2950364419</v>
      </c>
      <c r="M20" s="61" t="n">
        <f aca="false">M8*(Assumptions!$G$35*M14+Assumptions!$G$34*L29)</f>
        <v>10482.2259933872</v>
      </c>
      <c r="N20" s="61" t="n">
        <f aca="false">N8*(Assumptions!$G$35*N14+Assumptions!$G$34*M29)</f>
        <v>10743.7285348639</v>
      </c>
      <c r="O20" s="61" t="n">
        <f aca="false">O8*(Assumptions!$G$35*O14+Assumptions!$G$34*N29)</f>
        <v>11028.7397945133</v>
      </c>
      <c r="P20" s="61" t="n">
        <f aca="false">P8*(Assumptions!$G$35*P14+Assumptions!$G$34*O29)</f>
        <v>11339.3703918536</v>
      </c>
      <c r="Q20" s="61" t="n">
        <f aca="false">Q8*(Assumptions!$G$35*Q14+Assumptions!$G$34*P29)</f>
        <v>11677.9198750997</v>
      </c>
      <c r="R20" s="61" t="n">
        <f aca="false">R8*(Assumptions!$G$35*R14+Assumptions!$G$34*Q29)</f>
        <v>12046.8935144021</v>
      </c>
      <c r="S20" s="61" t="n">
        <f aca="false">S8*(Assumptions!$G$35*S14+Assumptions!$G$34*R29)</f>
        <v>12449.0205610788</v>
      </c>
      <c r="T20" s="61" t="n">
        <f aca="false">T8*(Assumptions!$G$35*T14+Assumptions!$G$34*S29)</f>
        <v>12887.2740945687</v>
      </c>
      <c r="U20" s="61" t="n">
        <f aca="false">U8*(Assumptions!$G$35*U14+Assumptions!$G$34*T29)</f>
        <v>13364.8925870289</v>
      </c>
      <c r="V20" s="61" t="n">
        <f aca="false">V8*(Assumptions!$G$35*V14+Assumptions!$G$34*U29)</f>
        <v>13885.4033238366</v>
      </c>
      <c r="W20" s="61" t="n">
        <f aca="false">W8*(Assumptions!$G$35*W14+Assumptions!$G$34*V29)</f>
        <v>14713.1760014925</v>
      </c>
      <c r="X20" s="61" t="n">
        <f aca="false">X8*(Assumptions!$G$35*X14+Assumptions!$G$34*W29)</f>
        <v>15722.956379732</v>
      </c>
      <c r="Y20" s="61" t="n">
        <f aca="false">Y8*(Assumptions!$G$35*Y14+Assumptions!$G$34*X29)</f>
        <v>16835.9745405349</v>
      </c>
      <c r="Z20" s="61" t="n">
        <f aca="false">Z8*(Assumptions!$G$35*Z14+Assumptions!$G$34*Y29)</f>
        <v>18048.643282684</v>
      </c>
      <c r="AA20" s="61" t="n">
        <f aca="false">AA8*(Assumptions!$G$35*AA14+Assumptions!$G$34*Z29)</f>
        <v>19367.4494175048</v>
      </c>
      <c r="AB20" s="61" t="n">
        <f aca="false">AB8*(Assumptions!$G$35*AB14+Assumptions!$G$34*AA29)</f>
        <v>20800.9563337798</v>
      </c>
      <c r="AC20" s="61" t="n">
        <f aca="false">AC8*(Assumptions!$G$35*AC14+Assumptions!$G$34*AB29)</f>
        <v>22358.6491361615</v>
      </c>
      <c r="AD20" s="61" t="n">
        <f aca="false">AD8*(Assumptions!$G$35*AD14+Assumptions!$G$34*AC29)</f>
        <v>24039.4197827453</v>
      </c>
      <c r="AE20" s="61" t="n">
        <f aca="false">AE8*(Assumptions!$G$35*AE14+Assumptions!$G$34*AD29)</f>
        <v>25848.6110345512</v>
      </c>
      <c r="AF20" s="61" t="n">
        <f aca="false">AF8*(Assumptions!$G$35*AF14+Assumptions!$G$34*AE29)</f>
        <v>27799.793323824</v>
      </c>
      <c r="AG20" s="61" t="n">
        <f aca="false">AG8*(Assumptions!$G$35*AG14+Assumptions!$G$34*AF29)</f>
        <v>29905.6057512744</v>
      </c>
      <c r="AH20" s="61" t="n">
        <f aca="false">AH8*(Assumptions!$G$35*AH14+Assumptions!$G$34*AG29)</f>
        <v>32179.4859402888</v>
      </c>
      <c r="AI20" s="61" t="n">
        <f aca="false">AI8*(Assumptions!$G$35*AI14+Assumptions!$G$34*AH29)</f>
        <v>34635.9409139702</v>
      </c>
      <c r="AJ20" s="61" t="n">
        <f aca="false">AJ8*(Assumptions!$G$35*AJ14+Assumptions!$G$34*AI29)</f>
        <v>37290.6768388565</v>
      </c>
      <c r="AK20" s="61" t="n">
        <f aca="false">AK8*(Assumptions!$G$35*AK14+Assumptions!$G$34*AJ29)</f>
        <v>40160.7111873384</v>
      </c>
      <c r="AL20" s="61" t="n">
        <f aca="false">AL8*(Assumptions!$G$35*AL14+Assumptions!$G$34*AK29)</f>
        <v>43264.4906479689</v>
      </c>
      <c r="AM20" s="61" t="n">
        <f aca="false">AL20</f>
        <v>43264.4906479689</v>
      </c>
    </row>
    <row r="21" customFormat="false" ht="15" hidden="false" customHeight="false" outlineLevel="0" collapsed="false">
      <c r="A21" s="10" t="s">
        <v>737</v>
      </c>
      <c r="B21" s="9" t="s">
        <v>82</v>
      </c>
      <c r="C21" s="61" t="n">
        <f aca="false">C20*Assumptions!$G$36</f>
        <v>0</v>
      </c>
      <c r="D21" s="61" t="n">
        <f aca="false">D20*Assumptions!$G$36</f>
        <v>953.877330230876</v>
      </c>
      <c r="E21" s="61" t="n">
        <f aca="false">E20*Assumptions!$G$36</f>
        <v>2166.20143458392</v>
      </c>
      <c r="F21" s="61" t="n">
        <f aca="false">F20*Assumptions!$G$36</f>
        <v>2284.7876179342</v>
      </c>
      <c r="G21" s="61" t="n">
        <f aca="false">G20*Assumptions!$G$36</f>
        <v>2326.73800488478</v>
      </c>
      <c r="H21" s="61" t="n">
        <f aca="false">H20*Assumptions!$G$36</f>
        <v>2366.17897732049</v>
      </c>
      <c r="I21" s="61" t="n">
        <f aca="false">I20*Assumptions!$G$36</f>
        <v>2408.71569173078</v>
      </c>
      <c r="J21" s="61" t="n">
        <f aca="false">J20*Assumptions!$G$36</f>
        <v>2455.04552480487</v>
      </c>
      <c r="K21" s="61" t="n">
        <f aca="false">K20*Assumptions!$G$36</f>
        <v>2505.53944704981</v>
      </c>
      <c r="L21" s="61" t="n">
        <f aca="false">L20*Assumptions!$G$36</f>
        <v>2560.57375911048</v>
      </c>
      <c r="M21" s="61" t="n">
        <f aca="false">M20*Assumptions!$G$36</f>
        <v>2620.55649834681</v>
      </c>
      <c r="N21" s="61" t="n">
        <f aca="false">N20*Assumptions!$G$36</f>
        <v>2685.93213371597</v>
      </c>
      <c r="O21" s="61" t="n">
        <f aca="false">O20*Assumptions!$G$36</f>
        <v>2757.18494862832</v>
      </c>
      <c r="P21" s="61" t="n">
        <f aca="false">P20*Assumptions!$G$36</f>
        <v>2834.84259796339</v>
      </c>
      <c r="Q21" s="61" t="n">
        <f aca="false">Q20*Assumptions!$G$36</f>
        <v>2919.47996877492</v>
      </c>
      <c r="R21" s="61" t="n">
        <f aca="false">R20*Assumptions!$G$36</f>
        <v>3011.72337860054</v>
      </c>
      <c r="S21" s="61" t="n">
        <f aca="false">S20*Assumptions!$G$36</f>
        <v>3112.2551402697</v>
      </c>
      <c r="T21" s="61" t="n">
        <f aca="false">T20*Assumptions!$G$36</f>
        <v>3221.81852364218</v>
      </c>
      <c r="U21" s="61" t="n">
        <f aca="false">U20*Assumptions!$G$36</f>
        <v>3341.22314675722</v>
      </c>
      <c r="V21" s="61" t="n">
        <f aca="false">V20*Assumptions!$G$36</f>
        <v>3471.35083095915</v>
      </c>
      <c r="W21" s="61" t="n">
        <f aca="false">W20*Assumptions!$G$36</f>
        <v>3678.29400037312</v>
      </c>
      <c r="X21" s="61" t="n">
        <f aca="false">X20*Assumptions!$G$36</f>
        <v>3930.739094933</v>
      </c>
      <c r="Y21" s="61" t="n">
        <f aca="false">Y20*Assumptions!$G$36</f>
        <v>4208.99363513374</v>
      </c>
      <c r="Z21" s="61" t="n">
        <f aca="false">Z20*Assumptions!$G$36</f>
        <v>4512.16082067099</v>
      </c>
      <c r="AA21" s="61" t="n">
        <f aca="false">AA20*Assumptions!$G$36</f>
        <v>4841.86235437621</v>
      </c>
      <c r="AB21" s="61" t="n">
        <f aca="false">AB20*Assumptions!$G$36</f>
        <v>5200.23908344495</v>
      </c>
      <c r="AC21" s="61" t="n">
        <f aca="false">AC20*Assumptions!$G$36</f>
        <v>5589.66228404038</v>
      </c>
      <c r="AD21" s="61" t="n">
        <f aca="false">AD20*Assumptions!$G$36</f>
        <v>6009.85494568633</v>
      </c>
      <c r="AE21" s="61" t="n">
        <f aca="false">AE20*Assumptions!$G$36</f>
        <v>6462.1527586378</v>
      </c>
      <c r="AF21" s="61" t="n">
        <f aca="false">AF20*Assumptions!$G$36</f>
        <v>6949.94833095601</v>
      </c>
      <c r="AG21" s="61" t="n">
        <f aca="false">AG20*Assumptions!$G$36</f>
        <v>7476.40143781861</v>
      </c>
      <c r="AH21" s="61" t="n">
        <f aca="false">AH20*Assumptions!$G$36</f>
        <v>8044.87148507221</v>
      </c>
      <c r="AI21" s="61" t="n">
        <f aca="false">AI20*Assumptions!$G$36</f>
        <v>8658.98522849255</v>
      </c>
      <c r="AJ21" s="61" t="n">
        <f aca="false">AJ20*Assumptions!$G$36</f>
        <v>9322.66920971412</v>
      </c>
      <c r="AK21" s="61" t="n">
        <f aca="false">AK20*Assumptions!$G$36</f>
        <v>10040.1777968346</v>
      </c>
      <c r="AL21" s="61" t="n">
        <f aca="false">AL20*Assumptions!$G$36</f>
        <v>10816.1226619922</v>
      </c>
      <c r="AM21" s="61" t="n">
        <f aca="false">SUM(C21:AL21)</f>
        <v>155747.160083485</v>
      </c>
    </row>
    <row r="22" customFormat="false" ht="15" hidden="false" customHeight="false" outlineLevel="0" collapsed="false">
      <c r="A22" s="10" t="s">
        <v>738</v>
      </c>
      <c r="B22" s="9" t="s">
        <v>95</v>
      </c>
      <c r="C22" s="70" t="n">
        <f aca="false">MIN(MAX(0,C16-C18),C21*Assumptions!$G$37)</f>
        <v>0</v>
      </c>
      <c r="D22" s="70" t="n">
        <f aca="false">MIN(MAX(0,D16-D18),D21*Assumptions!$G$37)</f>
        <v>1383.12212883477</v>
      </c>
      <c r="E22" s="70" t="n">
        <f aca="false">MIN(MAX(0,E16-E18),E21*Assumptions!$G$37)</f>
        <v>3140.99208014669</v>
      </c>
      <c r="F22" s="70" t="n">
        <f aca="false">MIN(MAX(0,F16-F18),F21*Assumptions!$G$37)</f>
        <v>3312.94204600458</v>
      </c>
      <c r="G22" s="70" t="n">
        <f aca="false">MIN(MAX(0,G16-G18),G21*Assumptions!$G$37)</f>
        <v>3373.77010708293</v>
      </c>
      <c r="H22" s="70" t="n">
        <f aca="false">MIN(MAX(0,H16-H18),H21*Assumptions!$G$37)</f>
        <v>3430.95951711471</v>
      </c>
      <c r="I22" s="70" t="n">
        <f aca="false">MIN(MAX(0,I16-I18),I21*Assumptions!$G$37)</f>
        <v>3492.63775300962</v>
      </c>
      <c r="J22" s="70" t="n">
        <f aca="false">MIN(MAX(0,J16-J18),J21*Assumptions!$G$37)</f>
        <v>3559.81601096706</v>
      </c>
      <c r="K22" s="70" t="n">
        <f aca="false">MIN(MAX(0,K16-K18),K21*Assumptions!$G$37)</f>
        <v>3633.03219822223</v>
      </c>
      <c r="L22" s="70" t="n">
        <f aca="false">MIN(MAX(0,L16-L18),L21*Assumptions!$G$37)</f>
        <v>3712.83195071019</v>
      </c>
      <c r="M22" s="70" t="n">
        <f aca="false">MIN(MAX(0,M16-M18),M21*Assumptions!$G$37)</f>
        <v>3799.80692260287</v>
      </c>
      <c r="N22" s="70" t="n">
        <f aca="false">MIN(MAX(0,N16-N18),N21*Assumptions!$G$37)</f>
        <v>3894.60159388816</v>
      </c>
      <c r="O22" s="70" t="n">
        <f aca="false">MIN(MAX(0,O16-O18),O21*Assumptions!$G$37)</f>
        <v>3997.91817551106</v>
      </c>
      <c r="P22" s="70" t="n">
        <f aca="false">MIN(MAX(0,P16-P18),P21*Assumptions!$G$37)</f>
        <v>4110.52176704692</v>
      </c>
      <c r="Q22" s="70" t="n">
        <f aca="false">MIN(MAX(0,Q16-Q18),Q21*Assumptions!$G$37)</f>
        <v>4233.24595472364</v>
      </c>
      <c r="R22" s="70" t="n">
        <f aca="false">MIN(MAX(0,R16-R18),R21*Assumptions!$G$37)</f>
        <v>4366.99889897078</v>
      </c>
      <c r="S22" s="70" t="n">
        <f aca="false">MIN(MAX(0,S16-S18),S21*Assumptions!$G$37)</f>
        <v>4512.76995339107</v>
      </c>
      <c r="T22" s="70" t="n">
        <f aca="false">MIN(MAX(0,T16-T18),T21*Assumptions!$G$37)</f>
        <v>4671.63685928117</v>
      </c>
      <c r="U22" s="70" t="n">
        <f aca="false">MIN(MAX(0,U16-U18),U21*Assumptions!$G$37)</f>
        <v>4844.77356279796</v>
      </c>
      <c r="V22" s="70" t="n">
        <f aca="false">MIN(MAX(0,V16-V18),V21*Assumptions!$G$37)</f>
        <v>5033.45870489076</v>
      </c>
      <c r="W22" s="70" t="n">
        <f aca="false">MIN(MAX(0,W16-W18),W21*Assumptions!$G$37)</f>
        <v>5333.52630054102</v>
      </c>
      <c r="X22" s="70" t="n">
        <f aca="false">MIN(MAX(0,X16-X18),X21*Assumptions!$G$37)</f>
        <v>5699.57168765284</v>
      </c>
      <c r="Y22" s="70" t="n">
        <f aca="false">MIN(MAX(0,Y16-Y18),Y21*Assumptions!$G$37)</f>
        <v>6103.04077094392</v>
      </c>
      <c r="Z22" s="70" t="n">
        <f aca="false">MIN(MAX(0,Z16-Z18),Z21*Assumptions!$G$37)</f>
        <v>6542.63318997294</v>
      </c>
      <c r="AA22" s="70" t="n">
        <f aca="false">MIN(MAX(0,AA16-AA18),AA21*Assumptions!$G$37)</f>
        <v>7020.7004138455</v>
      </c>
      <c r="AB22" s="70" t="n">
        <f aca="false">MIN(MAX(0,AB16-AB18),AB21*Assumptions!$G$37)</f>
        <v>7540.34667099518</v>
      </c>
      <c r="AC22" s="70" t="n">
        <f aca="false">MIN(MAX(0,AC16-AC18),AC21*Assumptions!$G$37)</f>
        <v>8105.01031185856</v>
      </c>
      <c r="AD22" s="70" t="n">
        <f aca="false">MIN(MAX(0,AD16-AD18),AD21*Assumptions!$G$37)</f>
        <v>8714.28967124517</v>
      </c>
      <c r="AE22" s="70" t="n">
        <f aca="false">MIN(MAX(0,AE16-AE18),AE21*Assumptions!$G$37)</f>
        <v>9370.12150002481</v>
      </c>
      <c r="AF22" s="70" t="n">
        <f aca="false">MIN(MAX(0,AF16-AF18),AF21*Assumptions!$G$37)</f>
        <v>10077.4250798862</v>
      </c>
      <c r="AG22" s="70" t="n">
        <f aca="false">MIN(MAX(0,AG16-AG18),AG21*Assumptions!$G$37)</f>
        <v>10840.782084837</v>
      </c>
      <c r="AH22" s="70" t="n">
        <f aca="false">MIN(MAX(0,AH16-AH18),AH21*Assumptions!$G$37)</f>
        <v>11665.0636533547</v>
      </c>
      <c r="AI22" s="70" t="n">
        <f aca="false">MIN(MAX(0,AI16-AI18),AI21*Assumptions!$G$37)</f>
        <v>12555.5285813142</v>
      </c>
      <c r="AJ22" s="70" t="n">
        <f aca="false">MIN(MAX(0,AJ16-AJ18),AJ21*Assumptions!$G$37)</f>
        <v>13517.8703540855</v>
      </c>
      <c r="AK22" s="70" t="n">
        <f aca="false">MIN(MAX(0,AK16-AK18),AK21*Assumptions!$G$37)</f>
        <v>14558.2578054102</v>
      </c>
      <c r="AL22" s="70" t="n">
        <f aca="false">MIN(MAX(0,AL16-AL18),AL21*Assumptions!$G$37)</f>
        <v>15683.3778598887</v>
      </c>
      <c r="AM22" s="70" t="n">
        <f aca="false">SUM(C22:AL22)</f>
        <v>225833.382121054</v>
      </c>
    </row>
    <row r="23" customFormat="false" ht="15" hidden="false" customHeight="false" outlineLevel="0" collapsed="false">
      <c r="A23" s="10" t="s">
        <v>739</v>
      </c>
      <c r="B23" s="9" t="s">
        <v>82</v>
      </c>
      <c r="C23" s="61" t="n">
        <f aca="false">C22/Assumptions!$G$37</f>
        <v>0</v>
      </c>
      <c r="D23" s="61" t="n">
        <f aca="false">D22/Assumptions!$G$37</f>
        <v>953.877330230876</v>
      </c>
      <c r="E23" s="61" t="n">
        <f aca="false">E22/Assumptions!$G$37</f>
        <v>2166.20143458392</v>
      </c>
      <c r="F23" s="61" t="n">
        <f aca="false">F22/Assumptions!$G$37</f>
        <v>2284.7876179342</v>
      </c>
      <c r="G23" s="61" t="n">
        <f aca="false">G22/Assumptions!$G$37</f>
        <v>2326.73800488478</v>
      </c>
      <c r="H23" s="61" t="n">
        <f aca="false">H22/Assumptions!$G$37</f>
        <v>2366.17897732049</v>
      </c>
      <c r="I23" s="61" t="n">
        <f aca="false">I22/Assumptions!$G$37</f>
        <v>2408.71569173078</v>
      </c>
      <c r="J23" s="61" t="n">
        <f aca="false">J22/Assumptions!$G$37</f>
        <v>2455.04552480487</v>
      </c>
      <c r="K23" s="61" t="n">
        <f aca="false">K22/Assumptions!$G$37</f>
        <v>2505.53944704981</v>
      </c>
      <c r="L23" s="61" t="n">
        <f aca="false">L22/Assumptions!$G$37</f>
        <v>2560.57375911048</v>
      </c>
      <c r="M23" s="61" t="n">
        <f aca="false">M22/Assumptions!$G$37</f>
        <v>2620.55649834681</v>
      </c>
      <c r="N23" s="61" t="n">
        <f aca="false">N22/Assumptions!$G$37</f>
        <v>2685.93213371597</v>
      </c>
      <c r="O23" s="61" t="n">
        <f aca="false">O22/Assumptions!$G$37</f>
        <v>2757.18494862832</v>
      </c>
      <c r="P23" s="61" t="n">
        <f aca="false">P22/Assumptions!$G$37</f>
        <v>2834.84259796339</v>
      </c>
      <c r="Q23" s="61" t="n">
        <f aca="false">Q22/Assumptions!$G$37</f>
        <v>2919.47996877492</v>
      </c>
      <c r="R23" s="61" t="n">
        <f aca="false">R22/Assumptions!$G$37</f>
        <v>3011.72337860054</v>
      </c>
      <c r="S23" s="61" t="n">
        <f aca="false">S22/Assumptions!$G$37</f>
        <v>3112.2551402697</v>
      </c>
      <c r="T23" s="61" t="n">
        <f aca="false">T22/Assumptions!$G$37</f>
        <v>3221.81852364218</v>
      </c>
      <c r="U23" s="61" t="n">
        <f aca="false">U22/Assumptions!$G$37</f>
        <v>3341.22314675722</v>
      </c>
      <c r="V23" s="61" t="n">
        <f aca="false">V22/Assumptions!$G$37</f>
        <v>3471.35083095915</v>
      </c>
      <c r="W23" s="61" t="n">
        <f aca="false">W22/Assumptions!$G$37</f>
        <v>3678.29400037312</v>
      </c>
      <c r="X23" s="61" t="n">
        <f aca="false">X22/Assumptions!$G$37</f>
        <v>3930.739094933</v>
      </c>
      <c r="Y23" s="61" t="n">
        <f aca="false">Y22/Assumptions!$G$37</f>
        <v>4208.99363513374</v>
      </c>
      <c r="Z23" s="61" t="n">
        <f aca="false">Z22/Assumptions!$G$37</f>
        <v>4512.16082067099</v>
      </c>
      <c r="AA23" s="61" t="n">
        <f aca="false">AA22/Assumptions!$G$37</f>
        <v>4841.86235437621</v>
      </c>
      <c r="AB23" s="61" t="n">
        <f aca="false">AB22/Assumptions!$G$37</f>
        <v>5200.23908344495</v>
      </c>
      <c r="AC23" s="61" t="n">
        <f aca="false">AC22/Assumptions!$G$37</f>
        <v>5589.66228404038</v>
      </c>
      <c r="AD23" s="61" t="n">
        <f aca="false">AD22/Assumptions!$G$37</f>
        <v>6009.85494568633</v>
      </c>
      <c r="AE23" s="61" t="n">
        <f aca="false">AE22/Assumptions!$G$37</f>
        <v>6462.1527586378</v>
      </c>
      <c r="AF23" s="61" t="n">
        <f aca="false">AF22/Assumptions!$G$37</f>
        <v>6949.94833095601</v>
      </c>
      <c r="AG23" s="61" t="n">
        <f aca="false">AG22/Assumptions!$G$37</f>
        <v>7476.40143781861</v>
      </c>
      <c r="AH23" s="61" t="n">
        <f aca="false">AH22/Assumptions!$G$37</f>
        <v>8044.87148507221</v>
      </c>
      <c r="AI23" s="61" t="n">
        <f aca="false">AI22/Assumptions!$G$37</f>
        <v>8658.98522849255</v>
      </c>
      <c r="AJ23" s="61" t="n">
        <f aca="false">AJ22/Assumptions!$G$37</f>
        <v>9322.66920971412</v>
      </c>
      <c r="AK23" s="61" t="n">
        <f aca="false">AK22/Assumptions!$G$37</f>
        <v>10040.1777968346</v>
      </c>
      <c r="AL23" s="61" t="n">
        <f aca="false">AL22/Assumptions!$G$37</f>
        <v>10816.1226619922</v>
      </c>
      <c r="AM23" s="61" t="n">
        <f aca="false">SUM(C23:AL23)</f>
        <v>155747.160083485</v>
      </c>
    </row>
    <row r="24" customFormat="false" ht="15" hidden="false" customHeight="false" outlineLevel="0" collapsed="false">
      <c r="A24" s="10" t="s">
        <v>740</v>
      </c>
      <c r="B24" s="9" t="s">
        <v>95</v>
      </c>
      <c r="C24" s="70" t="n">
        <f aca="false">MAX(0,C16-C18-C22)</f>
        <v>8000</v>
      </c>
      <c r="D24" s="70" t="n">
        <f aca="false">MAX(0,D16-D18-D22)</f>
        <v>28479.7122711652</v>
      </c>
      <c r="E24" s="70" t="n">
        <f aca="false">MAX(0,E16-E18-E22)</f>
        <v>26709.4974158533</v>
      </c>
      <c r="F24" s="70" t="n">
        <f aca="false">MAX(0,F16-F18-F22)</f>
        <v>26524.0915046354</v>
      </c>
      <c r="G24" s="70" t="n">
        <f aca="false">MAX(0,G16-G18-G22)</f>
        <v>26448.5964631147</v>
      </c>
      <c r="H24" s="70" t="n">
        <f aca="false">MAX(0,H16-H18-H22)</f>
        <v>26375.4200444007</v>
      </c>
      <c r="I24" s="70" t="n">
        <f aca="false">MAX(0,I16-I18-I22)</f>
        <v>26296.3159690421</v>
      </c>
      <c r="J24" s="70" t="n">
        <f aca="false">MAX(0,J16-J18-J22)</f>
        <v>26210.1435460694</v>
      </c>
      <c r="K24" s="70" t="n">
        <f aca="false">MAX(0,K16-K18-K22)</f>
        <v>26116.2237189475</v>
      </c>
      <c r="L24" s="70" t="n">
        <f aca="false">MAX(0,L16-L18-L22)</f>
        <v>26013.8569990048</v>
      </c>
      <c r="M24" s="70" t="n">
        <f aca="false">MAX(0,M16-M18-M22)</f>
        <v>25902.2840325865</v>
      </c>
      <c r="N24" s="70" t="n">
        <f aca="false">MAX(0,N16-N18-N22)</f>
        <v>25780.6775472682</v>
      </c>
      <c r="O24" s="70" t="n">
        <f aca="false">MAX(0,O16-O18-O22)</f>
        <v>25648.1360883494</v>
      </c>
      <c r="P24" s="70" t="n">
        <f aca="false">MAX(0,P16-P18-P22)</f>
        <v>25503.677380561</v>
      </c>
      <c r="Q24" s="70" t="n">
        <f aca="false">MAX(0,Q16-Q18-Q22)</f>
        <v>25346.231116169</v>
      </c>
      <c r="R24" s="70" t="n">
        <f aca="false">MAX(0,R16-R18-R22)</f>
        <v>25174.6311083021</v>
      </c>
      <c r="S24" s="70" t="n">
        <f aca="false">MAX(0,S16-S18-S22)</f>
        <v>24987.6067545364</v>
      </c>
      <c r="T24" s="70" t="n">
        <f aca="false">MAX(0,T16-T18-T22)</f>
        <v>24783.7737523598</v>
      </c>
      <c r="U24" s="70" t="n">
        <f aca="false">MAX(0,U16-U18-U22)</f>
        <v>24561.6240038907</v>
      </c>
      <c r="V24" s="70" t="n">
        <f aca="false">MAX(0,V16-V18-V22)</f>
        <v>25737.9509577436</v>
      </c>
      <c r="W24" s="70" t="n">
        <f aca="false">MAX(0,W16-W18-W22)</f>
        <v>27434.3480823002</v>
      </c>
      <c r="X24" s="70" t="n">
        <f aca="false">MAX(0,X16-X18-X22)</f>
        <v>29300.0121588342</v>
      </c>
      <c r="Y24" s="70" t="n">
        <f aca="false">MAX(0,Y16-Y18-Y22)</f>
        <v>31355.1553494914</v>
      </c>
      <c r="Z24" s="70" t="n">
        <f aca="false">MAX(0,Z16-Z18-Z22)</f>
        <v>33617.0579095316</v>
      </c>
      <c r="AA24" s="70" t="n">
        <f aca="false">MAX(0,AA16-AA18-AA22)</f>
        <v>36105.2332747558</v>
      </c>
      <c r="AB24" s="70" t="n">
        <f aca="false">MAX(0,AB16-AB18-AB22)</f>
        <v>38840.9883179919</v>
      </c>
      <c r="AC24" s="70" t="n">
        <f aca="false">MAX(0,AC16-AC18-AC22)</f>
        <v>41776.9522834884</v>
      </c>
      <c r="AD24" s="70" t="n">
        <f aca="false">MAX(0,AD16-AD18-AD22)</f>
        <v>44907.731617836</v>
      </c>
      <c r="AE24" s="70" t="n">
        <f aca="false">MAX(0,AE16-AE18-AE22)</f>
        <v>48269.9409352122</v>
      </c>
      <c r="AF24" s="70" t="n">
        <f aca="false">MAX(0,AF16-AF18-AF22)</f>
        <v>51884.2301104929</v>
      </c>
      <c r="AG24" s="70" t="n">
        <f aca="false">MAX(0,AG16-AG18-AG22)</f>
        <v>55773.1623967119</v>
      </c>
      <c r="AH24" s="70" t="n">
        <f aca="false">MAX(0,AH16-AH18-AH22)</f>
        <v>59961.0698756166</v>
      </c>
      <c r="AI24" s="70" t="n">
        <f aca="false">MAX(0,AI16-AI18-AI22)</f>
        <v>64474.2521128152</v>
      </c>
      <c r="AJ24" s="70" t="n">
        <f aca="false">MAX(0,AJ16-AJ18-AJ22)</f>
        <v>69341.1541099548</v>
      </c>
      <c r="AK24" s="70" t="n">
        <f aca="false">MAX(0,AK16-AK18-AK22)</f>
        <v>74592.5605953142</v>
      </c>
      <c r="AL24" s="70" t="n">
        <f aca="false">MAX(0,AL16-AL18-AL22)</f>
        <v>80261.8066147337</v>
      </c>
      <c r="AM24" s="70" t="n">
        <f aca="false">SUM(C24:AL24)</f>
        <v>1288496.10641908</v>
      </c>
    </row>
    <row r="25" customFormat="false" ht="15" hidden="false" customHeight="false" outlineLevel="0" collapsed="false">
      <c r="A25" s="10" t="s">
        <v>741</v>
      </c>
      <c r="B25" s="9" t="s">
        <v>82</v>
      </c>
      <c r="C25" s="61" t="n">
        <f aca="false">(Assumptions!$G$21/(Assumptions!$G$41*Assumptions!$G$42))*(C24/Assumptions!$G$21)^Assumptions!$G$25</f>
        <v>4737.28967440637</v>
      </c>
      <c r="D25" s="61" t="n">
        <f aca="false">(Assumptions!$G$21/(Assumptions!$G$41*Assumptions!$G$42))*(D24/Assumptions!$G$21)^Assumptions!$G$25</f>
        <v>12277.6189212886</v>
      </c>
      <c r="E25" s="61" t="n">
        <f aca="false">(Assumptions!$G$21/(Assumptions!$G$41*Assumptions!$G$42))*(E24/Assumptions!$G$21)^Assumptions!$G$25</f>
        <v>11700.6971467557</v>
      </c>
      <c r="F25" s="61" t="n">
        <f aca="false">(Assumptions!$G$21/(Assumptions!$G$41*Assumptions!$G$42))*(F24/Assumptions!$G$21)^Assumptions!$G$25</f>
        <v>11639.7282090824</v>
      </c>
      <c r="G25" s="61" t="n">
        <f aca="false">(Assumptions!$G$21/(Assumptions!$G$41*Assumptions!$G$42))*(G24/Assumptions!$G$21)^Assumptions!$G$25</f>
        <v>11614.8718974439</v>
      </c>
      <c r="H25" s="61" t="n">
        <f aca="false">(Assumptions!$G$21/(Assumptions!$G$41*Assumptions!$G$42))*(H24/Assumptions!$G$21)^Assumptions!$G$25</f>
        <v>11590.7620449555</v>
      </c>
      <c r="I25" s="61" t="n">
        <f aca="false">(Assumptions!$G$21/(Assumptions!$G$41*Assumptions!$G$42))*(I24/Assumptions!$G$21)^Assumptions!$G$25</f>
        <v>11564.6803557742</v>
      </c>
      <c r="J25" s="61" t="n">
        <f aca="false">(Assumptions!$G$21/(Assumptions!$G$41*Assumptions!$G$42))*(J24/Assumptions!$G$21)^Assumptions!$G$25</f>
        <v>11536.2458034301</v>
      </c>
      <c r="K25" s="61" t="n">
        <f aca="false">(Assumptions!$G$21/(Assumptions!$G$41*Assumptions!$G$42))*(K24/Assumptions!$G$21)^Assumptions!$G$25</f>
        <v>11505.228186735</v>
      </c>
      <c r="L25" s="61" t="n">
        <f aca="false">(Assumptions!$G$21/(Assumptions!$G$41*Assumptions!$G$42))*(L24/Assumptions!$G$21)^Assumptions!$G$25</f>
        <v>11471.3891501977</v>
      </c>
      <c r="M25" s="61" t="n">
        <f aca="false">(Assumptions!$G$21/(Assumptions!$G$41*Assumptions!$G$42))*(M24/Assumptions!$G$21)^Assumptions!$G$25</f>
        <v>11434.4688947479</v>
      </c>
      <c r="N25" s="61" t="n">
        <f aca="false">(Assumptions!$G$21/(Assumptions!$G$41*Assumptions!$G$42))*(N24/Assumptions!$G$21)^Assumptions!$G$25</f>
        <v>11394.1831656875</v>
      </c>
      <c r="O25" s="61" t="n">
        <f aca="false">(Assumptions!$G$21/(Assumptions!$G$41*Assumptions!$G$42))*(O24/Assumptions!$G$21)^Assumptions!$G$25</f>
        <v>11350.2207565108</v>
      </c>
      <c r="P25" s="61" t="n">
        <f aca="false">(Assumptions!$G$21/(Assumptions!$G$41*Assumptions!$G$42))*(P24/Assumptions!$G$21)^Assumptions!$G$25</f>
        <v>11302.2407987824</v>
      </c>
      <c r="Q25" s="61" t="n">
        <f aca="false">(Assumptions!$G$21/(Assumptions!$G$41*Assumptions!$G$42))*(Q24/Assumptions!$G$21)^Assumptions!$G$25</f>
        <v>11249.8697528479</v>
      </c>
      <c r="R25" s="61" t="n">
        <f aca="false">(Assumptions!$G$21/(Assumptions!$G$41*Assumptions!$G$42))*(R24/Assumptions!$G$21)^Assumptions!$G$25</f>
        <v>11192.6980550238</v>
      </c>
      <c r="S25" s="61" t="n">
        <f aca="false">(Assumptions!$G$21/(Assumptions!$G$41*Assumptions!$G$42))*(S24/Assumptions!$G$21)^Assumptions!$G$25</f>
        <v>11130.2763732768</v>
      </c>
      <c r="T25" s="61" t="n">
        <f aca="false">(Assumptions!$G$21/(Assumptions!$G$41*Assumptions!$G$42))*(T24/Assumptions!$G$21)^Assumptions!$G$25</f>
        <v>11062.1114151216</v>
      </c>
      <c r="U25" s="61" t="n">
        <f aca="false">(Assumptions!$G$21/(Assumptions!$G$41*Assumptions!$G$42))*(U24/Assumptions!$G$21)^Assumptions!$G$25</f>
        <v>10987.6612209956</v>
      </c>
      <c r="V25" s="61" t="n">
        <f aca="false">(Assumptions!$G$21/(Assumptions!$G$41*Assumptions!$G$42))*(V24/Assumptions!$G$21)^Assumptions!$G$25</f>
        <v>11380.0174544561</v>
      </c>
      <c r="W25" s="61" t="n">
        <f aca="false">(Assumptions!$G$21/(Assumptions!$G$41*Assumptions!$G$42))*(W24/Assumptions!$G$21)^Assumptions!$G$25</f>
        <v>11938.0511363753</v>
      </c>
      <c r="X25" s="61" t="n">
        <f aca="false">(Assumptions!$G$21/(Assumptions!$G$41*Assumptions!$G$42))*(X24/Assumptions!$G$21)^Assumptions!$G$25</f>
        <v>12541.8990798084</v>
      </c>
      <c r="Y25" s="61" t="n">
        <f aca="false">(Assumptions!$G$21/(Assumptions!$G$41*Assumptions!$G$42))*(Y24/Assumptions!$G$21)^Assumptions!$G$25</f>
        <v>13196.0565816996</v>
      </c>
      <c r="Z25" s="61" t="n">
        <f aca="false">(Assumptions!$G$21/(Assumptions!$G$41*Assumptions!$G$42))*(Z24/Assumptions!$G$21)^Assumptions!$G$25</f>
        <v>13903.758896367</v>
      </c>
      <c r="AA25" s="61" t="n">
        <f aca="false">(Assumptions!$G$21/(Assumptions!$G$41*Assumptions!$G$42))*(AA24/Assumptions!$G$21)^Assumptions!$G$25</f>
        <v>14668.6473530125</v>
      </c>
      <c r="AB25" s="61" t="n">
        <f aca="false">(Assumptions!$G$21/(Assumptions!$G$41*Assumptions!$G$42))*(AB24/Assumptions!$G$21)^Assumptions!$G$25</f>
        <v>15494.5923745934</v>
      </c>
      <c r="AC25" s="61" t="n">
        <f aca="false">(Assumptions!$G$21/(Assumptions!$G$41*Assumptions!$G$42))*(AC24/Assumptions!$G$21)^Assumptions!$G$25</f>
        <v>16364.9625949109</v>
      </c>
      <c r="AD25" s="61" t="n">
        <f aca="false">(Assumptions!$G$21/(Assumptions!$G$41*Assumptions!$G$42))*(AD24/Assumptions!$G$21)^Assumptions!$G$25</f>
        <v>17276.4015748412</v>
      </c>
      <c r="AE25" s="61" t="n">
        <f aca="false">(Assumptions!$G$21/(Assumptions!$G$41*Assumptions!$G$42))*(AE24/Assumptions!$G$21)^Assumptions!$G$25</f>
        <v>18237.6982963067</v>
      </c>
      <c r="AF25" s="61" t="n">
        <f aca="false">(Assumptions!$G$21/(Assumptions!$G$41*Assumptions!$G$42))*(AF24/Assumptions!$G$21)^Assumptions!$G$25</f>
        <v>19252.5820976721</v>
      </c>
      <c r="AG25" s="61" t="n">
        <f aca="false">(Assumptions!$G$21/(Assumptions!$G$41*Assumptions!$G$42))*(AG24/Assumptions!$G$21)^Assumptions!$G$25</f>
        <v>20325.0397682946</v>
      </c>
      <c r="AH25" s="61" t="n">
        <f aca="false">(Assumptions!$G$21/(Assumptions!$G$41*Assumptions!$G$42))*(AH24/Assumptions!$G$21)^Assumptions!$G$25</f>
        <v>21459.2471369645</v>
      </c>
      <c r="AI25" s="61" t="n">
        <f aca="false">(Assumptions!$G$21/(Assumptions!$G$41*Assumptions!$G$42))*(AI24/Assumptions!$G$21)^Assumptions!$G$25</f>
        <v>22659.5972379438</v>
      </c>
      <c r="AJ25" s="61" t="n">
        <f aca="false">(Assumptions!$G$21/(Assumptions!$G$41*Assumptions!$G$42))*(AJ24/Assumptions!$G$21)^Assumptions!$G$25</f>
        <v>23930.7191932194</v>
      </c>
      <c r="AK25" s="61" t="n">
        <f aca="false">(Assumptions!$G$21/(Assumptions!$G$41*Assumptions!$G$42))*(AK24/Assumptions!$G$21)^Assumptions!$G$25</f>
        <v>25277.4982055811</v>
      </c>
      <c r="AL25" s="61" t="n">
        <f aca="false">(Assumptions!$G$21/(Assumptions!$G$41*Assumptions!$G$42))*(AL24/Assumptions!$G$21)^Assumptions!$G$25</f>
        <v>26705.0963799334</v>
      </c>
      <c r="AM25" s="61" t="n">
        <f aca="false">SUM(C25:AL25)</f>
        <v>515354.107185044</v>
      </c>
    </row>
    <row r="26" customFormat="false" ht="15" hidden="false" customHeight="false" outlineLevel="0" collapsed="false">
      <c r="A26" s="38" t="s">
        <v>742</v>
      </c>
      <c r="B26" s="9" t="s">
        <v>95</v>
      </c>
      <c r="C26" s="53" t="n">
        <f aca="false">C18+C22+C24</f>
        <v>8000</v>
      </c>
      <c r="D26" s="53" t="n">
        <f aca="false">D18+D22+D24</f>
        <v>30000</v>
      </c>
      <c r="E26" s="53" t="n">
        <f aca="false">E18+E22+E24</f>
        <v>30000</v>
      </c>
      <c r="F26" s="53" t="n">
        <f aca="false">F18+F22+F24</f>
        <v>30000</v>
      </c>
      <c r="G26" s="53" t="n">
        <f aca="false">G18+G22+G24</f>
        <v>30000</v>
      </c>
      <c r="H26" s="53" t="n">
        <f aca="false">H18+H22+H24</f>
        <v>30000</v>
      </c>
      <c r="I26" s="53" t="n">
        <f aca="false">I18+I22+I24</f>
        <v>30000</v>
      </c>
      <c r="J26" s="53" t="n">
        <f aca="false">J18+J22+J24</f>
        <v>30000</v>
      </c>
      <c r="K26" s="53" t="n">
        <f aca="false">K18+K22+K24</f>
        <v>30000</v>
      </c>
      <c r="L26" s="53" t="n">
        <f aca="false">L18+L22+L24</f>
        <v>30000</v>
      </c>
      <c r="M26" s="53" t="n">
        <f aca="false">M18+M22+M24</f>
        <v>30000</v>
      </c>
      <c r="N26" s="53" t="n">
        <f aca="false">N18+N22+N24</f>
        <v>30000</v>
      </c>
      <c r="O26" s="53" t="n">
        <f aca="false">O18+O22+O24</f>
        <v>30000</v>
      </c>
      <c r="P26" s="53" t="n">
        <f aca="false">P18+P22+P24</f>
        <v>30000</v>
      </c>
      <c r="Q26" s="53" t="n">
        <f aca="false">Q18+Q22+Q24</f>
        <v>30000</v>
      </c>
      <c r="R26" s="53" t="n">
        <f aca="false">R18+R22+R24</f>
        <v>30000</v>
      </c>
      <c r="S26" s="53" t="n">
        <f aca="false">S18+S22+S24</f>
        <v>30000</v>
      </c>
      <c r="T26" s="53" t="n">
        <f aca="false">T18+T22+T24</f>
        <v>30000</v>
      </c>
      <c r="U26" s="53" t="n">
        <f aca="false">U18+U22+U24</f>
        <v>30000</v>
      </c>
      <c r="V26" s="53" t="n">
        <f aca="false">V18+V22+V24</f>
        <v>31418.4363149437</v>
      </c>
      <c r="W26" s="53" t="n">
        <f aca="false">W18+W22+W24</f>
        <v>33473.1334338585</v>
      </c>
      <c r="X26" s="53" t="n">
        <f aca="false">X18+X22+X24</f>
        <v>35768.3162120958</v>
      </c>
      <c r="Y26" s="53" t="n">
        <f aca="false">Y18+Y22+Y24</f>
        <v>38296.1143989489</v>
      </c>
      <c r="Z26" s="53" t="n">
        <f aca="false">Z18+Z22+Z24</f>
        <v>41073.0220230843</v>
      </c>
      <c r="AA26" s="53" t="n">
        <f aca="false">AA18+AA22+AA24</f>
        <v>44121.4643953032</v>
      </c>
      <c r="AB26" s="53" t="n">
        <f aca="false">AB18+AB22+AB24</f>
        <v>47466.4634592923</v>
      </c>
      <c r="AC26" s="53" t="n">
        <f aca="false">AC18+AC22+AC24</f>
        <v>51064.7526279795</v>
      </c>
      <c r="AD26" s="53" t="n">
        <f aca="false">AD18+AD22+AD24</f>
        <v>54911.2624246507</v>
      </c>
      <c r="AE26" s="53" t="n">
        <f aca="false">AE18+AE22+AE24</f>
        <v>59045.3352730078</v>
      </c>
      <c r="AF26" s="53" t="n">
        <f aca="false">AF18+AF22+AF24</f>
        <v>63493.4025835492</v>
      </c>
      <c r="AG26" s="53" t="n">
        <f aca="false">AG18+AG22+AG24</f>
        <v>68283.5491401043</v>
      </c>
      <c r="AH26" s="53" t="n">
        <f aca="false">AH18+AH22+AH24</f>
        <v>73446.0026067968</v>
      </c>
      <c r="AI26" s="53" t="n">
        <f aca="false">AI18+AI22+AI24</f>
        <v>79013.4379889591</v>
      </c>
      <c r="AJ26" s="53" t="n">
        <f aca="false">AJ18+AJ22+AJ24</f>
        <v>85021.2109154047</v>
      </c>
      <c r="AK26" s="53" t="n">
        <f aca="false">AK18+AK22+AK24</f>
        <v>91507.6016327116</v>
      </c>
      <c r="AL26" s="53" t="n">
        <f aca="false">AL18+AL22+AL24</f>
        <v>98514.0781974886</v>
      </c>
      <c r="AM26" s="53" t="n">
        <f aca="false">SUM(C26:AL26)</f>
        <v>1543917.58362818</v>
      </c>
    </row>
    <row r="27" customFormat="false" ht="15" hidden="false" customHeight="false" outlineLevel="0" collapsed="false">
      <c r="A27" s="10" t="s">
        <v>743</v>
      </c>
      <c r="B27" s="9" t="s">
        <v>82</v>
      </c>
      <c r="C27" s="61" t="n">
        <f aca="false">C19+C23+C25</f>
        <v>4737.28967440637</v>
      </c>
      <c r="D27" s="61" t="n">
        <f aca="false">D19+D23+D25</f>
        <v>13356.1922515195</v>
      </c>
      <c r="E27" s="61" t="n">
        <f aca="false">E19+E23+E25</f>
        <v>14002.8172213396</v>
      </c>
      <c r="F27" s="61" t="n">
        <f aca="false">F19+F23+F25</f>
        <v>14072.6671446166</v>
      </c>
      <c r="G27" s="61" t="n">
        <f aca="false">G19+G23+G25</f>
        <v>14103.0948385127</v>
      </c>
      <c r="H27" s="61" t="n">
        <f aca="false">H19+H23+H25</f>
        <v>14132.9596027165</v>
      </c>
      <c r="I27" s="61" t="n">
        <f aca="false">I19+I23+I25</f>
        <v>14165.2563001852</v>
      </c>
      <c r="J27" s="61" t="n">
        <f aca="false">J19+J23+J25</f>
        <v>14200.4190036564</v>
      </c>
      <c r="K27" s="61" t="n">
        <f aca="false">K19+K23+K25</f>
        <v>14238.7167999941</v>
      </c>
      <c r="L27" s="61" t="n">
        <f aca="false">L19+L23+L25</f>
        <v>14280.4275004764</v>
      </c>
      <c r="M27" s="61" t="n">
        <f aca="false">M19+M23+M25</f>
        <v>14325.851797468</v>
      </c>
      <c r="N27" s="61" t="n">
        <f aca="false">N19+N23+N25</f>
        <v>14375.3160801704</v>
      </c>
      <c r="O27" s="61" t="n">
        <f aca="false">O19+O23+O25</f>
        <v>14429.174556175</v>
      </c>
      <c r="P27" s="61" t="n">
        <f aca="false">P19+P23+P25</f>
        <v>14487.811444375</v>
      </c>
      <c r="Q27" s="61" t="n">
        <f aca="false">Q19+Q23+Q25</f>
        <v>14551.6432935387</v>
      </c>
      <c r="R27" s="61" t="n">
        <f aca="false">R19+R23+R25</f>
        <v>14621.1214270126</v>
      </c>
      <c r="S27" s="61" t="n">
        <f aca="false">S19+S23+S25</f>
        <v>14696.7345063397</v>
      </c>
      <c r="T27" s="61" t="n">
        <f aca="false">T19+T23+T25</f>
        <v>14779.0112009084</v>
      </c>
      <c r="U27" s="61" t="n">
        <f aca="false">U19+U23+U25</f>
        <v>14868.5229434904</v>
      </c>
      <c r="V27" s="61" t="n">
        <f aca="false">V19+V23+V25</f>
        <v>15439.5743329692</v>
      </c>
      <c r="W27" s="61" t="n">
        <f aca="false">W19+W23+W25</f>
        <v>16257.4897285822</v>
      </c>
      <c r="X27" s="61" t="n">
        <f aca="false">X19+X23+X25</f>
        <v>17171.4857798403</v>
      </c>
      <c r="Y27" s="61" t="n">
        <f aca="false">Y19+Y23+Y25</f>
        <v>18166.7941063911</v>
      </c>
      <c r="Z27" s="61" t="n">
        <f aca="false">Z19+Z23+Z25</f>
        <v>19246.220556656</v>
      </c>
      <c r="AA27" s="61" t="n">
        <f aca="false">AA19+AA23+AA25</f>
        <v>20415.5376225723</v>
      </c>
      <c r="AB27" s="61" t="n">
        <f aca="false">AB19+AB23+AB25</f>
        <v>21681.3118855885</v>
      </c>
      <c r="AC27" s="61" t="n">
        <f aca="false">AC19+AC23+AC25</f>
        <v>23029.888544981</v>
      </c>
      <c r="AD27" s="61" t="n">
        <f aca="false">AD19+AD23+AD25</f>
        <v>24458.2939164998</v>
      </c>
      <c r="AE27" s="61" t="n">
        <f aca="false">AE19+AE23+AE25</f>
        <v>25977.3718165543</v>
      </c>
      <c r="AF27" s="61" t="n">
        <f aca="false">AF19+AF23+AF25</f>
        <v>27595.0280587828</v>
      </c>
      <c r="AG27" s="61" t="n">
        <f aca="false">AG19+AG23+AG25</f>
        <v>29319.2636229818</v>
      </c>
      <c r="AH27" s="61" t="n">
        <f aca="false">AH19+AH23+AH25</f>
        <v>31158.5450564235</v>
      </c>
      <c r="AI27" s="61" t="n">
        <f aca="false">AI19+AI23+AI25</f>
        <v>33121.907279918</v>
      </c>
      <c r="AJ27" s="61" t="n">
        <f aca="false">AJ19+AJ23+AJ25</f>
        <v>35219.0124496285</v>
      </c>
      <c r="AK27" s="61" t="n">
        <f aca="false">AK19+AK23+AK25</f>
        <v>37460.2062133132</v>
      </c>
      <c r="AL27" s="61" t="n">
        <f aca="false">AL19+AL23+AL25</f>
        <v>39856.5769718039</v>
      </c>
      <c r="AM27" s="61" t="n">
        <f aca="false">SUM(C27:AL27)</f>
        <v>697999.535530388</v>
      </c>
    </row>
    <row r="28" customFormat="false" ht="15" hidden="false" customHeight="false" outlineLevel="0" collapsed="false">
      <c r="A28" s="10" t="s">
        <v>744</v>
      </c>
      <c r="B28" s="9" t="s">
        <v>95</v>
      </c>
      <c r="C28" s="63" t="n">
        <f aca="false">IFERROR(C26/C27,0)</f>
        <v>1.6887293262265</v>
      </c>
      <c r="D28" s="63" t="n">
        <f aca="false">IFERROR(D26/D27,0)</f>
        <v>2.24614915950967</v>
      </c>
      <c r="E28" s="63" t="n">
        <f aca="false">IFERROR(E26/E27,0)</f>
        <v>2.14242602226368</v>
      </c>
      <c r="F28" s="63" t="n">
        <f aca="false">IFERROR(F26/F27,0)</f>
        <v>2.13179205417904</v>
      </c>
      <c r="G28" s="63" t="n">
        <f aca="false">IFERROR(G26/G27,0)</f>
        <v>2.12719267249598</v>
      </c>
      <c r="H28" s="63" t="n">
        <f aca="false">IFERROR(H26/H27,0)</f>
        <v>2.12269764036073</v>
      </c>
      <c r="I28" s="63" t="n">
        <f aca="false">IFERROR(I26/I27,0)</f>
        <v>2.11785790276225</v>
      </c>
      <c r="J28" s="63" t="n">
        <f aca="false">IFERROR(J26/J27,0)</f>
        <v>2.11261371881177</v>
      </c>
      <c r="K28" s="63" t="n">
        <f aca="false">IFERROR(K26/K27,0)</f>
        <v>2.10693143359747</v>
      </c>
      <c r="L28" s="63" t="n">
        <f aca="false">IFERROR(L26/L27,0)</f>
        <v>2.10077744514295</v>
      </c>
      <c r="M28" s="63" t="n">
        <f aca="false">IFERROR(M26/M27,0)</f>
        <v>2.09411631672067</v>
      </c>
      <c r="N28" s="63" t="n">
        <f aca="false">IFERROR(N26/N27,0)</f>
        <v>2.08691063436042</v>
      </c>
      <c r="O28" s="63" t="n">
        <f aca="false">IFERROR(O26/O27,0)</f>
        <v>2.07912101161472</v>
      </c>
      <c r="P28" s="63" t="n">
        <f aca="false">IFERROR(P26/P27,0)</f>
        <v>2.07070613219831</v>
      </c>
      <c r="Q28" s="63" t="n">
        <f aca="false">IFERROR(Q26/Q27,0)</f>
        <v>2.06162282807749</v>
      </c>
      <c r="R28" s="63" t="n">
        <f aca="false">IFERROR(R26/R27,0)</f>
        <v>2.05182619881502</v>
      </c>
      <c r="S28" s="63" t="n">
        <f aca="false">IFERROR(S26/S27,0)</f>
        <v>2.0412697791512</v>
      </c>
      <c r="T28" s="63" t="n">
        <f aca="false">IFERROR(T26/T27,0)</f>
        <v>2.02990576244749</v>
      </c>
      <c r="U28" s="63" t="n">
        <f aca="false">IFERROR(U26/U27,0)</f>
        <v>2.01768528817682</v>
      </c>
      <c r="V28" s="63" t="n">
        <f aca="false">IFERROR(V26/V27,0)</f>
        <v>2.03492891950095</v>
      </c>
      <c r="W28" s="63" t="n">
        <f aca="false">IFERROR(W26/W27,0)</f>
        <v>2.058936157592</v>
      </c>
      <c r="X28" s="63" t="n">
        <f aca="false">IFERROR(X26/X27,0)</f>
        <v>2.08300648357923</v>
      </c>
      <c r="Y28" s="63" t="n">
        <f aca="false">IFERROR(Y26/Y27,0)</f>
        <v>2.10802820655496</v>
      </c>
      <c r="Z28" s="63" t="n">
        <f aca="false">IFERROR(Z26/Z27,0)</f>
        <v>2.13408247620232</v>
      </c>
      <c r="AA28" s="63" t="n">
        <f aca="false">IFERROR(AA26/AA27,0)</f>
        <v>2.16117083032487</v>
      </c>
      <c r="AB28" s="63" t="n">
        <f aca="false">IFERROR(AB26/AB27,0)</f>
        <v>2.18928004494244</v>
      </c>
      <c r="AC28" s="63" t="n">
        <f aca="false">IFERROR(AC26/AC27,0)</f>
        <v>2.21732521754251</v>
      </c>
      <c r="AD28" s="63" t="n">
        <f aca="false">IFERROR(AD26/AD27,0)</f>
        <v>2.24509782293551</v>
      </c>
      <c r="AE28" s="63" t="n">
        <f aca="false">IFERROR(AE26/AE27,0)</f>
        <v>2.27295261776176</v>
      </c>
      <c r="AF28" s="63" t="n">
        <f aca="false">IFERROR(AF26/AF27,0)</f>
        <v>2.30090009143299</v>
      </c>
      <c r="AG28" s="63" t="n">
        <f aca="false">IFERROR(AG26/AG27,0)</f>
        <v>2.32896535254659</v>
      </c>
      <c r="AH28" s="63" t="n">
        <f aca="false">IFERROR(AH26/AH27,0)</f>
        <v>2.35717048000145</v>
      </c>
      <c r="AI28" s="63" t="n">
        <f aca="false">IFERROR(AI26/AI27,0)</f>
        <v>2.38553406122435</v>
      </c>
      <c r="AJ28" s="63" t="n">
        <f aca="false">IFERROR(AJ26/AJ27,0)</f>
        <v>2.41407140637476</v>
      </c>
      <c r="AK28" s="63" t="n">
        <f aca="false">IFERROR(AK26/AK27,0)</f>
        <v>2.44279492514353</v>
      </c>
      <c r="AL28" s="63" t="n">
        <f aca="false">IFERROR(AL26/AL27,0)</f>
        <v>2.47171447430574</v>
      </c>
      <c r="AM28" s="63" t="n">
        <f aca="false">AVERAGE(N28:AL28)</f>
        <v>2.1858002881123</v>
      </c>
    </row>
    <row r="29" customFormat="false" ht="15" hidden="false" customHeight="false" outlineLevel="0" collapsed="false">
      <c r="A29" s="38" t="s">
        <v>745</v>
      </c>
      <c r="B29" s="9" t="s">
        <v>82</v>
      </c>
      <c r="C29" s="71" t="n">
        <f aca="false">C13+C15+C27</f>
        <v>6937.28967440637</v>
      </c>
      <c r="D29" s="71" t="n">
        <f aca="false">D13+D15+D27</f>
        <v>15754.1922515195</v>
      </c>
      <c r="E29" s="71" t="n">
        <f aca="false">E13+E15+E27</f>
        <v>16616.6372213396</v>
      </c>
      <c r="F29" s="71" t="n">
        <f aca="false">F13+F15+F27</f>
        <v>16921.7309446166</v>
      </c>
      <c r="G29" s="71" t="n">
        <f aca="false">G13+G15+G27</f>
        <v>17208.5743805127</v>
      </c>
      <c r="H29" s="71" t="n">
        <f aca="false">H13+H15+H27</f>
        <v>17517.9323034966</v>
      </c>
      <c r="I29" s="71" t="n">
        <f aca="false">I13+I15+I27</f>
        <v>17854.8765440354</v>
      </c>
      <c r="J29" s="71" t="n">
        <f aca="false">J13+J15+J27</f>
        <v>18222.1050694532</v>
      </c>
      <c r="K29" s="71" t="n">
        <f aca="false">K13+K15+K27</f>
        <v>18622.3546117126</v>
      </c>
      <c r="L29" s="71" t="n">
        <f aca="false">L13+L15+L27</f>
        <v>19058.5927152495</v>
      </c>
      <c r="M29" s="71" t="n">
        <f aca="false">M13+M15+M27</f>
        <v>19534.0518815707</v>
      </c>
      <c r="N29" s="71" t="n">
        <f aca="false">N13+N15+N27</f>
        <v>20052.2541718423</v>
      </c>
      <c r="O29" s="71" t="n">
        <f aca="false">O13+O15+O27</f>
        <v>20617.0370760974</v>
      </c>
      <c r="P29" s="71" t="n">
        <f aca="false">P13+P15+P27</f>
        <v>21232.5815910903</v>
      </c>
      <c r="Q29" s="71" t="n">
        <f aca="false">Q13+Q15+Q27</f>
        <v>21903.4427534584</v>
      </c>
      <c r="R29" s="71" t="n">
        <f aca="false">R13+R15+R27</f>
        <v>22634.5828383251</v>
      </c>
      <c r="S29" s="71" t="n">
        <f aca="false">S13+S15+S27</f>
        <v>23431.4074446704</v>
      </c>
      <c r="T29" s="71" t="n">
        <f aca="false">T13+T15+T27</f>
        <v>24299.8047036888</v>
      </c>
      <c r="U29" s="71" t="n">
        <f aca="false">U13+U15+U27</f>
        <v>25246.1878615211</v>
      </c>
      <c r="V29" s="71" t="n">
        <f aca="false">V13+V15+V27</f>
        <v>26751.2290936227</v>
      </c>
      <c r="W29" s="71" t="n">
        <f aca="false">W13+W15+W27</f>
        <v>28587.1934176945</v>
      </c>
      <c r="X29" s="71" t="n">
        <f aca="false">X13+X15+X27</f>
        <v>30610.8628009726</v>
      </c>
      <c r="Y29" s="71" t="n">
        <f aca="false">Y13+Y15+Y27</f>
        <v>32815.7150594254</v>
      </c>
      <c r="Z29" s="71" t="n">
        <f aca="false">Z13+Z15+Z27</f>
        <v>35213.5443954633</v>
      </c>
      <c r="AA29" s="71" t="n">
        <f aca="false">AA13+AA15+AA27</f>
        <v>37819.9206068724</v>
      </c>
      <c r="AB29" s="71" t="n">
        <f aca="false">AB13+AB15+AB27</f>
        <v>40652.0893384755</v>
      </c>
      <c r="AC29" s="71" t="n">
        <f aca="false">AC13+AC15+AC27</f>
        <v>43708.0359686278</v>
      </c>
      <c r="AD29" s="71" t="n">
        <f aca="false">AD13+AD15+AD27</f>
        <v>46997.4746082749</v>
      </c>
      <c r="AE29" s="71" t="n">
        <f aca="false">AE13+AE15+AE27</f>
        <v>50545.0787705892</v>
      </c>
      <c r="AF29" s="71" t="n">
        <f aca="false">AF13+AF15+AF27</f>
        <v>54373.8286386808</v>
      </c>
      <c r="AG29" s="71" t="n">
        <f aca="false">AG13+AG15+AG27</f>
        <v>58508.1562550706</v>
      </c>
      <c r="AH29" s="71" t="n">
        <f aca="false">AH13+AH15+AH27</f>
        <v>62974.4380254003</v>
      </c>
      <c r="AI29" s="71" t="n">
        <f aca="false">AI13+AI15+AI27</f>
        <v>67801.2306161027</v>
      </c>
      <c r="AJ29" s="71" t="n">
        <f aca="false">AJ13+AJ15+AJ27</f>
        <v>73019.4748860698</v>
      </c>
      <c r="AK29" s="71" t="n">
        <f aca="false">AK13+AK15+AK27</f>
        <v>78662.7102690343</v>
      </c>
      <c r="AL29" s="71" t="n">
        <f aca="false">AL13+AL15+AL27</f>
        <v>84767.3063925399</v>
      </c>
      <c r="AM29" s="71" t="n">
        <f aca="false">SUM(C29:AL29)</f>
        <v>1217473.92518152</v>
      </c>
    </row>
    <row r="30" customFormat="false" ht="15" hidden="false" customHeight="false" outlineLevel="0" collapsed="false">
      <c r="A30" s="10" t="s">
        <v>746</v>
      </c>
      <c r="B30" s="9" t="s">
        <v>49</v>
      </c>
      <c r="C30" s="61" t="n">
        <f aca="false">C8*Assumptions!$G$47*Assumptions!$G$48^C10</f>
        <v>0</v>
      </c>
      <c r="D30" s="61" t="n">
        <f aca="false">D8*Assumptions!$G$47*Assumptions!$G$48^D10</f>
        <v>1500</v>
      </c>
      <c r="E30" s="61" t="n">
        <f aca="false">E8*Assumptions!$G$47*Assumptions!$G$48^E10</f>
        <v>2025</v>
      </c>
      <c r="F30" s="61" t="n">
        <f aca="false">F8*Assumptions!$G$47*Assumptions!$G$48^F10</f>
        <v>2733.75</v>
      </c>
      <c r="G30" s="61" t="n">
        <f aca="false">G8*Assumptions!$G$47*Assumptions!$G$48^G10</f>
        <v>3690.5625</v>
      </c>
      <c r="H30" s="61" t="n">
        <f aca="false">H8*Assumptions!$G$47*Assumptions!$G$48^H10</f>
        <v>4982.259375</v>
      </c>
      <c r="I30" s="61" t="n">
        <f aca="false">I8*Assumptions!$G$47*Assumptions!$G$48^I10</f>
        <v>6726.05015625</v>
      </c>
      <c r="J30" s="61" t="n">
        <f aca="false">J8*Assumptions!$G$47*Assumptions!$G$48^J10</f>
        <v>9080.1677109375</v>
      </c>
      <c r="K30" s="61" t="n">
        <f aca="false">K8*Assumptions!$G$47*Assumptions!$G$48^K10</f>
        <v>12258.2264097656</v>
      </c>
      <c r="L30" s="61" t="n">
        <f aca="false">L8*Assumptions!$G$47*Assumptions!$G$48^L10</f>
        <v>16548.6056531836</v>
      </c>
      <c r="M30" s="61" t="n">
        <f aca="false">M8*Assumptions!$G$47*Assumptions!$G$48^M10</f>
        <v>22340.6176317979</v>
      </c>
      <c r="N30" s="61" t="n">
        <f aca="false">N8*Assumptions!$G$47*Assumptions!$G$48^N10</f>
        <v>30159.8338029271</v>
      </c>
      <c r="O30" s="61" t="n">
        <f aca="false">O8*Assumptions!$G$47*Assumptions!$G$48^O10</f>
        <v>40715.7756339516</v>
      </c>
      <c r="P30" s="61" t="n">
        <f aca="false">P8*Assumptions!$G$47*Assumptions!$G$48^P10</f>
        <v>54966.2971058347</v>
      </c>
      <c r="Q30" s="61" t="n">
        <f aca="false">Q8*Assumptions!$G$47*Assumptions!$G$48^Q10</f>
        <v>74204.5010928768</v>
      </c>
      <c r="R30" s="61" t="n">
        <f aca="false">R8*Assumptions!$G$47*Assumptions!$G$48^R10</f>
        <v>100176.076475384</v>
      </c>
      <c r="S30" s="61" t="n">
        <f aca="false">S8*Assumptions!$G$47*Assumptions!$G$48^S10</f>
        <v>135237.703241768</v>
      </c>
      <c r="T30" s="61" t="n">
        <f aca="false">T8*Assumptions!$G$47*Assumptions!$G$48^T10</f>
        <v>182570.899376387</v>
      </c>
      <c r="U30" s="61" t="n">
        <f aca="false">U8*Assumptions!$G$47*Assumptions!$G$48^U10</f>
        <v>246470.714158122</v>
      </c>
      <c r="V30" s="61" t="n">
        <f aca="false">V8*Assumptions!$G$47*Assumptions!$G$48^V10</f>
        <v>332735.464113465</v>
      </c>
      <c r="W30" s="61" t="n">
        <f aca="false">W8*Assumptions!$G$47*Assumptions!$G$48^W10</f>
        <v>449192.876553178</v>
      </c>
      <c r="X30" s="61" t="n">
        <f aca="false">X8*Assumptions!$G$47*Assumptions!$G$48^X10</f>
        <v>606410.38334679</v>
      </c>
      <c r="Y30" s="61" t="n">
        <f aca="false">Y8*Assumptions!$G$47*Assumptions!$G$48^Y10</f>
        <v>818654.017518167</v>
      </c>
      <c r="Z30" s="61" t="n">
        <f aca="false">Z8*Assumptions!$G$47*Assumptions!$G$48^Z10</f>
        <v>1105182.92364953</v>
      </c>
      <c r="AA30" s="61" t="n">
        <f aca="false">AA8*Assumptions!$G$47*Assumptions!$G$48^AA10</f>
        <v>1491996.94692686</v>
      </c>
      <c r="AB30" s="61" t="n">
        <f aca="false">AB8*Assumptions!$G$47*Assumptions!$G$48^AB10</f>
        <v>2014195.87835126</v>
      </c>
      <c r="AC30" s="61" t="n">
        <f aca="false">AC8*Assumptions!$G$47*Assumptions!$G$48^AC10</f>
        <v>2719164.4357742</v>
      </c>
      <c r="AD30" s="61" t="n">
        <f aca="false">AD8*Assumptions!$G$47*Assumptions!$G$48^AD10</f>
        <v>3670871.98829517</v>
      </c>
      <c r="AE30" s="61" t="n">
        <f aca="false">AE8*Assumptions!$G$47*Assumptions!$G$48^AE10</f>
        <v>4955677.18419848</v>
      </c>
      <c r="AF30" s="61" t="n">
        <f aca="false">AF8*Assumptions!$G$47*Assumptions!$G$48^AF10</f>
        <v>6690164.19866795</v>
      </c>
      <c r="AG30" s="61" t="n">
        <f aca="false">AG8*Assumptions!$G$47*Assumptions!$G$48^AG10</f>
        <v>9031721.66820174</v>
      </c>
      <c r="AH30" s="61" t="n">
        <f aca="false">AH8*Assumptions!$G$47*Assumptions!$G$48^AH10</f>
        <v>12192824.2520723</v>
      </c>
      <c r="AI30" s="61" t="n">
        <f aca="false">AI8*Assumptions!$G$47*Assumptions!$G$48^AI10</f>
        <v>16460312.7402977</v>
      </c>
      <c r="AJ30" s="61" t="n">
        <f aca="false">AJ8*Assumptions!$G$47*Assumptions!$G$48^AJ10</f>
        <v>22221422.1994018</v>
      </c>
      <c r="AK30" s="61" t="n">
        <f aca="false">AK8*Assumptions!$G$47*Assumptions!$G$48^AK10</f>
        <v>29998919.9691925</v>
      </c>
      <c r="AL30" s="61" t="n">
        <f aca="false">AL8*Assumptions!$G$47*Assumptions!$G$48^AL10</f>
        <v>40498541.9584099</v>
      </c>
      <c r="AM30" s="61" t="n">
        <f aca="false">AL30</f>
        <v>40498541.9584099</v>
      </c>
    </row>
    <row r="31" customFormat="false" ht="15" hidden="false" customHeight="false" outlineLevel="0" collapsed="false">
      <c r="A31" s="10" t="s">
        <v>747</v>
      </c>
      <c r="B31" s="9" t="s">
        <v>49</v>
      </c>
      <c r="C31" s="61" t="n">
        <f aca="false">Assumptions!$G$49*C8*(C15+C13*Assumptions!$G$44+C19*Assumptions!$G$31*Assumptions!$G$32+C23*Assumptions!$G$38*Assumptions!$G$39+C25*Assumptions!$G$43)</f>
        <v>0</v>
      </c>
      <c r="D31" s="61" t="n">
        <f aca="false">Assumptions!$G$49*D8*(D15+D13*Assumptions!$G$44+D19*Assumptions!$G$31*Assumptions!$G$32+D23*Assumptions!$G$38*Assumptions!$G$39+D25*Assumptions!$G$43)</f>
        <v>215.670871911979</v>
      </c>
      <c r="E31" s="61" t="n">
        <f aca="false">Assumptions!$G$49*E8*(E15+E13*Assumptions!$G$44+E19*Assumptions!$G$31*Assumptions!$G$32+E23*Assumptions!$G$38*Assumptions!$G$39+E25*Assumptions!$G$43)</f>
        <v>220.996936914685</v>
      </c>
      <c r="F31" s="61" t="n">
        <f aca="false">Assumptions!$G$49*F8*(F15+F13*Assumptions!$G$44+F19*Assumptions!$G$31*Assumptions!$G$32+F23*Assumptions!$G$38*Assumptions!$G$39+F25*Assumptions!$G$43)</f>
        <v>224.648693360265</v>
      </c>
      <c r="G31" s="61" t="n">
        <f aca="false">Assumptions!$G$49*G8*(G15+G13*Assumptions!$G$44+G19*Assumptions!$G$31*Assumptions!$G$32+G23*Assumptions!$G$38*Assumptions!$G$39+G25*Assumptions!$G$43)</f>
        <v>228.478113667532</v>
      </c>
      <c r="H31" s="61" t="n">
        <f aca="false">Assumptions!$G$49*H8*(H15+H13*Assumptions!$G$44+H19*Assumptions!$G$31*Assumptions!$G$32+H23*Assumptions!$G$38*Assumptions!$G$39+H25*Assumptions!$G$43)</f>
        <v>232.641157608761</v>
      </c>
      <c r="I31" s="61" t="n">
        <f aca="false">Assumptions!$G$49*I8*(I15+I13*Assumptions!$G$44+I19*Assumptions!$G$31*Assumptions!$G$32+I23*Assumptions!$G$38*Assumptions!$G$39+I25*Assumptions!$G$43)</f>
        <v>237.17783506256</v>
      </c>
      <c r="J31" s="61" t="n">
        <f aca="false">Assumptions!$G$49*J8*(J15+J13*Assumptions!$G$44+J19*Assumptions!$G$31*Assumptions!$G$32+J23*Assumptions!$G$38*Assumptions!$G$39+J25*Assumptions!$G$43)</f>
        <v>242.122440771971</v>
      </c>
      <c r="K31" s="61" t="n">
        <f aca="false">Assumptions!$G$49*K8*(K15+K13*Assumptions!$G$44+K19*Assumptions!$G$31*Assumptions!$G$32+K23*Assumptions!$G$38*Assumptions!$G$39+K25*Assumptions!$G$43)</f>
        <v>247.511678625499</v>
      </c>
      <c r="L31" s="61" t="n">
        <f aca="false">Assumptions!$G$49*L8*(L15+L13*Assumptions!$G$44+L19*Assumptions!$G$31*Assumptions!$G$32+L23*Assumptions!$G$38*Assumptions!$G$39+L25*Assumptions!$G$43)</f>
        <v>253.385496074327</v>
      </c>
      <c r="M31" s="61" t="n">
        <f aca="false">Assumptions!$G$49*M8*(M15+M13*Assumptions!$G$44+M19*Assumptions!$G$31*Assumptions!$G$32+M23*Assumptions!$G$38*Assumptions!$G$39+M25*Assumptions!$G$43)</f>
        <v>259.787418063167</v>
      </c>
      <c r="N31" s="61" t="n">
        <f aca="false">Assumptions!$G$49*N8*(N15+N13*Assumptions!$G$44+N19*Assumptions!$G$31*Assumptions!$G$32+N23*Assumptions!$G$38*Assumptions!$G$39+N25*Assumptions!$G$43)</f>
        <v>266.764869298975</v>
      </c>
      <c r="O31" s="61" t="n">
        <f aca="false">Assumptions!$G$49*O8*(O15+O13*Assumptions!$G$44+O19*Assumptions!$G$31*Assumptions!$G$32+O23*Assumptions!$G$38*Assumptions!$G$39+O25*Assumptions!$G$43)</f>
        <v>274.369521970816</v>
      </c>
      <c r="P31" s="61" t="n">
        <f aca="false">Assumptions!$G$49*P8*(P15+P13*Assumptions!$G$44+P19*Assumptions!$G$31*Assumptions!$G$32+P23*Assumptions!$G$38*Assumptions!$G$39+P25*Assumptions!$G$43)</f>
        <v>282.65767382004</v>
      </c>
      <c r="Q31" s="61" t="n">
        <f aca="false">Assumptions!$G$49*Q8*(Q15+Q13*Assumptions!$G$44+Q19*Assumptions!$G$31*Assumptions!$G$32+Q23*Assumptions!$G$38*Assumptions!$G$39+Q25*Assumptions!$G$43)</f>
        <v>291.690659325052</v>
      </c>
      <c r="R31" s="61" t="n">
        <f aca="false">Assumptions!$G$49*R8*(R15+R13*Assumptions!$G$44+R19*Assumptions!$G$31*Assumptions!$G$32+R23*Assumptions!$G$38*Assumptions!$G$39+R25*Assumptions!$G$43)</f>
        <v>301.535296792322</v>
      </c>
      <c r="S31" s="61" t="n">
        <f aca="false">Assumptions!$G$49*S8*(S15+S13*Assumptions!$G$44+S19*Assumptions!$G$31*Assumptions!$G$32+S23*Assumptions!$G$38*Assumptions!$G$39+S25*Assumptions!$G$43)</f>
        <v>312.264374333643</v>
      </c>
      <c r="T31" s="61" t="n">
        <f aca="false">Assumptions!$G$49*T8*(T15+T13*Assumptions!$G$44+T19*Assumptions!$G$31*Assumptions!$G$32+T23*Assumptions!$G$38*Assumptions!$G$39+T25*Assumptions!$G$43)</f>
        <v>323.957177913454</v>
      </c>
      <c r="U31" s="61" t="n">
        <f aca="false">Assumptions!$G$49*U8*(U15+U13*Assumptions!$G$44+U19*Assumptions!$G$31*Assumptions!$G$32+U23*Assumptions!$G$38*Assumptions!$G$39+U25*Assumptions!$G$43)</f>
        <v>336.700064855139</v>
      </c>
      <c r="V31" s="61" t="n">
        <f aca="false">Assumptions!$G$49*V8*(V15+V13*Assumptions!$G$44+V19*Assumptions!$G$31*Assumptions!$G$32+V23*Assumptions!$G$38*Assumptions!$G$39+V25*Assumptions!$G$43)</f>
        <v>357.218712670443</v>
      </c>
      <c r="W31" s="61" t="n">
        <f aca="false">Assumptions!$G$49*W8*(W15+W13*Assumptions!$G$44+W19*Assumptions!$G$31*Assumptions!$G$32+W23*Assumptions!$G$38*Assumptions!$G$39+W25*Assumptions!$G$43)</f>
        <v>381.956027759909</v>
      </c>
      <c r="X31" s="61" t="n">
        <f aca="false">Assumptions!$G$49*X8*(X15+X13*Assumptions!$G$44+X19*Assumptions!$G$31*Assumptions!$G$32+X23*Assumptions!$G$38*Assumptions!$G$39+X25*Assumptions!$G$43)</f>
        <v>409.083745564552</v>
      </c>
      <c r="Y31" s="61" t="n">
        <f aca="false">Assumptions!$G$49*Y8*(Y15+Y13*Assumptions!$G$44+Y19*Assumptions!$G$31*Assumptions!$G$32+Y23*Assumptions!$G$38*Assumptions!$G$39+Y25*Assumptions!$G$43)</f>
        <v>438.622394233197</v>
      </c>
      <c r="Z31" s="61" t="n">
        <f aca="false">Assumptions!$G$49*Z8*(Z15+Z13*Assumptions!$G$44+Z19*Assumptions!$G$31*Assumptions!$G$32+Z23*Assumptions!$G$38*Assumptions!$G$39+Z25*Assumptions!$G$43)</f>
        <v>470.743815996939</v>
      </c>
      <c r="AA31" s="61" t="n">
        <f aca="false">Assumptions!$G$49*AA8*(AA15+AA13*Assumptions!$G$44+AA19*Assumptions!$G$31*Assumptions!$G$32+AA23*Assumptions!$G$38*Assumptions!$G$39+AA25*Assumptions!$G$43)</f>
        <v>505.658760922974</v>
      </c>
      <c r="AB31" s="61" t="n">
        <f aca="false">Assumptions!$G$49*AB8*(AB15+AB13*Assumptions!$G$44+AB19*Assumptions!$G$31*Assumptions!$G$32+AB23*Assumptions!$G$38*Assumptions!$G$39+AB25*Assumptions!$G$43)</f>
        <v>543.598700627648</v>
      </c>
      <c r="AC31" s="61" t="n">
        <f aca="false">Assumptions!$G$49*AC8*(AC15+AC13*Assumptions!$G$44+AC19*Assumptions!$G$31*Assumptions!$G$32+AC23*Assumptions!$G$38*Assumptions!$G$39+AC25*Assumptions!$G$43)</f>
        <v>584.524354514511</v>
      </c>
      <c r="AD31" s="61" t="n">
        <f aca="false">Assumptions!$G$49*AD8*(AD15+AD13*Assumptions!$G$44+AD19*Assumptions!$G$31*Assumptions!$G$32+AD23*Assumptions!$G$38*Assumptions!$G$39+AD25*Assumptions!$G$43)</f>
        <v>628.575672941345</v>
      </c>
      <c r="AE31" s="61" t="n">
        <f aca="false">Assumptions!$G$49*AE8*(AE15+AE13*Assumptions!$G$44+AE19*Assumptions!$G$31*Assumptions!$G$32+AE23*Assumptions!$G$38*Assumptions!$G$39+AE25*Assumptions!$G$43)</f>
        <v>676.093222912136</v>
      </c>
      <c r="AF31" s="61" t="n">
        <f aca="false">Assumptions!$G$49*AF8*(AF15+AF13*Assumptions!$G$44+AF19*Assumptions!$G$31*Assumptions!$G$32+AF23*Assumptions!$G$38*Assumptions!$G$39+AF25*Assumptions!$G$43)</f>
        <v>727.38258166194</v>
      </c>
      <c r="AG31" s="61" t="n">
        <f aca="false">Assumptions!$G$49*AG8*(AG15+AG13*Assumptions!$G$44+AG19*Assumptions!$G$31*Assumptions!$G$32+AG23*Assumptions!$G$38*Assumptions!$G$39+AG25*Assumptions!$G$43)</f>
        <v>782.771213116606</v>
      </c>
      <c r="AH31" s="61" t="n">
        <f aca="false">Assumptions!$G$49*AH8*(AH15+AH13*Assumptions!$G$44+AH19*Assumptions!$G$31*Assumptions!$G$32+AH23*Assumptions!$G$38*Assumptions!$G$39+AH25*Assumptions!$G$43)</f>
        <v>842.612964260368</v>
      </c>
      <c r="AI31" s="61" t="n">
        <f aca="false">Assumptions!$G$49*AI8*(AI15+AI13*Assumptions!$G$44+AI19*Assumptions!$G$31*Assumptions!$G$32+AI23*Assumptions!$G$38*Assumptions!$G$39+AI25*Assumptions!$G$43)</f>
        <v>907.291013666952</v>
      </c>
      <c r="AJ31" s="61" t="n">
        <f aca="false">Assumptions!$G$49*AJ8*(AJ15+AJ13*Assumptions!$G$44+AJ19*Assumptions!$G$31*Assumptions!$G$32+AJ23*Assumptions!$G$38*Assumptions!$G$39+AJ25*Assumptions!$G$43)</f>
        <v>977.220572360548</v>
      </c>
      <c r="AK31" s="61" t="n">
        <f aca="false">Assumptions!$G$49*AK8*(AK15+AK13*Assumptions!$G$44+AK19*Assumptions!$G$31*Assumptions!$G$32+AK23*Assumptions!$G$38*Assumptions!$G$39+AK25*Assumptions!$G$43)</f>
        <v>1052.85175807187</v>
      </c>
      <c r="AL31" s="61" t="n">
        <f aca="false">Assumptions!$G$49*AL8*(AL15+AL13*Assumptions!$G$44+AL19*Assumptions!$G$31*Assumptions!$G$32+AL23*Assumptions!$G$38*Assumptions!$G$39+AL25*Assumptions!$G$43)</f>
        <v>1134.67270545316</v>
      </c>
      <c r="AM31" s="61" t="n">
        <f aca="false">SUM(C31:AL31)</f>
        <v>16173.2384971053</v>
      </c>
    </row>
    <row r="32" customFormat="false" ht="15" hidden="false" customHeight="false" outlineLevel="0" collapsed="false">
      <c r="A32" s="38" t="s">
        <v>748</v>
      </c>
      <c r="B32" s="9" t="s">
        <v>49</v>
      </c>
      <c r="C32" s="71" t="n">
        <f aca="false">MIN(C31,C30)</f>
        <v>0</v>
      </c>
      <c r="D32" s="71" t="n">
        <f aca="false">MIN(D31,D30)</f>
        <v>215.670871911979</v>
      </c>
      <c r="E32" s="71" t="n">
        <f aca="false">MIN(E31,E30)</f>
        <v>220.996936914685</v>
      </c>
      <c r="F32" s="71" t="n">
        <f aca="false">MIN(F31,F30)</f>
        <v>224.648693360265</v>
      </c>
      <c r="G32" s="71" t="n">
        <f aca="false">MIN(G31,G30)</f>
        <v>228.478113667532</v>
      </c>
      <c r="H32" s="71" t="n">
        <f aca="false">MIN(H31,H30)</f>
        <v>232.641157608761</v>
      </c>
      <c r="I32" s="71" t="n">
        <f aca="false">MIN(I31,I30)</f>
        <v>237.17783506256</v>
      </c>
      <c r="J32" s="71" t="n">
        <f aca="false">MIN(J31,J30)</f>
        <v>242.122440771971</v>
      </c>
      <c r="K32" s="71" t="n">
        <f aca="false">MIN(K31,K30)</f>
        <v>247.511678625499</v>
      </c>
      <c r="L32" s="71" t="n">
        <f aca="false">MIN(L31,L30)</f>
        <v>253.385496074327</v>
      </c>
      <c r="M32" s="71" t="n">
        <f aca="false">MIN(M31,M30)</f>
        <v>259.787418063167</v>
      </c>
      <c r="N32" s="71" t="n">
        <f aca="false">MIN(N31,N30)</f>
        <v>266.764869298975</v>
      </c>
      <c r="O32" s="71" t="n">
        <f aca="false">MIN(O31,O30)</f>
        <v>274.369521970816</v>
      </c>
      <c r="P32" s="71" t="n">
        <f aca="false">MIN(P31,P30)</f>
        <v>282.65767382004</v>
      </c>
      <c r="Q32" s="71" t="n">
        <f aca="false">MIN(Q31,Q30)</f>
        <v>291.690659325052</v>
      </c>
      <c r="R32" s="71" t="n">
        <f aca="false">MIN(R31,R30)</f>
        <v>301.535296792322</v>
      </c>
      <c r="S32" s="71" t="n">
        <f aca="false">MIN(S31,S30)</f>
        <v>312.264374333643</v>
      </c>
      <c r="T32" s="71" t="n">
        <f aca="false">MIN(T31,T30)</f>
        <v>323.957177913454</v>
      </c>
      <c r="U32" s="71" t="n">
        <f aca="false">MIN(U31,U30)</f>
        <v>336.700064855139</v>
      </c>
      <c r="V32" s="71" t="n">
        <f aca="false">MIN(V31,V30)</f>
        <v>357.218712670443</v>
      </c>
      <c r="W32" s="71" t="n">
        <f aca="false">MIN(W31,W30)</f>
        <v>381.956027759909</v>
      </c>
      <c r="X32" s="71" t="n">
        <f aca="false">MIN(X31,X30)</f>
        <v>409.083745564552</v>
      </c>
      <c r="Y32" s="71" t="n">
        <f aca="false">MIN(Y31,Y30)</f>
        <v>438.622394233197</v>
      </c>
      <c r="Z32" s="71" t="n">
        <f aca="false">MIN(Z31,Z30)</f>
        <v>470.743815996939</v>
      </c>
      <c r="AA32" s="71" t="n">
        <f aca="false">MIN(AA31,AA30)</f>
        <v>505.658760922974</v>
      </c>
      <c r="AB32" s="71" t="n">
        <f aca="false">MIN(AB31,AB30)</f>
        <v>543.598700627648</v>
      </c>
      <c r="AC32" s="71" t="n">
        <f aca="false">MIN(AC31,AC30)</f>
        <v>584.524354514511</v>
      </c>
      <c r="AD32" s="71" t="n">
        <f aca="false">MIN(AD31,AD30)</f>
        <v>628.575672941345</v>
      </c>
      <c r="AE32" s="71" t="n">
        <f aca="false">MIN(AE31,AE30)</f>
        <v>676.093222912136</v>
      </c>
      <c r="AF32" s="71" t="n">
        <f aca="false">MIN(AF31,AF30)</f>
        <v>727.38258166194</v>
      </c>
      <c r="AG32" s="71" t="n">
        <f aca="false">MIN(AG31,AG30)</f>
        <v>782.771213116606</v>
      </c>
      <c r="AH32" s="71" t="n">
        <f aca="false">MIN(AH31,AH30)</f>
        <v>842.612964260368</v>
      </c>
      <c r="AI32" s="71" t="n">
        <f aca="false">MIN(AI31,AI30)</f>
        <v>907.291013666952</v>
      </c>
      <c r="AJ32" s="71" t="n">
        <f aca="false">MIN(AJ31,AJ30)</f>
        <v>977.220572360548</v>
      </c>
      <c r="AK32" s="71" t="n">
        <f aca="false">MIN(AK31,AK30)</f>
        <v>1052.85175807187</v>
      </c>
      <c r="AL32" s="71" t="n">
        <f aca="false">MIN(AL31,AL30)</f>
        <v>1134.67270545316</v>
      </c>
      <c r="AM32" s="71" t="n">
        <f aca="false">SUM(C32:AL32)</f>
        <v>16173.2384971053</v>
      </c>
    </row>
    <row r="33" customFormat="false" ht="15" hidden="false" customHeight="false" outlineLevel="0" collapsed="false">
      <c r="A33" s="10" t="s">
        <v>749</v>
      </c>
      <c r="B33" s="9" t="s">
        <v>49</v>
      </c>
      <c r="C33" s="61" t="n">
        <f aca="false">MAX(0,C31-C30)</f>
        <v>0</v>
      </c>
      <c r="D33" s="61" t="n">
        <f aca="false">MAX(0,D31-D30)</f>
        <v>0</v>
      </c>
      <c r="E33" s="61" t="n">
        <f aca="false">MAX(0,E31-E30)</f>
        <v>0</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0</v>
      </c>
    </row>
    <row r="34" customFormat="false" ht="15" hidden="false" customHeight="false" outlineLevel="0" collapsed="false">
      <c r="A34" s="10" t="s">
        <v>750</v>
      </c>
      <c r="B34" s="9" t="s">
        <v>49</v>
      </c>
      <c r="C34" s="61" t="n">
        <f aca="false">C32*Assumptions!$G$51</f>
        <v>0</v>
      </c>
      <c r="D34" s="61" t="n">
        <f aca="false">D32*Assumptions!$G$51</f>
        <v>86.2683487647918</v>
      </c>
      <c r="E34" s="61" t="n">
        <f aca="false">E32*Assumptions!$G$51</f>
        <v>88.3987747658738</v>
      </c>
      <c r="F34" s="61" t="n">
        <f aca="false">F32*Assumptions!$G$51</f>
        <v>89.8594773441058</v>
      </c>
      <c r="G34" s="61" t="n">
        <f aca="false">G32*Assumptions!$G$51</f>
        <v>91.3912454670129</v>
      </c>
      <c r="H34" s="61" t="n">
        <f aca="false">H32*Assumptions!$G$51</f>
        <v>93.0564630435042</v>
      </c>
      <c r="I34" s="61" t="n">
        <f aca="false">I32*Assumptions!$G$51</f>
        <v>94.8711340250239</v>
      </c>
      <c r="J34" s="61" t="n">
        <f aca="false">J32*Assumptions!$G$51</f>
        <v>96.8489763087884</v>
      </c>
      <c r="K34" s="61" t="n">
        <f aca="false">K32*Assumptions!$G$51</f>
        <v>99.0046714501997</v>
      </c>
      <c r="L34" s="61" t="n">
        <f aca="false">L32*Assumptions!$G$51</f>
        <v>101.354198429731</v>
      </c>
      <c r="M34" s="61" t="n">
        <f aca="false">M32*Assumptions!$G$51</f>
        <v>103.914967225267</v>
      </c>
      <c r="N34" s="61" t="n">
        <f aca="false">N32*Assumptions!$G$51</f>
        <v>106.70594771959</v>
      </c>
      <c r="O34" s="61" t="n">
        <f aca="false">O32*Assumptions!$G$51</f>
        <v>109.747808788326</v>
      </c>
      <c r="P34" s="61" t="n">
        <f aca="false">P32*Assumptions!$G$51</f>
        <v>113.063069528016</v>
      </c>
      <c r="Q34" s="61" t="n">
        <f aca="false">Q32*Assumptions!$G$51</f>
        <v>116.676263730021</v>
      </c>
      <c r="R34" s="61" t="n">
        <f aca="false">R32*Assumptions!$G$51</f>
        <v>120.614118716929</v>
      </c>
      <c r="S34" s="61" t="n">
        <f aca="false">S32*Assumptions!$G$51</f>
        <v>124.905749733457</v>
      </c>
      <c r="T34" s="61" t="n">
        <f aca="false">T32*Assumptions!$G$51</f>
        <v>129.582871165382</v>
      </c>
      <c r="U34" s="61" t="n">
        <f aca="false">U32*Assumptions!$G$51</f>
        <v>134.680025942056</v>
      </c>
      <c r="V34" s="61" t="n">
        <f aca="false">V32*Assumptions!$G$51</f>
        <v>142.887485068177</v>
      </c>
      <c r="W34" s="61" t="n">
        <f aca="false">W32*Assumptions!$G$51</f>
        <v>152.782411103964</v>
      </c>
      <c r="X34" s="61" t="n">
        <f aca="false">X32*Assumptions!$G$51</f>
        <v>163.633498225821</v>
      </c>
      <c r="Y34" s="61" t="n">
        <f aca="false">Y32*Assumptions!$G$51</f>
        <v>175.448957693279</v>
      </c>
      <c r="Z34" s="61" t="n">
        <f aca="false">Z32*Assumptions!$G$51</f>
        <v>188.297526398775</v>
      </c>
      <c r="AA34" s="61" t="n">
        <f aca="false">AA32*Assumptions!$G$51</f>
        <v>202.26350436919</v>
      </c>
      <c r="AB34" s="61" t="n">
        <f aca="false">AB32*Assumptions!$G$51</f>
        <v>217.439480251059</v>
      </c>
      <c r="AC34" s="61" t="n">
        <f aca="false">AC32*Assumptions!$G$51</f>
        <v>233.809741805805</v>
      </c>
      <c r="AD34" s="61" t="n">
        <f aca="false">AD32*Assumptions!$G$51</f>
        <v>251.430269176538</v>
      </c>
      <c r="AE34" s="61" t="n">
        <f aca="false">AE32*Assumptions!$G$51</f>
        <v>270.437289164855</v>
      </c>
      <c r="AF34" s="61" t="n">
        <f aca="false">AF32*Assumptions!$G$51</f>
        <v>290.953032664776</v>
      </c>
      <c r="AG34" s="61" t="n">
        <f aca="false">AG32*Assumptions!$G$51</f>
        <v>313.108485246642</v>
      </c>
      <c r="AH34" s="61" t="n">
        <f aca="false">AH32*Assumptions!$G$51</f>
        <v>337.045185704147</v>
      </c>
      <c r="AI34" s="61" t="n">
        <f aca="false">AI32*Assumptions!$G$51</f>
        <v>362.916405466781</v>
      </c>
      <c r="AJ34" s="61" t="n">
        <f aca="false">AJ32*Assumptions!$G$51</f>
        <v>390.888228944219</v>
      </c>
      <c r="AK34" s="61" t="n">
        <f aca="false">AK32*Assumptions!$G$51</f>
        <v>421.140703228749</v>
      </c>
      <c r="AL34" s="61" t="n">
        <f aca="false">AL32*Assumptions!$G$51</f>
        <v>453.869082181264</v>
      </c>
      <c r="AM34" s="61" t="n">
        <f aca="false">SUM(C34:AL34)</f>
        <v>6469.29539884211</v>
      </c>
    </row>
    <row r="35" customFormat="false" ht="15" hidden="false" customHeight="false" outlineLevel="0" collapsed="false">
      <c r="A35" s="10" t="s">
        <v>751</v>
      </c>
      <c r="B35" s="9" t="s">
        <v>49</v>
      </c>
      <c r="C35" s="61" t="n">
        <f aca="false">C32*(1-Assumptions!$G$51)</f>
        <v>0</v>
      </c>
      <c r="D35" s="61" t="n">
        <f aca="false">D32*(1-Assumptions!$G$51)</f>
        <v>129.402523147188</v>
      </c>
      <c r="E35" s="61" t="n">
        <f aca="false">E32*(1-Assumptions!$G$51)</f>
        <v>132.598162148811</v>
      </c>
      <c r="F35" s="61" t="n">
        <f aca="false">F32*(1-Assumptions!$G$51)</f>
        <v>134.789216016159</v>
      </c>
      <c r="G35" s="61" t="n">
        <f aca="false">G32*(1-Assumptions!$G$51)</f>
        <v>137.086868200519</v>
      </c>
      <c r="H35" s="61" t="n">
        <f aca="false">H32*(1-Assumptions!$G$51)</f>
        <v>139.584694565256</v>
      </c>
      <c r="I35" s="61" t="n">
        <f aca="false">I32*(1-Assumptions!$G$51)</f>
        <v>142.306701037536</v>
      </c>
      <c r="J35" s="61" t="n">
        <f aca="false">J32*(1-Assumptions!$G$51)</f>
        <v>145.273464463183</v>
      </c>
      <c r="K35" s="61" t="n">
        <f aca="false">K32*(1-Assumptions!$G$51)</f>
        <v>148.5070071753</v>
      </c>
      <c r="L35" s="61" t="n">
        <f aca="false">L32*(1-Assumptions!$G$51)</f>
        <v>152.031297644596</v>
      </c>
      <c r="M35" s="61" t="n">
        <f aca="false">M32*(1-Assumptions!$G$51)</f>
        <v>155.8724508379</v>
      </c>
      <c r="N35" s="61" t="n">
        <f aca="false">N32*(1-Assumptions!$G$51)</f>
        <v>160.058921579385</v>
      </c>
      <c r="O35" s="61" t="n">
        <f aca="false">O32*(1-Assumptions!$G$51)</f>
        <v>164.62171318249</v>
      </c>
      <c r="P35" s="61" t="n">
        <f aca="false">P32*(1-Assumptions!$G$51)</f>
        <v>169.594604292024</v>
      </c>
      <c r="Q35" s="61" t="n">
        <f aca="false">Q32*(1-Assumptions!$G$51)</f>
        <v>175.014395595031</v>
      </c>
      <c r="R35" s="61" t="n">
        <f aca="false">R32*(1-Assumptions!$G$51)</f>
        <v>180.921178075393</v>
      </c>
      <c r="S35" s="61" t="n">
        <f aca="false">S32*(1-Assumptions!$G$51)</f>
        <v>187.358624600186</v>
      </c>
      <c r="T35" s="61" t="n">
        <f aca="false">T32*(1-Assumptions!$G$51)</f>
        <v>194.374306748072</v>
      </c>
      <c r="U35" s="61" t="n">
        <f aca="false">U32*(1-Assumptions!$G$51)</f>
        <v>202.020038913084</v>
      </c>
      <c r="V35" s="61" t="n">
        <f aca="false">V32*(1-Assumptions!$G$51)</f>
        <v>214.331227602266</v>
      </c>
      <c r="W35" s="61" t="n">
        <f aca="false">W32*(1-Assumptions!$G$51)</f>
        <v>229.173616655945</v>
      </c>
      <c r="X35" s="61" t="n">
        <f aca="false">X32*(1-Assumptions!$G$51)</f>
        <v>245.450247338731</v>
      </c>
      <c r="Y35" s="61" t="n">
        <f aca="false">Y32*(1-Assumptions!$G$51)</f>
        <v>263.173436539918</v>
      </c>
      <c r="Z35" s="61" t="n">
        <f aca="false">Z32*(1-Assumptions!$G$51)</f>
        <v>282.446289598163</v>
      </c>
      <c r="AA35" s="61" t="n">
        <f aca="false">AA32*(1-Assumptions!$G$51)</f>
        <v>303.395256553785</v>
      </c>
      <c r="AB35" s="61" t="n">
        <f aca="false">AB32*(1-Assumptions!$G$51)</f>
        <v>326.159220376589</v>
      </c>
      <c r="AC35" s="61" t="n">
        <f aca="false">AC32*(1-Assumptions!$G$51)</f>
        <v>350.714612708707</v>
      </c>
      <c r="AD35" s="61" t="n">
        <f aca="false">AD32*(1-Assumptions!$G$51)</f>
        <v>377.145403764807</v>
      </c>
      <c r="AE35" s="61" t="n">
        <f aca="false">AE32*(1-Assumptions!$G$51)</f>
        <v>405.655933747282</v>
      </c>
      <c r="AF35" s="61" t="n">
        <f aca="false">AF32*(1-Assumptions!$G$51)</f>
        <v>436.429548997164</v>
      </c>
      <c r="AG35" s="61" t="n">
        <f aca="false">AG32*(1-Assumptions!$G$51)</f>
        <v>469.662727869964</v>
      </c>
      <c r="AH35" s="61" t="n">
        <f aca="false">AH32*(1-Assumptions!$G$51)</f>
        <v>505.567778556221</v>
      </c>
      <c r="AI35" s="61" t="n">
        <f aca="false">AI32*(1-Assumptions!$G$51)</f>
        <v>544.374608200171</v>
      </c>
      <c r="AJ35" s="61" t="n">
        <f aca="false">AJ32*(1-Assumptions!$G$51)</f>
        <v>586.332343416329</v>
      </c>
      <c r="AK35" s="61" t="n">
        <f aca="false">AK32*(1-Assumptions!$G$51)</f>
        <v>631.711054843124</v>
      </c>
      <c r="AL35" s="61" t="n">
        <f aca="false">AL32*(1-Assumptions!$G$51)</f>
        <v>680.803623271895</v>
      </c>
      <c r="AM35" s="61" t="n">
        <f aca="false">SUM(C35:AL35)</f>
        <v>9703.94309826317</v>
      </c>
    </row>
    <row r="36" customFormat="false" ht="15" hidden="false" customHeight="false" outlineLevel="0" collapsed="false">
      <c r="A36" s="38" t="s">
        <v>752</v>
      </c>
      <c r="B36" s="9" t="s">
        <v>49</v>
      </c>
      <c r="C36" s="71" t="n">
        <f aca="false">C34</f>
        <v>0</v>
      </c>
      <c r="D36" s="71" t="n">
        <f aca="false">C36*(1-Assumptions!$G$52)+D34</f>
        <v>86.2683487647918</v>
      </c>
      <c r="E36" s="71" t="n">
        <f aca="false">D36*(1-Assumptions!$G$52)+E34</f>
        <v>168.62833911713</v>
      </c>
      <c r="F36" s="71" t="n">
        <f aca="false">E36*(1-Assumptions!$G$52)+F34</f>
        <v>246.683832723037</v>
      </c>
      <c r="G36" s="71" t="n">
        <f aca="false">F36*(1-Assumptions!$G$52)+G34</f>
        <v>320.807209899437</v>
      </c>
      <c r="H36" s="71" t="n">
        <f aca="false">G36*(1-Assumptions!$G$52)+H34</f>
        <v>391.407168249981</v>
      </c>
      <c r="I36" s="71" t="n">
        <f aca="false">H36*(1-Assumptions!$G$52)+I34</f>
        <v>458.879800497506</v>
      </c>
      <c r="J36" s="71" t="n">
        <f aca="false">I36*(1-Assumptions!$G$52)+J34</f>
        <v>523.607190771469</v>
      </c>
      <c r="K36" s="71" t="n">
        <f aca="false">J36*(1-Assumptions!$G$52)+K34</f>
        <v>585.959358867666</v>
      </c>
      <c r="L36" s="71" t="n">
        <f aca="false">K36*(1-Assumptions!$G$52)+L34</f>
        <v>646.29640217666</v>
      </c>
      <c r="M36" s="71" t="n">
        <f aca="false">L36*(1-Assumptions!$G$52)+M34</f>
        <v>704.97062124956</v>
      </c>
      <c r="N36" s="71" t="n">
        <f aca="false">M36*(1-Assumptions!$G$52)+N34</f>
        <v>762.328625481681</v>
      </c>
      <c r="O36" s="71" t="n">
        <f aca="false">N36*(1-Assumptions!$G$52)+O34</f>
        <v>818.71343048629</v>
      </c>
      <c r="P36" s="71" t="n">
        <f aca="false">O36*(1-Assumptions!$G$52)+P34</f>
        <v>874.466559880265</v>
      </c>
      <c r="Q36" s="71" t="n">
        <f aca="false">P36*(1-Assumptions!$G$52)+Q34</f>
        <v>929.930164418668</v>
      </c>
      <c r="R36" s="71" t="n">
        <f aca="false">Q36*(1-Assumptions!$G$52)+R34</f>
        <v>985.44917162629</v>
      </c>
      <c r="S36" s="71" t="n">
        <f aca="false">R36*(1-Assumptions!$G$52)+S34</f>
        <v>1041.37347934591</v>
      </c>
      <c r="T36" s="71" t="n">
        <f aca="false">S36*(1-Assumptions!$G$52)+T34</f>
        <v>1098.06020695707</v>
      </c>
      <c r="U36" s="71" t="n">
        <f aca="false">T36*(1-Assumptions!$G$52)+U34</f>
        <v>1155.87601841213</v>
      </c>
      <c r="V36" s="71" t="n">
        <f aca="false">U36*(1-Assumptions!$G$52)+V34</f>
        <v>1217.85218219146</v>
      </c>
      <c r="W36" s="71" t="n">
        <f aca="false">V36*(1-Assumptions!$G$52)+W34</f>
        <v>1285.38494054202</v>
      </c>
      <c r="X36" s="71" t="n">
        <f aca="false">W36*(1-Assumptions!$G$52)+X34</f>
        <v>1359.0414929299</v>
      </c>
      <c r="Y36" s="71" t="n">
        <f aca="false">X36*(1-Assumptions!$G$52)+Y34</f>
        <v>1439.35754611809</v>
      </c>
      <c r="Z36" s="71" t="n">
        <f aca="false">Y36*(1-Assumptions!$G$52)+Z34</f>
        <v>1526.9000442886</v>
      </c>
      <c r="AA36" s="71" t="n">
        <f aca="false">Z36*(1-Assumptions!$G$52)+AA34</f>
        <v>1622.28054555759</v>
      </c>
      <c r="AB36" s="71" t="n">
        <f aca="false">AA36*(1-Assumptions!$G$52)+AB34</f>
        <v>1726.16038761961</v>
      </c>
      <c r="AC36" s="71" t="n">
        <f aca="false">AB36*(1-Assumptions!$G$52)+AC34</f>
        <v>1839.13890229204</v>
      </c>
      <c r="AD36" s="71" t="n">
        <f aca="false">AC36*(1-Assumptions!$G$52)+AD34</f>
        <v>1961.82944830814</v>
      </c>
      <c r="AE36" s="71" t="n">
        <f aca="false">AD36*(1-Assumptions!$G$52)+AE34</f>
        <v>2094.93867609142</v>
      </c>
      <c r="AF36" s="71" t="n">
        <f aca="false">AE36*(1-Assumptions!$G$52)+AF34</f>
        <v>2239.2460014298</v>
      </c>
      <c r="AG36" s="71" t="n">
        <f aca="false">AF36*(1-Assumptions!$G$52)+AG34</f>
        <v>2395.60726657636</v>
      </c>
      <c r="AH36" s="71" t="n">
        <f aca="false">AG36*(1-Assumptions!$G$52)+AH34</f>
        <v>2564.95994362016</v>
      </c>
      <c r="AI36" s="71" t="n">
        <f aca="false">AH36*(1-Assumptions!$G$52)+AI34</f>
        <v>2748.32915303353</v>
      </c>
      <c r="AJ36" s="71" t="n">
        <f aca="false">AI36*(1-Assumptions!$G$52)+AJ34</f>
        <v>2946.8343412654</v>
      </c>
      <c r="AK36" s="71" t="n">
        <f aca="false">AJ36*(1-Assumptions!$G$52)+AK34</f>
        <v>3161.69664060557</v>
      </c>
      <c r="AL36" s="71" t="n">
        <f aca="false">AK36*(1-Assumptions!$G$52)+AL34</f>
        <v>3394.24695794444</v>
      </c>
      <c r="AM36" s="71" t="n">
        <f aca="false">AL36</f>
        <v>3394.24695794444</v>
      </c>
    </row>
    <row r="37" customFormat="false" ht="15" hidden="false" customHeight="false" outlineLevel="0" collapsed="false">
      <c r="A37" s="10" t="s">
        <v>753</v>
      </c>
      <c r="B37" s="9" t="s">
        <v>49</v>
      </c>
      <c r="C37" s="61" t="n">
        <f aca="false">0</f>
        <v>0</v>
      </c>
      <c r="D37" s="61" t="n">
        <f aca="false">C36*Assumptions!$G$52</f>
        <v>0</v>
      </c>
      <c r="E37" s="61" t="n">
        <f aca="false">D36*Assumptions!$G$52</f>
        <v>6.03878441353542</v>
      </c>
      <c r="F37" s="61" t="n">
        <f aca="false">E36*Assumptions!$G$52</f>
        <v>11.8039837381991</v>
      </c>
      <c r="G37" s="61" t="n">
        <f aca="false">F36*Assumptions!$G$52</f>
        <v>17.2678682906126</v>
      </c>
      <c r="H37" s="61" t="n">
        <f aca="false">G36*Assumptions!$G$52</f>
        <v>22.4565046929606</v>
      </c>
      <c r="I37" s="61" t="n">
        <f aca="false">H36*Assumptions!$G$52</f>
        <v>27.3985017774987</v>
      </c>
      <c r="J37" s="61" t="n">
        <f aca="false">I36*Assumptions!$G$52</f>
        <v>32.1215860348254</v>
      </c>
      <c r="K37" s="61" t="n">
        <f aca="false">J36*Assumptions!$G$52</f>
        <v>36.6525033540028</v>
      </c>
      <c r="L37" s="61" t="n">
        <f aca="false">K36*Assumptions!$G$52</f>
        <v>41.0171551207366</v>
      </c>
      <c r="M37" s="61" t="n">
        <f aca="false">L36*Assumptions!$G$52</f>
        <v>45.2407481523662</v>
      </c>
      <c r="N37" s="61" t="n">
        <f aca="false">M36*Assumptions!$G$52</f>
        <v>49.3479434874692</v>
      </c>
      <c r="O37" s="61" t="n">
        <f aca="false">N36*Assumptions!$G$52</f>
        <v>53.3630037837177</v>
      </c>
      <c r="P37" s="61" t="n">
        <f aca="false">O36*Assumptions!$G$52</f>
        <v>57.3099401340403</v>
      </c>
      <c r="Q37" s="61" t="n">
        <f aca="false">P36*Assumptions!$G$52</f>
        <v>61.2126591916186</v>
      </c>
      <c r="R37" s="61" t="n">
        <f aca="false">Q36*Assumptions!$G$52</f>
        <v>65.0951115093067</v>
      </c>
      <c r="S37" s="61" t="n">
        <f aca="false">R36*Assumptions!$G$52</f>
        <v>68.9814420138403</v>
      </c>
      <c r="T37" s="61" t="n">
        <f aca="false">S36*Assumptions!$G$52</f>
        <v>72.8961435542135</v>
      </c>
      <c r="U37" s="61" t="n">
        <f aca="false">T36*Assumptions!$G$52</f>
        <v>76.8642144869952</v>
      </c>
      <c r="V37" s="61" t="n">
        <f aca="false">U36*Assumptions!$G$52</f>
        <v>80.9113212888494</v>
      </c>
      <c r="W37" s="61" t="n">
        <f aca="false">V36*Assumptions!$G$52</f>
        <v>85.2496527534024</v>
      </c>
      <c r="X37" s="61" t="n">
        <f aca="false">W36*Assumptions!$G$52</f>
        <v>89.9769458379417</v>
      </c>
      <c r="Y37" s="61" t="n">
        <f aca="false">X36*Assumptions!$G$52</f>
        <v>95.1329045050932</v>
      </c>
      <c r="Z37" s="61" t="n">
        <f aca="false">Y36*Assumptions!$G$52</f>
        <v>100.755028228266</v>
      </c>
      <c r="AA37" s="61" t="n">
        <f aca="false">Z36*Assumptions!$G$52</f>
        <v>106.883003100202</v>
      </c>
      <c r="AB37" s="61" t="n">
        <f aca="false">AA36*Assumptions!$G$52</f>
        <v>113.559638189031</v>
      </c>
      <c r="AC37" s="61" t="n">
        <f aca="false">AB36*Assumptions!$G$52</f>
        <v>120.831227133373</v>
      </c>
      <c r="AD37" s="61" t="n">
        <f aca="false">AC36*Assumptions!$G$52</f>
        <v>128.739723160443</v>
      </c>
      <c r="AE37" s="61" t="n">
        <f aca="false">AD36*Assumptions!$G$52</f>
        <v>137.32806138157</v>
      </c>
      <c r="AF37" s="61" t="n">
        <f aca="false">AE36*Assumptions!$G$52</f>
        <v>146.6457073264</v>
      </c>
      <c r="AG37" s="61" t="n">
        <f aca="false">AF36*Assumptions!$G$52</f>
        <v>156.747220100086</v>
      </c>
      <c r="AH37" s="61" t="n">
        <f aca="false">AG36*Assumptions!$G$52</f>
        <v>167.692508660345</v>
      </c>
      <c r="AI37" s="61" t="n">
        <f aca="false">AH36*Assumptions!$G$52</f>
        <v>179.547196053411</v>
      </c>
      <c r="AJ37" s="61" t="n">
        <f aca="false">AI36*Assumptions!$G$52</f>
        <v>192.383040712347</v>
      </c>
      <c r="AK37" s="61" t="n">
        <f aca="false">AJ36*Assumptions!$G$52</f>
        <v>206.278403888578</v>
      </c>
      <c r="AL37" s="61" t="n">
        <f aca="false">AK36*Assumptions!$G$52</f>
        <v>221.31876484239</v>
      </c>
      <c r="AM37" s="61" t="n">
        <f aca="false">SUM(C37:AL37)</f>
        <v>3075.04844089767</v>
      </c>
    </row>
    <row r="38" customFormat="false" ht="15" hidden="false" customHeight="false" outlineLevel="0" collapsed="false">
      <c r="A38" s="10" t="s">
        <v>754</v>
      </c>
      <c r="B38" s="9" t="s">
        <v>49</v>
      </c>
      <c r="C38" s="61" t="n">
        <f aca="false">0</f>
        <v>0</v>
      </c>
      <c r="D38" s="61" t="n">
        <f aca="false">C35*Assumptions!$G$53</f>
        <v>0</v>
      </c>
      <c r="E38" s="61" t="n">
        <f aca="false">D35*Assumptions!$G$53</f>
        <v>14.2342775461906</v>
      </c>
      <c r="F38" s="61" t="n">
        <f aca="false">E35*Assumptions!$G$53</f>
        <v>14.5857978363692</v>
      </c>
      <c r="G38" s="61" t="n">
        <f aca="false">F35*Assumptions!$G$53</f>
        <v>14.8268137617775</v>
      </c>
      <c r="H38" s="61" t="n">
        <f aca="false">G35*Assumptions!$G$53</f>
        <v>15.0795555020571</v>
      </c>
      <c r="I38" s="61" t="n">
        <f aca="false">H35*Assumptions!$G$53</f>
        <v>15.3543164021782</v>
      </c>
      <c r="J38" s="61" t="n">
        <f aca="false">I35*Assumptions!$G$53</f>
        <v>15.6537371141289</v>
      </c>
      <c r="K38" s="61" t="n">
        <f aca="false">J35*Assumptions!$G$53</f>
        <v>15.9800810909501</v>
      </c>
      <c r="L38" s="61" t="n">
        <f aca="false">K35*Assumptions!$G$53</f>
        <v>16.3357707892829</v>
      </c>
      <c r="M38" s="61" t="n">
        <f aca="false">L35*Assumptions!$G$53</f>
        <v>16.7234427409056</v>
      </c>
      <c r="N38" s="61" t="n">
        <f aca="false">M35*Assumptions!$G$53</f>
        <v>17.145969592169</v>
      </c>
      <c r="O38" s="61" t="n">
        <f aca="false">N35*Assumptions!$G$53</f>
        <v>17.6064813737323</v>
      </c>
      <c r="P38" s="61" t="n">
        <f aca="false">O35*Assumptions!$G$53</f>
        <v>18.1083884500739</v>
      </c>
      <c r="Q38" s="61" t="n">
        <f aca="false">P35*Assumptions!$G$53</f>
        <v>18.6554064721226</v>
      </c>
      <c r="R38" s="61" t="n">
        <f aca="false">Q35*Assumptions!$G$53</f>
        <v>19.2515835154535</v>
      </c>
      <c r="S38" s="61" t="n">
        <f aca="false">R35*Assumptions!$G$53</f>
        <v>19.9013295882932</v>
      </c>
      <c r="T38" s="61" t="n">
        <f aca="false">S35*Assumptions!$G$53</f>
        <v>20.6094487060204</v>
      </c>
      <c r="U38" s="61" t="n">
        <f aca="false">T35*Assumptions!$G$53</f>
        <v>21.381173742288</v>
      </c>
      <c r="V38" s="61" t="n">
        <f aca="false">U35*Assumptions!$G$53</f>
        <v>22.2222042804392</v>
      </c>
      <c r="W38" s="61" t="n">
        <f aca="false">V35*Assumptions!$G$53</f>
        <v>23.5764350362492</v>
      </c>
      <c r="X38" s="61" t="n">
        <f aca="false">W35*Assumptions!$G$53</f>
        <v>25.209097832154</v>
      </c>
      <c r="Y38" s="61" t="n">
        <f aca="false">X35*Assumptions!$G$53</f>
        <v>26.9995272072604</v>
      </c>
      <c r="Z38" s="61" t="n">
        <f aca="false">Y35*Assumptions!$G$53</f>
        <v>28.949078019391</v>
      </c>
      <c r="AA38" s="61" t="n">
        <f aca="false">Z35*Assumptions!$G$53</f>
        <v>31.0690918557979</v>
      </c>
      <c r="AB38" s="61" t="n">
        <f aca="false">AA35*Assumptions!$G$53</f>
        <v>33.3734782209163</v>
      </c>
      <c r="AC38" s="61" t="n">
        <f aca="false">AB35*Assumptions!$G$53</f>
        <v>35.8775142414248</v>
      </c>
      <c r="AD38" s="61" t="n">
        <f aca="false">AC35*Assumptions!$G$53</f>
        <v>38.5786073979577</v>
      </c>
      <c r="AE38" s="61" t="n">
        <f aca="false">AD35*Assumptions!$G$53</f>
        <v>41.4859944141288</v>
      </c>
      <c r="AF38" s="61" t="n">
        <f aca="false">AE35*Assumptions!$G$53</f>
        <v>44.622152712201</v>
      </c>
      <c r="AG38" s="61" t="n">
        <f aca="false">AF35*Assumptions!$G$53</f>
        <v>48.0072503896881</v>
      </c>
      <c r="AH38" s="61" t="n">
        <f aca="false">AG35*Assumptions!$G$53</f>
        <v>51.662900065696</v>
      </c>
      <c r="AI38" s="61" t="n">
        <f aca="false">AH35*Assumptions!$G$53</f>
        <v>55.6124556411843</v>
      </c>
      <c r="AJ38" s="61" t="n">
        <f aca="false">AI35*Assumptions!$G$53</f>
        <v>59.8812069020188</v>
      </c>
      <c r="AK38" s="61" t="n">
        <f aca="false">AJ35*Assumptions!$G$53</f>
        <v>64.4965577757962</v>
      </c>
      <c r="AL38" s="61" t="n">
        <f aca="false">AK35*Assumptions!$G$53</f>
        <v>69.4882160327436</v>
      </c>
      <c r="AM38" s="61" t="n">
        <f aca="false">SUM(C38:AL38)</f>
        <v>992.54534224904</v>
      </c>
    </row>
    <row r="39" customFormat="false" ht="15" hidden="false" customHeight="false" outlineLevel="0" collapsed="false">
      <c r="A39" s="38" t="s">
        <v>755</v>
      </c>
      <c r="B39" s="9" t="s">
        <v>49</v>
      </c>
      <c r="C39" s="71" t="n">
        <f aca="false">C35+C36+C38</f>
        <v>0</v>
      </c>
      <c r="D39" s="71" t="n">
        <f aca="false">D35+D36+D38</f>
        <v>215.670871911979</v>
      </c>
      <c r="E39" s="71" t="n">
        <f aca="false">E35+E36+E38</f>
        <v>315.460778812132</v>
      </c>
      <c r="F39" s="71" t="n">
        <f aca="false">F35+F36+F38</f>
        <v>396.058846575565</v>
      </c>
      <c r="G39" s="71" t="n">
        <f aca="false">G35+G36+G38</f>
        <v>472.720891861734</v>
      </c>
      <c r="H39" s="71" t="n">
        <f aca="false">H35+H36+H38</f>
        <v>546.071418317294</v>
      </c>
      <c r="I39" s="71" t="n">
        <f aca="false">I35+I36+I38</f>
        <v>616.54081793722</v>
      </c>
      <c r="J39" s="71" t="n">
        <f aca="false">J35+J36+J38</f>
        <v>684.534392348781</v>
      </c>
      <c r="K39" s="71" t="n">
        <f aca="false">K35+K36+K38</f>
        <v>750.446447133915</v>
      </c>
      <c r="L39" s="71" t="n">
        <f aca="false">L35+L36+L38</f>
        <v>814.663470610539</v>
      </c>
      <c r="M39" s="71" t="n">
        <f aca="false">M35+M36+M38</f>
        <v>877.566514828366</v>
      </c>
      <c r="N39" s="71" t="n">
        <f aca="false">N35+N36+N38</f>
        <v>939.533516653235</v>
      </c>
      <c r="O39" s="71" t="n">
        <f aca="false">O35+O36+O38</f>
        <v>1000.94162504251</v>
      </c>
      <c r="P39" s="71" t="n">
        <f aca="false">P35+P36+P38</f>
        <v>1062.16955262236</v>
      </c>
      <c r="Q39" s="71" t="n">
        <f aca="false">Q35+Q36+Q38</f>
        <v>1123.59996648582</v>
      </c>
      <c r="R39" s="71" t="n">
        <f aca="false">R35+R36+R38</f>
        <v>1185.62193321714</v>
      </c>
      <c r="S39" s="71" t="n">
        <f aca="false">S35+S36+S38</f>
        <v>1248.63343353439</v>
      </c>
      <c r="T39" s="71" t="n">
        <f aca="false">T35+T36+T38</f>
        <v>1313.04396241117</v>
      </c>
      <c r="U39" s="71" t="n">
        <f aca="false">U35+U36+U38</f>
        <v>1379.27723106751</v>
      </c>
      <c r="V39" s="71" t="n">
        <f aca="false">V35+V36+V38</f>
        <v>1454.40561407417</v>
      </c>
      <c r="W39" s="71" t="n">
        <f aca="false">W35+W36+W38</f>
        <v>1538.13499223422</v>
      </c>
      <c r="X39" s="71" t="n">
        <f aca="false">X35+X36+X38</f>
        <v>1629.70083810079</v>
      </c>
      <c r="Y39" s="71" t="n">
        <f aca="false">Y35+Y36+Y38</f>
        <v>1729.53050986527</v>
      </c>
      <c r="Z39" s="71" t="n">
        <f aca="false">Z35+Z36+Z38</f>
        <v>1838.29541190615</v>
      </c>
      <c r="AA39" s="71" t="n">
        <f aca="false">AA35+AA36+AA38</f>
        <v>1956.74489396717</v>
      </c>
      <c r="AB39" s="71" t="n">
        <f aca="false">AB35+AB36+AB38</f>
        <v>2085.69308621712</v>
      </c>
      <c r="AC39" s="71" t="n">
        <f aca="false">AC35+AC36+AC38</f>
        <v>2225.73102924218</v>
      </c>
      <c r="AD39" s="71" t="n">
        <f aca="false">AD35+AD36+AD38</f>
        <v>2377.5534594709</v>
      </c>
      <c r="AE39" s="71" t="n">
        <f aca="false">AE35+AE36+AE38</f>
        <v>2542.08060425283</v>
      </c>
      <c r="AF39" s="71" t="n">
        <f aca="false">AF35+AF36+AF38</f>
        <v>2720.29770313917</v>
      </c>
      <c r="AG39" s="71" t="n">
        <f aca="false">AG35+AG36+AG38</f>
        <v>2913.27724483601</v>
      </c>
      <c r="AH39" s="71" t="n">
        <f aca="false">AH35+AH36+AH38</f>
        <v>3122.19062224208</v>
      </c>
      <c r="AI39" s="71" t="n">
        <f aca="false">AI35+AI36+AI38</f>
        <v>3348.31621687488</v>
      </c>
      <c r="AJ39" s="71" t="n">
        <f aca="false">AJ35+AJ36+AJ38</f>
        <v>3593.04789158375</v>
      </c>
      <c r="AK39" s="71" t="n">
        <f aca="false">AK35+AK36+AK38</f>
        <v>3857.90425322449</v>
      </c>
      <c r="AL39" s="71" t="n">
        <f aca="false">AL35+AL36+AL38</f>
        <v>4144.53879724908</v>
      </c>
      <c r="AM39" s="71" t="n">
        <f aca="false">SUM(C39:AL39)</f>
        <v>58019.9988398519</v>
      </c>
    </row>
    <row r="40" customFormat="false" ht="15" hidden="false" customHeight="false" outlineLevel="0" collapsed="false">
      <c r="A40" s="10" t="s">
        <v>756</v>
      </c>
      <c r="B40" s="9" t="s">
        <v>95</v>
      </c>
      <c r="C40" s="70" t="n">
        <f aca="false">C39*Assumptions!$G$50</f>
        <v>0</v>
      </c>
      <c r="D40" s="70" t="n">
        <f aca="false">D39*Assumptions!$G$50</f>
        <v>16822.3280091344</v>
      </c>
      <c r="E40" s="70" t="n">
        <f aca="false">E39*Assumptions!$G$50</f>
        <v>24605.9407473463</v>
      </c>
      <c r="F40" s="70" t="n">
        <f aca="false">F39*Assumptions!$G$50</f>
        <v>30892.590032894</v>
      </c>
      <c r="G40" s="70" t="n">
        <f aca="false">G39*Assumptions!$G$50</f>
        <v>36872.2295652152</v>
      </c>
      <c r="H40" s="70" t="n">
        <f aca="false">H39*Assumptions!$G$50</f>
        <v>42593.5706287489</v>
      </c>
      <c r="I40" s="70" t="n">
        <f aca="false">I39*Assumptions!$G$50</f>
        <v>48090.1837991031</v>
      </c>
      <c r="J40" s="70" t="n">
        <f aca="false">J39*Assumptions!$G$50</f>
        <v>53393.6826032049</v>
      </c>
      <c r="K40" s="70" t="n">
        <f aca="false">K39*Assumptions!$G$50</f>
        <v>58534.8228764454</v>
      </c>
      <c r="L40" s="70" t="n">
        <f aca="false">L39*Assumptions!$G$50</f>
        <v>63543.750707622</v>
      </c>
      <c r="M40" s="70" t="n">
        <f aca="false">M39*Assumptions!$G$50</f>
        <v>68450.1881566125</v>
      </c>
      <c r="N40" s="70" t="n">
        <f aca="false">N39*Assumptions!$G$50</f>
        <v>73283.6142989523</v>
      </c>
      <c r="O40" s="70" t="n">
        <f aca="false">O39*Assumptions!$G$50</f>
        <v>78073.4467533159</v>
      </c>
      <c r="P40" s="70" t="n">
        <f aca="false">P39*Assumptions!$G$50</f>
        <v>82849.2251045443</v>
      </c>
      <c r="Q40" s="70" t="n">
        <f aca="false">Q39*Assumptions!$G$50</f>
        <v>87640.7973858941</v>
      </c>
      <c r="R40" s="70" t="n">
        <f aca="false">R39*Assumptions!$G$50</f>
        <v>92478.5107909366</v>
      </c>
      <c r="S40" s="70" t="n">
        <f aca="false">S39*Assumptions!$G$50</f>
        <v>97393.4078156821</v>
      </c>
      <c r="T40" s="70" t="n">
        <f aca="false">T39*Assumptions!$G$50</f>
        <v>102417.429068071</v>
      </c>
      <c r="U40" s="70" t="n">
        <f aca="false">U39*Assumptions!$G$50</f>
        <v>107583.624023265</v>
      </c>
      <c r="V40" s="70" t="n">
        <f aca="false">V39*Assumptions!$G$50</f>
        <v>113443.637897785</v>
      </c>
      <c r="W40" s="70" t="n">
        <f aca="false">W39*Assumptions!$G$50</f>
        <v>119974.529394269</v>
      </c>
      <c r="X40" s="70" t="n">
        <f aca="false">X39*Assumptions!$G$50</f>
        <v>127116.665371861</v>
      </c>
      <c r="Y40" s="70" t="n">
        <f aca="false">Y39*Assumptions!$G$50</f>
        <v>134903.379769491</v>
      </c>
      <c r="Z40" s="70" t="n">
        <f aca="false">Z39*Assumptions!$G$50</f>
        <v>143387.04212868</v>
      </c>
      <c r="AA40" s="70" t="n">
        <f aca="false">AA39*Assumptions!$G$50</f>
        <v>152626.101729439</v>
      </c>
      <c r="AB40" s="70" t="n">
        <f aca="false">AB39*Assumptions!$G$50</f>
        <v>162684.060724935</v>
      </c>
      <c r="AC40" s="70" t="n">
        <f aca="false">AC39*Assumptions!$G$50</f>
        <v>173607.02028089</v>
      </c>
      <c r="AD40" s="70" t="n">
        <f aca="false">AD39*Assumptions!$G$50</f>
        <v>185449.169838731</v>
      </c>
      <c r="AE40" s="70" t="n">
        <f aca="false">AE39*Assumptions!$G$50</f>
        <v>198282.287131721</v>
      </c>
      <c r="AF40" s="70" t="n">
        <f aca="false">AF39*Assumptions!$G$50</f>
        <v>212183.220844855</v>
      </c>
      <c r="AG40" s="70" t="n">
        <f aca="false">AG39*Assumptions!$G$50</f>
        <v>227235.625097209</v>
      </c>
      <c r="AH40" s="70" t="n">
        <f aca="false">AH39*Assumptions!$G$50</f>
        <v>243530.868534882</v>
      </c>
      <c r="AI40" s="70" t="n">
        <f aca="false">AI39*Assumptions!$G$50</f>
        <v>261168.664916241</v>
      </c>
      <c r="AJ40" s="70" t="n">
        <f aca="false">AJ39*Assumptions!$G$50</f>
        <v>280257.735543532</v>
      </c>
      <c r="AK40" s="70" t="n">
        <f aca="false">AK39*Assumptions!$G$50</f>
        <v>300916.53175151</v>
      </c>
      <c r="AL40" s="70" t="n">
        <f aca="false">AL39*Assumptions!$G$50</f>
        <v>323274.026185428</v>
      </c>
      <c r="AM40" s="70" t="n">
        <f aca="false">SUM(C40:AL40)</f>
        <v>4525559.90950845</v>
      </c>
    </row>
    <row r="41" customFormat="false" ht="15" hidden="false" customHeight="false" outlineLevel="0" collapsed="false">
      <c r="A41" s="10" t="s">
        <v>757</v>
      </c>
      <c r="B41" s="9" t="s">
        <v>95</v>
      </c>
      <c r="C41" s="70" t="n">
        <f aca="false">-C40*Assumptions!$G$80</f>
        <v>-0</v>
      </c>
      <c r="D41" s="70" t="n">
        <f aca="false">-D40*Assumptions!$G$80</f>
        <v>-504.669840274032</v>
      </c>
      <c r="E41" s="70" t="n">
        <f aca="false">-E40*Assumptions!$G$80</f>
        <v>-738.178222420388</v>
      </c>
      <c r="F41" s="70" t="n">
        <f aca="false">-F40*Assumptions!$G$80</f>
        <v>-926.777700986821</v>
      </c>
      <c r="G41" s="70" t="n">
        <f aca="false">-G40*Assumptions!$G$80</f>
        <v>-1106.16688695646</v>
      </c>
      <c r="H41" s="70" t="n">
        <f aca="false">-H40*Assumptions!$G$80</f>
        <v>-1277.80711886247</v>
      </c>
      <c r="I41" s="70" t="n">
        <f aca="false">-I40*Assumptions!$G$80</f>
        <v>-1442.70551397309</v>
      </c>
      <c r="J41" s="70" t="n">
        <f aca="false">-J40*Assumptions!$G$80</f>
        <v>-1601.81047809615</v>
      </c>
      <c r="K41" s="70" t="n">
        <f aca="false">-K40*Assumptions!$G$80</f>
        <v>-1756.04468629336</v>
      </c>
      <c r="L41" s="70" t="n">
        <f aca="false">-L40*Assumptions!$G$80</f>
        <v>-1906.31252122866</v>
      </c>
      <c r="M41" s="70" t="n">
        <f aca="false">-M40*Assumptions!$G$80</f>
        <v>-2053.50564469838</v>
      </c>
      <c r="N41" s="70" t="n">
        <f aca="false">-N40*Assumptions!$G$80</f>
        <v>-2198.50842896857</v>
      </c>
      <c r="O41" s="70" t="n">
        <f aca="false">-O40*Assumptions!$G$80</f>
        <v>-2342.20340259948</v>
      </c>
      <c r="P41" s="70" t="n">
        <f aca="false">-P40*Assumptions!$G$80</f>
        <v>-2485.47675313633</v>
      </c>
      <c r="Q41" s="70" t="n">
        <f aca="false">-Q40*Assumptions!$G$80</f>
        <v>-2629.22392157682</v>
      </c>
      <c r="R41" s="70" t="n">
        <f aca="false">-R40*Assumptions!$G$80</f>
        <v>-2774.3553237281</v>
      </c>
      <c r="S41" s="70" t="n">
        <f aca="false">-S40*Assumptions!$G$80</f>
        <v>-2921.80223447046</v>
      </c>
      <c r="T41" s="70" t="n">
        <f aca="false">-T40*Assumptions!$G$80</f>
        <v>-3072.52287204213</v>
      </c>
      <c r="U41" s="70" t="n">
        <f aca="false">-U40*Assumptions!$G$80</f>
        <v>-3227.50872069796</v>
      </c>
      <c r="V41" s="70" t="n">
        <f aca="false">-V40*Assumptions!$G$80</f>
        <v>-3403.30913693355</v>
      </c>
      <c r="W41" s="70" t="n">
        <f aca="false">-W40*Assumptions!$G$80</f>
        <v>-3599.23588182807</v>
      </c>
      <c r="X41" s="70" t="n">
        <f aca="false">-X40*Assumptions!$G$80</f>
        <v>-3813.49996115584</v>
      </c>
      <c r="Y41" s="70" t="n">
        <f aca="false">-Y40*Assumptions!$G$80</f>
        <v>-4047.10139308472</v>
      </c>
      <c r="Z41" s="70" t="n">
        <f aca="false">-Z40*Assumptions!$G$80</f>
        <v>-4301.61126386039</v>
      </c>
      <c r="AA41" s="70" t="n">
        <f aca="false">-AA40*Assumptions!$G$80</f>
        <v>-4578.78305188317</v>
      </c>
      <c r="AB41" s="70" t="n">
        <f aca="false">-AB40*Assumptions!$G$80</f>
        <v>-4880.52182174806</v>
      </c>
      <c r="AC41" s="70" t="n">
        <f aca="false">-AC40*Assumptions!$G$80</f>
        <v>-5208.21060842669</v>
      </c>
      <c r="AD41" s="70" t="n">
        <f aca="false">-AD40*Assumptions!$G$80</f>
        <v>-5563.47509516192</v>
      </c>
      <c r="AE41" s="70" t="n">
        <f aca="false">-AE40*Assumptions!$G$80</f>
        <v>-5948.46861395163</v>
      </c>
      <c r="AF41" s="70" t="n">
        <f aca="false">-AF40*Assumptions!$G$80</f>
        <v>-6365.49662534565</v>
      </c>
      <c r="AG41" s="70" t="n">
        <f aca="false">-AG40*Assumptions!$G$80</f>
        <v>-6817.06875291626</v>
      </c>
      <c r="AH41" s="70" t="n">
        <f aca="false">-AH40*Assumptions!$G$80</f>
        <v>-7305.92605604646</v>
      </c>
      <c r="AI41" s="70" t="n">
        <f aca="false">-AI40*Assumptions!$G$80</f>
        <v>-7835.05994748723</v>
      </c>
      <c r="AJ41" s="70" t="n">
        <f aca="false">-AJ40*Assumptions!$G$80</f>
        <v>-8407.73206630597</v>
      </c>
      <c r="AK41" s="70" t="n">
        <f aca="false">-AK40*Assumptions!$G$80</f>
        <v>-9027.49595254531</v>
      </c>
      <c r="AL41" s="70" t="n">
        <f aca="false">-AL40*Assumptions!$G$80</f>
        <v>-9698.22078556285</v>
      </c>
      <c r="AM41" s="70" t="n">
        <f aca="false">SUM(C41:AL41)</f>
        <v>-135766.797285253</v>
      </c>
    </row>
    <row r="42" customFormat="false" ht="15" hidden="false" customHeight="false" outlineLevel="0" collapsed="false">
      <c r="A42" s="38" t="s">
        <v>758</v>
      </c>
      <c r="B42" s="9" t="s">
        <v>95</v>
      </c>
      <c r="C42" s="53" t="n">
        <f aca="false">C40+C41</f>
        <v>0</v>
      </c>
      <c r="D42" s="53" t="n">
        <f aca="false">D40+D41</f>
        <v>16317.6581688604</v>
      </c>
      <c r="E42" s="53" t="n">
        <f aca="false">E40+E41</f>
        <v>23867.7625249259</v>
      </c>
      <c r="F42" s="53" t="n">
        <f aca="false">F40+F41</f>
        <v>29965.8123319072</v>
      </c>
      <c r="G42" s="53" t="n">
        <f aca="false">G40+G41</f>
        <v>35766.0626782588</v>
      </c>
      <c r="H42" s="53" t="n">
        <f aca="false">H40+H41</f>
        <v>41315.7635098865</v>
      </c>
      <c r="I42" s="53" t="n">
        <f aca="false">I40+I41</f>
        <v>46647.4782851301</v>
      </c>
      <c r="J42" s="53" t="n">
        <f aca="false">J40+J41</f>
        <v>51791.8721251087</v>
      </c>
      <c r="K42" s="53" t="n">
        <f aca="false">K40+K41</f>
        <v>56778.778190152</v>
      </c>
      <c r="L42" s="53" t="n">
        <f aca="false">L40+L41</f>
        <v>61637.4381863934</v>
      </c>
      <c r="M42" s="53" t="n">
        <f aca="false">M40+M41</f>
        <v>66396.6825119141</v>
      </c>
      <c r="N42" s="53" t="n">
        <f aca="false">N40+N41</f>
        <v>71085.1058699837</v>
      </c>
      <c r="O42" s="53" t="n">
        <f aca="false">O40+O41</f>
        <v>75731.2433507164</v>
      </c>
      <c r="P42" s="53" t="n">
        <f aca="false">P40+P41</f>
        <v>80363.748351408</v>
      </c>
      <c r="Q42" s="53" t="n">
        <f aca="false">Q40+Q41</f>
        <v>85011.5734643173</v>
      </c>
      <c r="R42" s="53" t="n">
        <f aca="false">R40+R41</f>
        <v>89704.1554672085</v>
      </c>
      <c r="S42" s="53" t="n">
        <f aca="false">S40+S41</f>
        <v>94471.6055812116</v>
      </c>
      <c r="T42" s="53" t="n">
        <f aca="false">T40+T41</f>
        <v>99344.9061960289</v>
      </c>
      <c r="U42" s="53" t="n">
        <f aca="false">U40+U41</f>
        <v>104356.115302568</v>
      </c>
      <c r="V42" s="53" t="n">
        <f aca="false">V40+V41</f>
        <v>110040.328760852</v>
      </c>
      <c r="W42" s="53" t="n">
        <f aca="false">W40+W41</f>
        <v>116375.293512441</v>
      </c>
      <c r="X42" s="53" t="n">
        <f aca="false">X40+X41</f>
        <v>123303.165410706</v>
      </c>
      <c r="Y42" s="53" t="n">
        <f aca="false">Y40+Y41</f>
        <v>130856.278376406</v>
      </c>
      <c r="Z42" s="53" t="n">
        <f aca="false">Z40+Z41</f>
        <v>139085.430864819</v>
      </c>
      <c r="AA42" s="53" t="n">
        <f aca="false">AA40+AA41</f>
        <v>148047.318677556</v>
      </c>
      <c r="AB42" s="53" t="n">
        <f aca="false">AB40+AB41</f>
        <v>157803.538903187</v>
      </c>
      <c r="AC42" s="53" t="n">
        <f aca="false">AC40+AC41</f>
        <v>168398.809672463</v>
      </c>
      <c r="AD42" s="53" t="n">
        <f aca="false">AD40+AD41</f>
        <v>179885.694743569</v>
      </c>
      <c r="AE42" s="53" t="n">
        <f aca="false">AE40+AE41</f>
        <v>192333.818517769</v>
      </c>
      <c r="AF42" s="53" t="n">
        <f aca="false">AF40+AF41</f>
        <v>205817.724219509</v>
      </c>
      <c r="AG42" s="53" t="n">
        <f aca="false">AG40+AG41</f>
        <v>220418.556344292</v>
      </c>
      <c r="AH42" s="53" t="n">
        <f aca="false">AH40+AH41</f>
        <v>236224.942478835</v>
      </c>
      <c r="AI42" s="53" t="n">
        <f aca="false">AI40+AI41</f>
        <v>253333.604968754</v>
      </c>
      <c r="AJ42" s="53" t="n">
        <f aca="false">AJ40+AJ41</f>
        <v>271850.003477226</v>
      </c>
      <c r="AK42" s="53" t="n">
        <f aca="false">AK40+AK41</f>
        <v>291889.035798965</v>
      </c>
      <c r="AL42" s="53" t="n">
        <f aca="false">AL40+AL41</f>
        <v>313575.805399866</v>
      </c>
      <c r="AM42" s="53" t="n">
        <f aca="false">SUM(C42:AL42)</f>
        <v>4389793.11222319</v>
      </c>
    </row>
    <row r="43" customFormat="false" ht="15" hidden="false" customHeight="false" outlineLevel="0" collapsed="false">
      <c r="A43" s="10" t="s">
        <v>759</v>
      </c>
      <c r="B43" s="9" t="s">
        <v>95</v>
      </c>
      <c r="C43" s="70" t="n">
        <f aca="false">-C40*Assumptions!$G$55</f>
        <v>-0</v>
      </c>
      <c r="D43" s="70" t="n">
        <f aca="false">-D40*Assumptions!$G$55</f>
        <v>-4373.80528237494</v>
      </c>
      <c r="E43" s="70" t="n">
        <f aca="false">-E40*Assumptions!$G$55</f>
        <v>-6397.54459431003</v>
      </c>
      <c r="F43" s="70" t="n">
        <f aca="false">-F40*Assumptions!$G$55</f>
        <v>-8032.07340855245</v>
      </c>
      <c r="G43" s="70" t="n">
        <f aca="false">-G40*Assumptions!$G$55</f>
        <v>-9586.77968695596</v>
      </c>
      <c r="H43" s="70" t="n">
        <f aca="false">-H40*Assumptions!$G$55</f>
        <v>-11074.3283634747</v>
      </c>
      <c r="I43" s="70" t="n">
        <f aca="false">-I40*Assumptions!$G$55</f>
        <v>-12503.4477877668</v>
      </c>
      <c r="J43" s="70" t="n">
        <f aca="false">-J40*Assumptions!$G$55</f>
        <v>-13882.3574768333</v>
      </c>
      <c r="K43" s="70" t="n">
        <f aca="false">-K40*Assumptions!$G$55</f>
        <v>-15219.0539478758</v>
      </c>
      <c r="L43" s="70" t="n">
        <f aca="false">-L40*Assumptions!$G$55</f>
        <v>-16521.3751839817</v>
      </c>
      <c r="M43" s="70" t="n">
        <f aca="false">-M40*Assumptions!$G$55</f>
        <v>-17797.0489207193</v>
      </c>
      <c r="N43" s="70" t="n">
        <f aca="false">-N40*Assumptions!$G$55</f>
        <v>-19053.7397177276</v>
      </c>
      <c r="O43" s="70" t="n">
        <f aca="false">-O40*Assumptions!$G$55</f>
        <v>-20299.0961558621</v>
      </c>
      <c r="P43" s="70" t="n">
        <f aca="false">-P40*Assumptions!$G$55</f>
        <v>-21540.7985271815</v>
      </c>
      <c r="Q43" s="70" t="n">
        <f aca="false">-Q40*Assumptions!$G$55</f>
        <v>-22786.6073203325</v>
      </c>
      <c r="R43" s="70" t="n">
        <f aca="false">-R40*Assumptions!$G$55</f>
        <v>-24044.4128056435</v>
      </c>
      <c r="S43" s="70" t="n">
        <f aca="false">-S40*Assumptions!$G$55</f>
        <v>-25322.2860320773</v>
      </c>
      <c r="T43" s="70" t="n">
        <f aca="false">-T40*Assumptions!$G$55</f>
        <v>-26628.5315576985</v>
      </c>
      <c r="U43" s="70" t="n">
        <f aca="false">-U40*Assumptions!$G$55</f>
        <v>-27971.742246049</v>
      </c>
      <c r="V43" s="70" t="n">
        <f aca="false">-V40*Assumptions!$G$55</f>
        <v>-29495.3458534241</v>
      </c>
      <c r="W43" s="70" t="n">
        <f aca="false">-W40*Assumptions!$G$55</f>
        <v>-31193.37764251</v>
      </c>
      <c r="X43" s="70" t="n">
        <f aca="false">-X40*Assumptions!$G$55</f>
        <v>-33050.332996684</v>
      </c>
      <c r="Y43" s="70" t="n">
        <f aca="false">-Y40*Assumptions!$G$55</f>
        <v>-35074.8787400676</v>
      </c>
      <c r="Z43" s="70" t="n">
        <f aca="false">-Z40*Assumptions!$G$55</f>
        <v>-37280.6309534568</v>
      </c>
      <c r="AA43" s="70" t="n">
        <f aca="false">-AA40*Assumptions!$G$55</f>
        <v>-39682.7864496542</v>
      </c>
      <c r="AB43" s="70" t="n">
        <f aca="false">-AB40*Assumptions!$G$55</f>
        <v>-42297.8557884832</v>
      </c>
      <c r="AC43" s="70" t="n">
        <f aca="false">-AC40*Assumptions!$G$55</f>
        <v>-45137.8252730313</v>
      </c>
      <c r="AD43" s="70" t="n">
        <f aca="false">-AD40*Assumptions!$G$55</f>
        <v>-48216.7841580699</v>
      </c>
      <c r="AE43" s="70" t="n">
        <f aca="false">-AE40*Assumptions!$G$55</f>
        <v>-51553.3946542475</v>
      </c>
      <c r="AF43" s="70" t="n">
        <f aca="false">-AF40*Assumptions!$G$55</f>
        <v>-55167.6374196623</v>
      </c>
      <c r="AG43" s="70" t="n">
        <f aca="false">-AG40*Assumptions!$G$55</f>
        <v>-59081.2625252743</v>
      </c>
      <c r="AH43" s="70" t="n">
        <f aca="false">-AH40*Assumptions!$G$55</f>
        <v>-63318.0258190693</v>
      </c>
      <c r="AI43" s="70" t="n">
        <f aca="false">-AI40*Assumptions!$G$55</f>
        <v>-67903.8528782227</v>
      </c>
      <c r="AJ43" s="70" t="n">
        <f aca="false">-AJ40*Assumptions!$G$55</f>
        <v>-72867.0112413184</v>
      </c>
      <c r="AK43" s="70" t="n">
        <f aca="false">-AK40*Assumptions!$G$55</f>
        <v>-78238.2982553927</v>
      </c>
      <c r="AL43" s="70" t="n">
        <f aca="false">-AL40*Assumptions!$G$55</f>
        <v>-84051.2468082114</v>
      </c>
      <c r="AM43" s="70" t="n">
        <f aca="false">SUM(C43:AL43)</f>
        <v>-1176645.5764722</v>
      </c>
    </row>
    <row r="44" customFormat="false" ht="15" hidden="false" customHeight="false" outlineLevel="0" collapsed="false">
      <c r="A44" s="10" t="s">
        <v>760</v>
      </c>
      <c r="B44" s="9" t="s">
        <v>95</v>
      </c>
      <c r="C44" s="70" t="n">
        <f aca="false">-C39*Assumptions!$G$56</f>
        <v>-0</v>
      </c>
      <c r="D44" s="70" t="n">
        <f aca="false">-D39*Assumptions!$G$56</f>
        <v>-1617.53153933985</v>
      </c>
      <c r="E44" s="70" t="n">
        <f aca="false">-E39*Assumptions!$G$56</f>
        <v>-2365.95584109099</v>
      </c>
      <c r="F44" s="70" t="n">
        <f aca="false">-F39*Assumptions!$G$56</f>
        <v>-2970.44134931674</v>
      </c>
      <c r="G44" s="70" t="n">
        <f aca="false">-G39*Assumptions!$G$56</f>
        <v>-3545.406688963</v>
      </c>
      <c r="H44" s="70" t="n">
        <f aca="false">-H39*Assumptions!$G$56</f>
        <v>-4095.53563737971</v>
      </c>
      <c r="I44" s="70" t="n">
        <f aca="false">-I39*Assumptions!$G$56</f>
        <v>-4624.05613452915</v>
      </c>
      <c r="J44" s="70" t="n">
        <f aca="false">-J39*Assumptions!$G$56</f>
        <v>-5134.00794261585</v>
      </c>
      <c r="K44" s="70" t="n">
        <f aca="false">-K39*Assumptions!$G$56</f>
        <v>-5628.34835350436</v>
      </c>
      <c r="L44" s="70" t="n">
        <f aca="false">-L39*Assumptions!$G$56</f>
        <v>-6109.97602957904</v>
      </c>
      <c r="M44" s="70" t="n">
        <f aca="false">-M39*Assumptions!$G$56</f>
        <v>-6581.74886121274</v>
      </c>
      <c r="N44" s="70" t="n">
        <f aca="false">-N39*Assumptions!$G$56</f>
        <v>-7046.50137489926</v>
      </c>
      <c r="O44" s="70" t="n">
        <f aca="false">-O39*Assumptions!$G$56</f>
        <v>-7507.06218781884</v>
      </c>
      <c r="P44" s="70" t="n">
        <f aca="false">-P39*Assumptions!$G$56</f>
        <v>-7966.27164466772</v>
      </c>
      <c r="Q44" s="70" t="n">
        <f aca="false">-Q39*Assumptions!$G$56</f>
        <v>-8426.99974864366</v>
      </c>
      <c r="R44" s="70" t="n">
        <f aca="false">-R39*Assumptions!$G$56</f>
        <v>-8892.16449912852</v>
      </c>
      <c r="S44" s="70" t="n">
        <f aca="false">-S39*Assumptions!$G$56</f>
        <v>-9364.75075150789</v>
      </c>
      <c r="T44" s="70" t="n">
        <f aca="false">-T39*Assumptions!$G$56</f>
        <v>-9847.82971808375</v>
      </c>
      <c r="U44" s="70" t="n">
        <f aca="false">-U39*Assumptions!$G$56</f>
        <v>-10344.5792330063</v>
      </c>
      <c r="V44" s="70" t="n">
        <f aca="false">-V39*Assumptions!$G$56</f>
        <v>-10908.0421055563</v>
      </c>
      <c r="W44" s="70" t="n">
        <f aca="false">-W39*Assumptions!$G$56</f>
        <v>-11536.0124417566</v>
      </c>
      <c r="X44" s="70" t="n">
        <f aca="false">-X39*Assumptions!$G$56</f>
        <v>-12222.7562857559</v>
      </c>
      <c r="Y44" s="70" t="n">
        <f aca="false">-Y39*Assumptions!$G$56</f>
        <v>-12971.4788239895</v>
      </c>
      <c r="Z44" s="70" t="n">
        <f aca="false">-Z39*Assumptions!$G$56</f>
        <v>-13787.2155892961</v>
      </c>
      <c r="AA44" s="70" t="n">
        <f aca="false">-AA39*Assumptions!$G$56</f>
        <v>-14675.5867047538</v>
      </c>
      <c r="AB44" s="70" t="n">
        <f aca="false">-AB39*Assumptions!$G$56</f>
        <v>-15642.6981466284</v>
      </c>
      <c r="AC44" s="70" t="n">
        <f aca="false">-AC39*Assumptions!$G$56</f>
        <v>-16692.9827193163</v>
      </c>
      <c r="AD44" s="70" t="n">
        <f aca="false">-AD39*Assumptions!$G$56</f>
        <v>-17831.6509460318</v>
      </c>
      <c r="AE44" s="70" t="n">
        <f aca="false">-AE39*Assumptions!$G$56</f>
        <v>-19065.6045318963</v>
      </c>
      <c r="AF44" s="70" t="n">
        <f aca="false">-AF39*Assumptions!$G$56</f>
        <v>-20402.2327735437</v>
      </c>
      <c r="AG44" s="70" t="n">
        <f aca="false">-AG39*Assumptions!$G$56</f>
        <v>-21849.5793362701</v>
      </c>
      <c r="AH44" s="70" t="n">
        <f aca="false">-AH39*Assumptions!$G$56</f>
        <v>-23416.4296668156</v>
      </c>
      <c r="AI44" s="70" t="n">
        <f aca="false">-AI39*Assumptions!$G$56</f>
        <v>-25112.3716265616</v>
      </c>
      <c r="AJ44" s="70" t="n">
        <f aca="false">-AJ39*Assumptions!$G$56</f>
        <v>-26947.8591868781</v>
      </c>
      <c r="AK44" s="70" t="n">
        <f aca="false">-AK39*Assumptions!$G$56</f>
        <v>-28934.2818991837</v>
      </c>
      <c r="AL44" s="70" t="n">
        <f aca="false">-AL39*Assumptions!$G$56</f>
        <v>-31084.0409793681</v>
      </c>
      <c r="AM44" s="70" t="n">
        <f aca="false">SUM(C44:AL44)</f>
        <v>-435149.991298889</v>
      </c>
    </row>
    <row r="45" customFormat="false" ht="15" hidden="false" customHeight="false" outlineLevel="0" collapsed="false">
      <c r="A45" s="10" t="s">
        <v>761</v>
      </c>
      <c r="B45" s="9" t="s">
        <v>95</v>
      </c>
      <c r="C45" s="70" t="n">
        <f aca="false">-C42*Assumptions!$G$79</f>
        <v>-0</v>
      </c>
      <c r="D45" s="70" t="n">
        <f aca="false">-D42*Assumptions!$G$79</f>
        <v>-473.212086896951</v>
      </c>
      <c r="E45" s="70" t="n">
        <f aca="false">-E42*Assumptions!$G$79</f>
        <v>-692.16511322285</v>
      </c>
      <c r="F45" s="70" t="n">
        <f aca="false">-F42*Assumptions!$G$79</f>
        <v>-869.00855762531</v>
      </c>
      <c r="G45" s="70" t="n">
        <f aca="false">-G42*Assumptions!$G$79</f>
        <v>-1037.2158176695</v>
      </c>
      <c r="H45" s="70" t="n">
        <f aca="false">-H42*Assumptions!$G$79</f>
        <v>-1198.15714178671</v>
      </c>
      <c r="I45" s="70" t="n">
        <f aca="false">-I42*Assumptions!$G$79</f>
        <v>-1352.77687026877</v>
      </c>
      <c r="J45" s="70" t="n">
        <f aca="false">-J42*Assumptions!$G$79</f>
        <v>-1501.96429162815</v>
      </c>
      <c r="K45" s="70" t="n">
        <f aca="false">-K42*Assumptions!$G$79</f>
        <v>-1646.58456751441</v>
      </c>
      <c r="L45" s="70" t="n">
        <f aca="false">-L42*Assumptions!$G$79</f>
        <v>-1787.48570740541</v>
      </c>
      <c r="M45" s="70" t="n">
        <f aca="false">-M42*Assumptions!$G$79</f>
        <v>-1925.50379284551</v>
      </c>
      <c r="N45" s="70" t="n">
        <f aca="false">-N42*Assumptions!$G$79</f>
        <v>-2061.46807022953</v>
      </c>
      <c r="O45" s="70" t="n">
        <f aca="false">-O42*Assumptions!$G$79</f>
        <v>-2196.20605717078</v>
      </c>
      <c r="P45" s="70" t="n">
        <f aca="false">-P42*Assumptions!$G$79</f>
        <v>-2330.54870219083</v>
      </c>
      <c r="Q45" s="70" t="n">
        <f aca="false">-Q42*Assumptions!$G$79</f>
        <v>-2465.3356304652</v>
      </c>
      <c r="R45" s="70" t="n">
        <f aca="false">-R42*Assumptions!$G$79</f>
        <v>-2601.42050854905</v>
      </c>
      <c r="S45" s="70" t="n">
        <f aca="false">-S42*Assumptions!$G$79</f>
        <v>-2739.67656185514</v>
      </c>
      <c r="T45" s="70" t="n">
        <f aca="false">-T42*Assumptions!$G$79</f>
        <v>-2881.00227968484</v>
      </c>
      <c r="U45" s="70" t="n">
        <f aca="false">-U42*Assumptions!$G$79</f>
        <v>-3026.32734377446</v>
      </c>
      <c r="V45" s="70" t="n">
        <f aca="false">-V42*Assumptions!$G$79</f>
        <v>-3191.16953406469</v>
      </c>
      <c r="W45" s="70" t="n">
        <f aca="false">-W42*Assumptions!$G$79</f>
        <v>-3374.88351186079</v>
      </c>
      <c r="X45" s="70" t="n">
        <f aca="false">-X42*Assumptions!$G$79</f>
        <v>-3575.79179691046</v>
      </c>
      <c r="Y45" s="70" t="n">
        <f aca="false">-Y42*Assumptions!$G$79</f>
        <v>-3794.83207291578</v>
      </c>
      <c r="Z45" s="70" t="n">
        <f aca="false">-Z42*Assumptions!$G$79</f>
        <v>-4033.47749507976</v>
      </c>
      <c r="AA45" s="70" t="n">
        <f aca="false">-AA42*Assumptions!$G$79</f>
        <v>-4293.37224164912</v>
      </c>
      <c r="AB45" s="70" t="n">
        <f aca="false">-AB42*Assumptions!$G$79</f>
        <v>-4576.30262819243</v>
      </c>
      <c r="AC45" s="70" t="n">
        <f aca="false">-AC42*Assumptions!$G$79</f>
        <v>-4883.56548050143</v>
      </c>
      <c r="AD45" s="70" t="n">
        <f aca="false">-AD42*Assumptions!$G$79</f>
        <v>-5216.68514756349</v>
      </c>
      <c r="AE45" s="70" t="n">
        <f aca="false">-AE42*Assumptions!$G$79</f>
        <v>-5577.68073701531</v>
      </c>
      <c r="AF45" s="70" t="n">
        <f aca="false">-AF42*Assumptions!$G$79</f>
        <v>-5968.71400236577</v>
      </c>
      <c r="AG45" s="70" t="n">
        <f aca="false">-AG42*Assumptions!$G$79</f>
        <v>-6392.13813398448</v>
      </c>
      <c r="AH45" s="70" t="n">
        <f aca="false">-AH42*Assumptions!$G$79</f>
        <v>-6850.52333188623</v>
      </c>
      <c r="AI45" s="70" t="n">
        <f aca="false">-AI42*Assumptions!$G$79</f>
        <v>-7346.67454409386</v>
      </c>
      <c r="AJ45" s="70" t="n">
        <f aca="false">-AJ42*Assumptions!$G$79</f>
        <v>-7883.65010083956</v>
      </c>
      <c r="AK45" s="70" t="n">
        <f aca="false">-AK42*Assumptions!$G$79</f>
        <v>-8464.78203816998</v>
      </c>
      <c r="AL45" s="70" t="n">
        <f aca="false">-AL42*Assumptions!$G$79</f>
        <v>-9093.6983565961</v>
      </c>
      <c r="AM45" s="70" t="n">
        <f aca="false">SUM(C45:AL45)</f>
        <v>-127304.000254473</v>
      </c>
    </row>
    <row r="46" customFormat="false" ht="15" hidden="false" customHeight="false" outlineLevel="0" collapsed="false">
      <c r="A46" s="38" t="s">
        <v>762</v>
      </c>
      <c r="B46" s="9" t="s">
        <v>95</v>
      </c>
      <c r="C46" s="53" t="n">
        <f aca="false">C42+C43+C44+C45</f>
        <v>0</v>
      </c>
      <c r="D46" s="53" t="n">
        <f aca="false">D42+D43+D44+D45</f>
        <v>9853.10926024862</v>
      </c>
      <c r="E46" s="53" t="n">
        <f aca="false">E42+E43+E44+E45</f>
        <v>14412.096976302</v>
      </c>
      <c r="F46" s="53" t="n">
        <f aca="false">F42+F43+F44+F45</f>
        <v>18094.2890164127</v>
      </c>
      <c r="G46" s="53" t="n">
        <f aca="false">G42+G43+G44+G45</f>
        <v>21596.6604846703</v>
      </c>
      <c r="H46" s="53" t="n">
        <f aca="false">H42+H43+H44+H45</f>
        <v>24947.7423672453</v>
      </c>
      <c r="I46" s="53" t="n">
        <f aca="false">I42+I43+I44+I45</f>
        <v>28167.1974925653</v>
      </c>
      <c r="J46" s="53" t="n">
        <f aca="false">J42+J43+J44+J45</f>
        <v>31273.5424140315</v>
      </c>
      <c r="K46" s="53" t="n">
        <f aca="false">K42+K43+K44+K45</f>
        <v>34284.7913212575</v>
      </c>
      <c r="L46" s="53" t="n">
        <f aca="false">L42+L43+L44+L45</f>
        <v>37218.6012654272</v>
      </c>
      <c r="M46" s="53" t="n">
        <f aca="false">M42+M43+M44+M45</f>
        <v>40092.3809371366</v>
      </c>
      <c r="N46" s="53" t="n">
        <f aca="false">N42+N43+N44+N45</f>
        <v>42923.3967071273</v>
      </c>
      <c r="O46" s="53" t="n">
        <f aca="false">O42+O43+O44+O45</f>
        <v>45728.8789498647</v>
      </c>
      <c r="P46" s="53" t="n">
        <f aca="false">P42+P43+P44+P45</f>
        <v>48526.1294773679</v>
      </c>
      <c r="Q46" s="53" t="n">
        <f aca="false">Q42+Q43+Q44+Q45</f>
        <v>51332.6307648759</v>
      </c>
      <c r="R46" s="53" t="n">
        <f aca="false">R42+R43+R44+R45</f>
        <v>54166.1576538874</v>
      </c>
      <c r="S46" s="53" t="n">
        <f aca="false">S42+S43+S44+S45</f>
        <v>57044.8922357712</v>
      </c>
      <c r="T46" s="53" t="n">
        <f aca="false">T42+T43+T44+T45</f>
        <v>59987.5426405618</v>
      </c>
      <c r="U46" s="53" t="n">
        <f aca="false">U42+U43+U44+U45</f>
        <v>63013.4664797377</v>
      </c>
      <c r="V46" s="53" t="n">
        <f aca="false">V42+V43+V44+V45</f>
        <v>66445.7712678064</v>
      </c>
      <c r="W46" s="53" t="n">
        <f aca="false">W42+W43+W44+W45</f>
        <v>70271.0199163136</v>
      </c>
      <c r="X46" s="53" t="n">
        <f aca="false">X42+X43+X44+X45</f>
        <v>74454.2843313553</v>
      </c>
      <c r="Y46" s="53" t="n">
        <f aca="false">Y42+Y43+Y44+Y45</f>
        <v>79015.0887394332</v>
      </c>
      <c r="Z46" s="53" t="n">
        <f aca="false">Z42+Z43+Z44+Z45</f>
        <v>83984.1068269868</v>
      </c>
      <c r="AA46" s="53" t="n">
        <f aca="false">AA42+AA43+AA44+AA45</f>
        <v>89395.5732814989</v>
      </c>
      <c r="AB46" s="53" t="n">
        <f aca="false">AB42+AB43+AB44+AB45</f>
        <v>95286.6823398832</v>
      </c>
      <c r="AC46" s="53" t="n">
        <f aca="false">AC42+AC43+AC44+AC45</f>
        <v>101684.436199614</v>
      </c>
      <c r="AD46" s="53" t="n">
        <f aca="false">AD42+AD43+AD44+AD45</f>
        <v>108620.574491903</v>
      </c>
      <c r="AE46" s="53" t="n">
        <f aca="false">AE42+AE43+AE44+AE45</f>
        <v>116137.13859461</v>
      </c>
      <c r="AF46" s="53" t="n">
        <f aca="false">AF42+AF43+AF44+AF45</f>
        <v>124279.140023938</v>
      </c>
      <c r="AG46" s="53" t="n">
        <f aca="false">AG42+AG43+AG44+AG45</f>
        <v>133095.576348764</v>
      </c>
      <c r="AH46" s="53" t="n">
        <f aca="false">AH42+AH43+AH44+AH45</f>
        <v>142639.963661064</v>
      </c>
      <c r="AI46" s="53" t="n">
        <f aca="false">AI42+AI43+AI44+AI45</f>
        <v>152970.705919876</v>
      </c>
      <c r="AJ46" s="53" t="n">
        <f aca="false">AJ42+AJ43+AJ44+AJ45</f>
        <v>164151.48294819</v>
      </c>
      <c r="AK46" s="53" t="n">
        <f aca="false">AK42+AK43+AK44+AK45</f>
        <v>176251.673606219</v>
      </c>
      <c r="AL46" s="53" t="n">
        <f aca="false">AL42+AL43+AL44+AL45</f>
        <v>189346.81925569</v>
      </c>
      <c r="AM46" s="53" t="n">
        <f aca="false">SUM(C46:AL46)</f>
        <v>2650693.54419764</v>
      </c>
    </row>
    <row r="47" customFormat="false" ht="15" hidden="false" customHeight="false" outlineLevel="0" collapsed="false">
      <c r="A47" s="10" t="s">
        <v>763</v>
      </c>
      <c r="B47" s="9" t="s">
        <v>59</v>
      </c>
      <c r="C47" s="62" t="n">
        <f aca="false">IFERROR(C46/C42,0)</f>
        <v>0</v>
      </c>
      <c r="D47" s="62" t="n">
        <f aca="false">IFERROR(D46/D42,0)</f>
        <v>0.603831086439334</v>
      </c>
      <c r="E47" s="62" t="n">
        <f aca="false">IFERROR(E46/E42,0)</f>
        <v>0.603831086439334</v>
      </c>
      <c r="F47" s="62" t="n">
        <f aca="false">IFERROR(F46/F42,0)</f>
        <v>0.603831086439334</v>
      </c>
      <c r="G47" s="62" t="n">
        <f aca="false">IFERROR(G46/G42,0)</f>
        <v>0.603831086439334</v>
      </c>
      <c r="H47" s="62" t="n">
        <f aca="false">IFERROR(H46/H42,0)</f>
        <v>0.603831086439334</v>
      </c>
      <c r="I47" s="62" t="n">
        <f aca="false">IFERROR(I46/I42,0)</f>
        <v>0.603831086439334</v>
      </c>
      <c r="J47" s="62" t="n">
        <f aca="false">IFERROR(J46/J42,0)</f>
        <v>0.603831086439334</v>
      </c>
      <c r="K47" s="62" t="n">
        <f aca="false">IFERROR(K46/K42,0)</f>
        <v>0.603831086439334</v>
      </c>
      <c r="L47" s="62" t="n">
        <f aca="false">IFERROR(L46/L42,0)</f>
        <v>0.603831086439334</v>
      </c>
      <c r="M47" s="62" t="n">
        <f aca="false">IFERROR(M46/M42,0)</f>
        <v>0.603831086439334</v>
      </c>
      <c r="N47" s="62" t="n">
        <f aca="false">IFERROR(N46/N42,0)</f>
        <v>0.603831086439334</v>
      </c>
      <c r="O47" s="62" t="n">
        <f aca="false">IFERROR(O46/O42,0)</f>
        <v>0.603831086439334</v>
      </c>
      <c r="P47" s="62" t="n">
        <f aca="false">IFERROR(P46/P42,0)</f>
        <v>0.603831086439334</v>
      </c>
      <c r="Q47" s="62" t="n">
        <f aca="false">IFERROR(Q46/Q42,0)</f>
        <v>0.603831086439334</v>
      </c>
      <c r="R47" s="62" t="n">
        <f aca="false">IFERROR(R46/R42,0)</f>
        <v>0.603831086439334</v>
      </c>
      <c r="S47" s="62" t="n">
        <f aca="false">IFERROR(S46/S42,0)</f>
        <v>0.603831086439334</v>
      </c>
      <c r="T47" s="62" t="n">
        <f aca="false">IFERROR(T46/T42,0)</f>
        <v>0.603831086439334</v>
      </c>
      <c r="U47" s="62" t="n">
        <f aca="false">IFERROR(U46/U42,0)</f>
        <v>0.603831086439334</v>
      </c>
      <c r="V47" s="62" t="n">
        <f aca="false">IFERROR(V46/V42,0)</f>
        <v>0.603831086439334</v>
      </c>
      <c r="W47" s="62" t="n">
        <f aca="false">IFERROR(W46/W42,0)</f>
        <v>0.603831086439334</v>
      </c>
      <c r="X47" s="62" t="n">
        <f aca="false">IFERROR(X46/X42,0)</f>
        <v>0.603831086439334</v>
      </c>
      <c r="Y47" s="62" t="n">
        <f aca="false">IFERROR(Y46/Y42,0)</f>
        <v>0.603831086439334</v>
      </c>
      <c r="Z47" s="62" t="n">
        <f aca="false">IFERROR(Z46/Z42,0)</f>
        <v>0.603831086439334</v>
      </c>
      <c r="AA47" s="62" t="n">
        <f aca="false">IFERROR(AA46/AA42,0)</f>
        <v>0.603831086439334</v>
      </c>
      <c r="AB47" s="62" t="n">
        <f aca="false">IFERROR(AB46/AB42,0)</f>
        <v>0.603831086439334</v>
      </c>
      <c r="AC47" s="62" t="n">
        <f aca="false">IFERROR(AC46/AC42,0)</f>
        <v>0.603831086439334</v>
      </c>
      <c r="AD47" s="62" t="n">
        <f aca="false">IFERROR(AD46/AD42,0)</f>
        <v>0.603831086439334</v>
      </c>
      <c r="AE47" s="62" t="n">
        <f aca="false">IFERROR(AE46/AE42,0)</f>
        <v>0.603831086439334</v>
      </c>
      <c r="AF47" s="62" t="n">
        <f aca="false">IFERROR(AF46/AF42,0)</f>
        <v>0.603831086439334</v>
      </c>
      <c r="AG47" s="62" t="n">
        <f aca="false">IFERROR(AG46/AG42,0)</f>
        <v>0.603831086439334</v>
      </c>
      <c r="AH47" s="62" t="n">
        <f aca="false">IFERROR(AH46/AH42,0)</f>
        <v>0.603831086439334</v>
      </c>
      <c r="AI47" s="62" t="n">
        <f aca="false">IFERROR(AI46/AI42,0)</f>
        <v>0.603831086439334</v>
      </c>
      <c r="AJ47" s="62" t="n">
        <f aca="false">IFERROR(AJ46/AJ42,0)</f>
        <v>0.603831086439334</v>
      </c>
      <c r="AK47" s="62" t="n">
        <f aca="false">IFERROR(AK46/AK42,0)</f>
        <v>0.603831086439334</v>
      </c>
      <c r="AL47" s="62" t="n">
        <f aca="false">IFERROR(AL46/AL42,0)</f>
        <v>0.603831086439334</v>
      </c>
      <c r="AM47" s="62" t="n">
        <f aca="false">AVERAGE(N47:AL47)</f>
        <v>0.603831086439334</v>
      </c>
    </row>
    <row r="48" customFormat="false" ht="15" hidden="false" customHeight="false" outlineLevel="0" collapsed="false">
      <c r="A48" s="10" t="s">
        <v>764</v>
      </c>
      <c r="B48" s="9" t="s">
        <v>59</v>
      </c>
      <c r="C48" s="62" t="n">
        <f aca="false">IF(C9=0,0,MIN(Assumptions!$G$63,Assumptions!$G$61+Assumptions!$G$62*(C$5-Assumptions!$G$7)))</f>
        <v>0</v>
      </c>
      <c r="D48" s="62" t="n">
        <f aca="false">IF(D9=0,0,MIN(Assumptions!$G$63,Assumptions!$G$61+Assumptions!$G$62*(D$5-Assumptions!$G$7)))</f>
        <v>0</v>
      </c>
      <c r="E48" s="62" t="n">
        <f aca="false">IF(E9=0,0,MIN(Assumptions!$G$63,Assumptions!$G$61+Assumptions!$G$62*(E$5-Assumptions!$G$7)))</f>
        <v>0</v>
      </c>
      <c r="F48" s="62" t="n">
        <f aca="false">IF(F9=0,0,MIN(Assumptions!$G$63,Assumptions!$G$61+Assumptions!$G$62*(F$5-Assumptions!$G$7)))</f>
        <v>0</v>
      </c>
      <c r="G48" s="62" t="n">
        <f aca="false">IF(G9=0,0,MIN(Assumptions!$G$63,Assumptions!$G$61+Assumptions!$G$62*(G$5-Assumptions!$G$7)))</f>
        <v>0</v>
      </c>
      <c r="H48" s="62" t="n">
        <f aca="false">IF(H9=0,0,MIN(Assumptions!$G$63,Assumptions!$G$61+Assumptions!$G$62*(H$5-Assumptions!$G$7)))</f>
        <v>0</v>
      </c>
      <c r="I48" s="62" t="n">
        <f aca="false">IF(I9=0,0,MIN(Assumptions!$G$63,Assumptions!$G$61+Assumptions!$G$62*(I$5-Assumptions!$G$7)))</f>
        <v>0.36</v>
      </c>
      <c r="J48" s="62" t="n">
        <f aca="false">IF(J9=0,0,MIN(Assumptions!$G$63,Assumptions!$G$61+Assumptions!$G$62*(J$5-Assumptions!$G$7)))</f>
        <v>0.385</v>
      </c>
      <c r="K48" s="62" t="n">
        <f aca="false">IF(K9=0,0,MIN(Assumptions!$G$63,Assumptions!$G$61+Assumptions!$G$62*(K$5-Assumptions!$G$7)))</f>
        <v>0.41</v>
      </c>
      <c r="L48" s="62" t="n">
        <f aca="false">IF(L9=0,0,MIN(Assumptions!$G$63,Assumptions!$G$61+Assumptions!$G$62*(L$5-Assumptions!$G$7)))</f>
        <v>0.435</v>
      </c>
      <c r="M48" s="62" t="n">
        <f aca="false">IF(M9=0,0,MIN(Assumptions!$G$63,Assumptions!$G$61+Assumptions!$G$62*(M$5-Assumptions!$G$7)))</f>
        <v>0.46</v>
      </c>
      <c r="N48" s="62" t="n">
        <f aca="false">IF(N9=0,0,MIN(Assumptions!$G$63,Assumptions!$G$61+Assumptions!$G$62*(N$5-Assumptions!$G$7)))</f>
        <v>0.485</v>
      </c>
      <c r="O48" s="62" t="n">
        <f aca="false">IF(O9=0,0,MIN(Assumptions!$G$63,Assumptions!$G$61+Assumptions!$G$62*(O$5-Assumptions!$G$7)))</f>
        <v>0.51</v>
      </c>
      <c r="P48" s="62" t="n">
        <f aca="false">IF(P9=0,0,MIN(Assumptions!$G$63,Assumptions!$G$61+Assumptions!$G$62*(P$5-Assumptions!$G$7)))</f>
        <v>0.535</v>
      </c>
      <c r="Q48" s="62" t="n">
        <f aca="false">IF(Q9=0,0,MIN(Assumptions!$G$63,Assumptions!$G$61+Assumptions!$G$62*(Q$5-Assumptions!$G$7)))</f>
        <v>0.56</v>
      </c>
      <c r="R48" s="62" t="n">
        <f aca="false">IF(R9=0,0,MIN(Assumptions!$G$63,Assumptions!$G$61+Assumptions!$G$62*(R$5-Assumptions!$G$7)))</f>
        <v>0.585</v>
      </c>
      <c r="S48" s="62" t="n">
        <f aca="false">IF(S9=0,0,MIN(Assumptions!$G$63,Assumptions!$G$61+Assumptions!$G$62*(S$5-Assumptions!$G$7)))</f>
        <v>0.61</v>
      </c>
      <c r="T48" s="62" t="n">
        <f aca="false">IF(T9=0,0,MIN(Assumptions!$G$63,Assumptions!$G$61+Assumptions!$G$62*(T$5-Assumptions!$G$7)))</f>
        <v>0.635</v>
      </c>
      <c r="U48" s="62" t="n">
        <f aca="false">IF(U9=0,0,MIN(Assumptions!$G$63,Assumptions!$G$61+Assumptions!$G$62*(U$5-Assumptions!$G$7)))</f>
        <v>0.66</v>
      </c>
      <c r="V48" s="62" t="n">
        <f aca="false">IF(V9=0,0,MIN(Assumptions!$G$63,Assumptions!$G$61+Assumptions!$G$62*(V$5-Assumptions!$G$7)))</f>
        <v>0.685</v>
      </c>
      <c r="W48" s="62" t="n">
        <f aca="false">IF(W9=0,0,MIN(Assumptions!$G$63,Assumptions!$G$61+Assumptions!$G$62*(W$5-Assumptions!$G$7)))</f>
        <v>0.71</v>
      </c>
      <c r="X48" s="62" t="n">
        <f aca="false">IF(X9=0,0,MIN(Assumptions!$G$63,Assumptions!$G$61+Assumptions!$G$62*(X$5-Assumptions!$G$7)))</f>
        <v>0.735</v>
      </c>
      <c r="Y48" s="62" t="n">
        <f aca="false">IF(Y9=0,0,MIN(Assumptions!$G$63,Assumptions!$G$61+Assumptions!$G$62*(Y$5-Assumptions!$G$7)))</f>
        <v>0.76</v>
      </c>
      <c r="Z48" s="62" t="n">
        <f aca="false">IF(Z9=0,0,MIN(Assumptions!$G$63,Assumptions!$G$61+Assumptions!$G$62*(Z$5-Assumptions!$G$7)))</f>
        <v>0.785</v>
      </c>
      <c r="AA48" s="62" t="n">
        <f aca="false">IF(AA9=0,0,MIN(Assumptions!$G$63,Assumptions!$G$61+Assumptions!$G$62*(AA$5-Assumptions!$G$7)))</f>
        <v>0.81</v>
      </c>
      <c r="AB48" s="62" t="n">
        <f aca="false">IF(AB9=0,0,MIN(Assumptions!$G$63,Assumptions!$G$61+Assumptions!$G$62*(AB$5-Assumptions!$G$7)))</f>
        <v>0.82</v>
      </c>
      <c r="AC48" s="62" t="n">
        <f aca="false">IF(AC9=0,0,MIN(Assumptions!$G$63,Assumptions!$G$61+Assumptions!$G$62*(AC$5-Assumptions!$G$7)))</f>
        <v>0.82</v>
      </c>
      <c r="AD48" s="62" t="n">
        <f aca="false">IF(AD9=0,0,MIN(Assumptions!$G$63,Assumptions!$G$61+Assumptions!$G$62*(AD$5-Assumptions!$G$7)))</f>
        <v>0.82</v>
      </c>
      <c r="AE48" s="62" t="n">
        <f aca="false">IF(AE9=0,0,MIN(Assumptions!$G$63,Assumptions!$G$61+Assumptions!$G$62*(AE$5-Assumptions!$G$7)))</f>
        <v>0.82</v>
      </c>
      <c r="AF48" s="62" t="n">
        <f aca="false">IF(AF9=0,0,MIN(Assumptions!$G$63,Assumptions!$G$61+Assumptions!$G$62*(AF$5-Assumptions!$G$7)))</f>
        <v>0.82</v>
      </c>
      <c r="AG48" s="62" t="n">
        <f aca="false">IF(AG9=0,0,MIN(Assumptions!$G$63,Assumptions!$G$61+Assumptions!$G$62*(AG$5-Assumptions!$G$7)))</f>
        <v>0.82</v>
      </c>
      <c r="AH48" s="62" t="n">
        <f aca="false">IF(AH9=0,0,MIN(Assumptions!$G$63,Assumptions!$G$61+Assumptions!$G$62*(AH$5-Assumptions!$G$7)))</f>
        <v>0.82</v>
      </c>
      <c r="AI48" s="62" t="n">
        <f aca="false">IF(AI9=0,0,MIN(Assumptions!$G$63,Assumptions!$G$61+Assumptions!$G$62*(AI$5-Assumptions!$G$7)))</f>
        <v>0.82</v>
      </c>
      <c r="AJ48" s="62" t="n">
        <f aca="false">IF(AJ9=0,0,MIN(Assumptions!$G$63,Assumptions!$G$61+Assumptions!$G$62*(AJ$5-Assumptions!$G$7)))</f>
        <v>0.82</v>
      </c>
      <c r="AK48" s="62" t="n">
        <f aca="false">IF(AK9=0,0,MIN(Assumptions!$G$63,Assumptions!$G$61+Assumptions!$G$62*(AK$5-Assumptions!$G$7)))</f>
        <v>0.82</v>
      </c>
      <c r="AL48" s="62" t="n">
        <f aca="false">IF(AL9=0,0,MIN(Assumptions!$G$63,Assumptions!$G$61+Assumptions!$G$62*(AL$5-Assumptions!$G$7)))</f>
        <v>0.82</v>
      </c>
      <c r="AM48" s="62" t="n">
        <f aca="false">AL48</f>
        <v>0.82</v>
      </c>
    </row>
    <row r="49" customFormat="false" ht="15" hidden="false" customHeight="false" outlineLevel="0" collapsed="false">
      <c r="A49" s="10" t="s">
        <v>765</v>
      </c>
      <c r="B49" s="9" t="s">
        <v>82</v>
      </c>
      <c r="C49" s="61" t="n">
        <f aca="false">C15+C19+C23+(C13+C25)*Assumptions!$G$45</f>
        <v>5042.37380464382</v>
      </c>
      <c r="D49" s="61" t="n">
        <f aca="false">D15+D19+D23+(D13+D25)*Assumptions!$G$45</f>
        <v>10843.144683004</v>
      </c>
      <c r="E49" s="61" t="n">
        <f aca="false">E15+E19+E23+(E13+E25)*Assumptions!$G$45</f>
        <v>11936.3583626373</v>
      </c>
      <c r="F49" s="61" t="n">
        <f aca="false">F15+F19+F23+(F13+F25)*Assumptions!$G$45</f>
        <v>12265.8396609836</v>
      </c>
      <c r="G49" s="61" t="n">
        <f aca="false">G15+G19+G23+(G13+G25)*Assumptions!$G$45</f>
        <v>12562.6256215351</v>
      </c>
      <c r="H49" s="61" t="n">
        <f aca="false">H15+H19+H23+(H13+H25)*Assumptions!$G$45</f>
        <v>12881.6274855144</v>
      </c>
      <c r="I49" s="61" t="n">
        <f aca="false">I15+I19+I23+(I13+I25)*Assumptions!$G$45</f>
        <v>13229.0044017257</v>
      </c>
      <c r="J49" s="61" t="n">
        <f aca="false">J15+J19+J23+(J13+J25)*Assumptions!$G$45</f>
        <v>13607.6067480811</v>
      </c>
      <c r="K49" s="61" t="n">
        <f aca="false">K15+K19+K23+(K13+K25)*Assumptions!$G$45</f>
        <v>14020.2633370186</v>
      </c>
      <c r="L49" s="61" t="n">
        <f aca="false">L15+L19+L23+(L13+L25)*Assumptions!$G$45</f>
        <v>14470.0370551704</v>
      </c>
      <c r="M49" s="61" t="n">
        <f aca="false">M15+M19+M23+(M13+M25)*Assumptions!$G$45</f>
        <v>14960.2643236715</v>
      </c>
      <c r="N49" s="61" t="n">
        <f aca="false">N15+N19+N23+(N13+N25)*Assumptions!$G$45</f>
        <v>15494.5809055673</v>
      </c>
      <c r="O49" s="61" t="n">
        <f aca="false">O15+O19+O23+(O13+O25)*Assumptions!$G$45</f>
        <v>16076.9487734931</v>
      </c>
      <c r="P49" s="61" t="n">
        <f aca="false">P15+P19+P23+(P13+P25)*Assumptions!$G$45</f>
        <v>16711.6852715774</v>
      </c>
      <c r="Q49" s="61" t="n">
        <f aca="false">Q15+Q19+Q23+(Q13+Q25)*Assumptions!$G$45</f>
        <v>17403.4948523193</v>
      </c>
      <c r="R49" s="61" t="n">
        <f aca="false">R15+R19+R23+(R13+R25)*Assumptions!$G$45</f>
        <v>18157.5036163156</v>
      </c>
      <c r="S49" s="61" t="n">
        <f aca="false">S15+S19+S23+(S13+S25)*Assumptions!$G$45</f>
        <v>18979.2968953597</v>
      </c>
      <c r="T49" s="61" t="n">
        <f aca="false">T15+T19+T23+(T13+T25)*Assumptions!$G$45</f>
        <v>19874.9601376402</v>
      </c>
      <c r="U49" s="61" t="n">
        <f aca="false">U15+U19+U23+(U13+U25)*Assumptions!$G$45</f>
        <v>20851.1233731228</v>
      </c>
      <c r="V49" s="61" t="n">
        <f aca="false">V15+V19+V23+(V13+V25)*Assumptions!$G$45</f>
        <v>22199.2221118403</v>
      </c>
      <c r="W49" s="61" t="n">
        <f aca="false">W15+W19+W23+(W13+W25)*Assumptions!$G$45</f>
        <v>23811.9729631444</v>
      </c>
      <c r="X49" s="61" t="n">
        <f aca="false">X15+X19+X23+(X13+X25)*Assumptions!$G$45</f>
        <v>25594.1031690493</v>
      </c>
      <c r="Y49" s="61" t="n">
        <f aca="false">Y15+Y19+Y23+(Y13+Y25)*Assumptions!$G$45</f>
        <v>27537.2924267455</v>
      </c>
      <c r="Z49" s="61" t="n">
        <f aca="false">Z15+Z19+Z23+(Z13+Z25)*Assumptions!$G$45</f>
        <v>29652.0408369165</v>
      </c>
      <c r="AA49" s="61" t="n">
        <f aca="false">AA15+AA19+AA23+(AA13+AA25)*Assumptions!$G$45</f>
        <v>31952.4616656673</v>
      </c>
      <c r="AB49" s="61" t="n">
        <f aca="false">AB15+AB19+AB23+(AB13+AB25)*Assumptions!$G$45</f>
        <v>34454.2523886382</v>
      </c>
      <c r="AC49" s="61" t="n">
        <f aca="false">AC15+AC19+AC23+(AC13+AC25)*Assumptions!$G$45</f>
        <v>37162.0509306635</v>
      </c>
      <c r="AD49" s="61" t="n">
        <f aca="false">AD15+AD19+AD23+(AD13+AD25)*Assumptions!$G$45</f>
        <v>40086.9139783384</v>
      </c>
      <c r="AE49" s="61" t="n">
        <f aca="false">AE15+AE19+AE23+(AE13+AE25)*Assumptions!$G$45</f>
        <v>43249.9994520665</v>
      </c>
      <c r="AF49" s="61" t="n">
        <f aca="false">AF15+AF19+AF23+(AF13+AF25)*Assumptions!$G$45</f>
        <v>46672.7957996119</v>
      </c>
      <c r="AG49" s="61" t="n">
        <f aca="false">AG15+AG19+AG23+(AG13+AG25)*Assumptions!$G$45</f>
        <v>50378.1403477528</v>
      </c>
      <c r="AH49" s="61" t="n">
        <f aca="false">AH15+AH19+AH23+(AH13+AH25)*Assumptions!$G$45</f>
        <v>54390.7391706145</v>
      </c>
      <c r="AI49" s="61" t="n">
        <f aca="false">AI15+AI19+AI23+(AI13+AI25)*Assumptions!$G$45</f>
        <v>58737.3917209251</v>
      </c>
      <c r="AJ49" s="61" t="n">
        <f aca="false">AJ15+AJ19+AJ23+(AJ13+AJ25)*Assumptions!$G$45</f>
        <v>63447.187208782</v>
      </c>
      <c r="AK49" s="61" t="n">
        <f aca="false">AK15+AK19+AK23+(AK13+AK25)*Assumptions!$G$45</f>
        <v>68551.7109868018</v>
      </c>
      <c r="AL49" s="61" t="n">
        <f aca="false">AL15+AL19+AL23+(AL13+AL25)*Assumptions!$G$45</f>
        <v>74085.2678405665</v>
      </c>
      <c r="AM49" s="61" t="n">
        <f aca="false">SUM(C49:AL49)</f>
        <v>1011332.28230751</v>
      </c>
    </row>
    <row r="50" customFormat="false" ht="15" hidden="false" customHeight="false" outlineLevel="0" collapsed="false">
      <c r="A50" s="10" t="s">
        <v>766</v>
      </c>
      <c r="B50" s="9" t="s">
        <v>49</v>
      </c>
      <c r="C50" s="61" t="n">
        <f aca="false">C49*Assumptions!$G$58*C9</f>
        <v>0</v>
      </c>
      <c r="D50" s="61" t="n">
        <f aca="false">D49*Assumptions!$G$58*D9</f>
        <v>0</v>
      </c>
      <c r="E50" s="61" t="n">
        <f aca="false">E49*Assumptions!$G$58*E9</f>
        <v>0</v>
      </c>
      <c r="F50" s="61" t="n">
        <f aca="false">F49*Assumptions!$G$58*F9</f>
        <v>0</v>
      </c>
      <c r="G50" s="61" t="n">
        <f aca="false">G49*Assumptions!$G$58*G9</f>
        <v>0</v>
      </c>
      <c r="H50" s="61" t="n">
        <f aca="false">H49*Assumptions!$G$58*H9</f>
        <v>0</v>
      </c>
      <c r="I50" s="61" t="n">
        <f aca="false">I49*Assumptions!$G$58*I9</f>
        <v>238.122079231063</v>
      </c>
      <c r="J50" s="61" t="n">
        <f aca="false">J49*Assumptions!$G$58*J9</f>
        <v>244.93692146546</v>
      </c>
      <c r="K50" s="61" t="n">
        <f aca="false">K49*Assumptions!$G$58*K9</f>
        <v>252.364740066334</v>
      </c>
      <c r="L50" s="61" t="n">
        <f aca="false">L49*Assumptions!$G$58*L9</f>
        <v>260.460666993067</v>
      </c>
      <c r="M50" s="61" t="n">
        <f aca="false">M49*Assumptions!$G$58*M9</f>
        <v>269.284757826088</v>
      </c>
      <c r="N50" s="61" t="n">
        <f aca="false">N49*Assumptions!$G$58*N9</f>
        <v>278.902456300212</v>
      </c>
      <c r="O50" s="61" t="n">
        <f aca="false">O49*Assumptions!$G$58*O9</f>
        <v>289.385077922876</v>
      </c>
      <c r="P50" s="61" t="n">
        <f aca="false">P49*Assumptions!$G$58*P9</f>
        <v>300.810334888393</v>
      </c>
      <c r="Q50" s="61" t="n">
        <f aca="false">Q49*Assumptions!$G$58*Q9</f>
        <v>313.262907341747</v>
      </c>
      <c r="R50" s="61" t="n">
        <f aca="false">R49*Assumptions!$G$58*R9</f>
        <v>326.835065093681</v>
      </c>
      <c r="S50" s="61" t="n">
        <f aca="false">S49*Assumptions!$G$58*S9</f>
        <v>341.627344116474</v>
      </c>
      <c r="T50" s="61" t="n">
        <f aca="false">T49*Assumptions!$G$58*T9</f>
        <v>357.749282477523</v>
      </c>
      <c r="U50" s="61" t="n">
        <f aca="false">U49*Assumptions!$G$58*U9</f>
        <v>375.320220716211</v>
      </c>
      <c r="V50" s="61" t="n">
        <f aca="false">V49*Assumptions!$G$58*V9</f>
        <v>399.585998013124</v>
      </c>
      <c r="W50" s="61" t="n">
        <f aca="false">W49*Assumptions!$G$58*W9</f>
        <v>428.615513336599</v>
      </c>
      <c r="X50" s="61" t="n">
        <f aca="false">X49*Assumptions!$G$58*X9</f>
        <v>460.693857042887</v>
      </c>
      <c r="Y50" s="61" t="n">
        <f aca="false">Y49*Assumptions!$G$58*Y9</f>
        <v>495.67126368142</v>
      </c>
      <c r="Z50" s="61" t="n">
        <f aca="false">Z49*Assumptions!$G$58*Z9</f>
        <v>533.736735064498</v>
      </c>
      <c r="AA50" s="61" t="n">
        <f aca="false">AA49*Assumptions!$G$58*AA9</f>
        <v>575.144309982012</v>
      </c>
      <c r="AB50" s="61" t="n">
        <f aca="false">AB49*Assumptions!$G$58*AB9</f>
        <v>620.176542995487</v>
      </c>
      <c r="AC50" s="61" t="n">
        <f aca="false">AC49*Assumptions!$G$58*AC9</f>
        <v>668.916916751942</v>
      </c>
      <c r="AD50" s="61" t="n">
        <f aca="false">AD49*Assumptions!$G$58*AD9</f>
        <v>721.564451610092</v>
      </c>
      <c r="AE50" s="61" t="n">
        <f aca="false">AE49*Assumptions!$G$58*AE9</f>
        <v>778.499990137197</v>
      </c>
      <c r="AF50" s="61" t="n">
        <f aca="false">AF49*Assumptions!$G$58*AF9</f>
        <v>840.110324393015</v>
      </c>
      <c r="AG50" s="61" t="n">
        <f aca="false">AG49*Assumptions!$G$58*AG9</f>
        <v>906.80652625955</v>
      </c>
      <c r="AH50" s="61" t="n">
        <f aca="false">AH49*Assumptions!$G$58*AH9</f>
        <v>979.033305071061</v>
      </c>
      <c r="AI50" s="61" t="n">
        <f aca="false">AI49*Assumptions!$G$58*AI9</f>
        <v>1057.27305097665</v>
      </c>
      <c r="AJ50" s="61" t="n">
        <f aca="false">AJ49*Assumptions!$G$58*AJ9</f>
        <v>1142.04936975808</v>
      </c>
      <c r="AK50" s="61" t="n">
        <f aca="false">AK49*Assumptions!$G$58*AK9</f>
        <v>1233.93079776243</v>
      </c>
      <c r="AL50" s="61" t="n">
        <f aca="false">AL49*Assumptions!$G$58*AL9</f>
        <v>1333.5348211302</v>
      </c>
      <c r="AM50" s="61" t="n">
        <f aca="false">SUM(C50:AL50)</f>
        <v>17024.4056284054</v>
      </c>
    </row>
    <row r="51" customFormat="false" ht="15" hidden="false" customHeight="false" outlineLevel="0" collapsed="false">
      <c r="A51" s="10" t="s">
        <v>767</v>
      </c>
      <c r="B51" s="9" t="s">
        <v>49</v>
      </c>
      <c r="C51" s="61" t="n">
        <f aca="false">C50*Assumptions!$G$59</f>
        <v>0</v>
      </c>
      <c r="D51" s="61" t="n">
        <f aca="false">D50*Assumptions!$G$59</f>
        <v>0</v>
      </c>
      <c r="E51" s="61" t="n">
        <f aca="false">E50*Assumptions!$G$59</f>
        <v>0</v>
      </c>
      <c r="F51" s="61" t="n">
        <f aca="false">F50*Assumptions!$G$59</f>
        <v>0</v>
      </c>
      <c r="G51" s="61" t="n">
        <f aca="false">G50*Assumptions!$G$59</f>
        <v>0</v>
      </c>
      <c r="H51" s="61" t="n">
        <f aca="false">H50*Assumptions!$G$59</f>
        <v>0</v>
      </c>
      <c r="I51" s="61" t="n">
        <f aca="false">I50*Assumptions!$G$59</f>
        <v>166.685455461744</v>
      </c>
      <c r="J51" s="61" t="n">
        <f aca="false">J50*Assumptions!$G$59</f>
        <v>171.455845025822</v>
      </c>
      <c r="K51" s="61" t="n">
        <f aca="false">K50*Assumptions!$G$59</f>
        <v>176.655318046434</v>
      </c>
      <c r="L51" s="61" t="n">
        <f aca="false">L50*Assumptions!$G$59</f>
        <v>182.322466895147</v>
      </c>
      <c r="M51" s="61" t="n">
        <f aca="false">M50*Assumptions!$G$59</f>
        <v>188.499330478261</v>
      </c>
      <c r="N51" s="61" t="n">
        <f aca="false">N50*Assumptions!$G$59</f>
        <v>195.231719410148</v>
      </c>
      <c r="O51" s="61" t="n">
        <f aca="false">O50*Assumptions!$G$59</f>
        <v>202.569554546013</v>
      </c>
      <c r="P51" s="61" t="n">
        <f aca="false">P50*Assumptions!$G$59</f>
        <v>210.567234421875</v>
      </c>
      <c r="Q51" s="61" t="n">
        <f aca="false">Q50*Assumptions!$G$59</f>
        <v>219.284035139223</v>
      </c>
      <c r="R51" s="61" t="n">
        <f aca="false">R50*Assumptions!$G$59</f>
        <v>228.784545565577</v>
      </c>
      <c r="S51" s="61" t="n">
        <f aca="false">S50*Assumptions!$G$59</f>
        <v>239.139140881532</v>
      </c>
      <c r="T51" s="61" t="n">
        <f aca="false">T50*Assumptions!$G$59</f>
        <v>250.424497734266</v>
      </c>
      <c r="U51" s="61" t="n">
        <f aca="false">U50*Assumptions!$G$59</f>
        <v>262.724154501348</v>
      </c>
      <c r="V51" s="61" t="n">
        <f aca="false">V50*Assumptions!$G$59</f>
        <v>279.710198609187</v>
      </c>
      <c r="W51" s="61" t="n">
        <f aca="false">W50*Assumptions!$G$59</f>
        <v>300.030859335619</v>
      </c>
      <c r="X51" s="61" t="n">
        <f aca="false">X50*Assumptions!$G$59</f>
        <v>322.485699930021</v>
      </c>
      <c r="Y51" s="61" t="n">
        <f aca="false">Y50*Assumptions!$G$59</f>
        <v>346.969884576994</v>
      </c>
      <c r="Z51" s="61" t="n">
        <f aca="false">Z50*Assumptions!$G$59</f>
        <v>373.615714545148</v>
      </c>
      <c r="AA51" s="61" t="n">
        <f aca="false">AA50*Assumptions!$G$59</f>
        <v>402.601016987408</v>
      </c>
      <c r="AB51" s="61" t="n">
        <f aca="false">AB50*Assumptions!$G$59</f>
        <v>434.123580096841</v>
      </c>
      <c r="AC51" s="61" t="n">
        <f aca="false">AC50*Assumptions!$G$59</f>
        <v>468.241841726359</v>
      </c>
      <c r="AD51" s="61" t="n">
        <f aca="false">AD50*Assumptions!$G$59</f>
        <v>505.095116127064</v>
      </c>
      <c r="AE51" s="61" t="n">
        <f aca="false">AE50*Assumptions!$G$59</f>
        <v>544.949993096038</v>
      </c>
      <c r="AF51" s="61" t="n">
        <f aca="false">AF50*Assumptions!$G$59</f>
        <v>588.07722707511</v>
      </c>
      <c r="AG51" s="61" t="n">
        <f aca="false">AG50*Assumptions!$G$59</f>
        <v>634.764568381685</v>
      </c>
      <c r="AH51" s="61" t="n">
        <f aca="false">AH50*Assumptions!$G$59</f>
        <v>685.323313549743</v>
      </c>
      <c r="AI51" s="61" t="n">
        <f aca="false">AI50*Assumptions!$G$59</f>
        <v>740.091135683657</v>
      </c>
      <c r="AJ51" s="61" t="n">
        <f aca="false">AJ50*Assumptions!$G$59</f>
        <v>799.434558830654</v>
      </c>
      <c r="AK51" s="61" t="n">
        <f aca="false">AK50*Assumptions!$G$59</f>
        <v>863.751558433703</v>
      </c>
      <c r="AL51" s="61" t="n">
        <f aca="false">AL50*Assumptions!$G$59</f>
        <v>933.474374791138</v>
      </c>
      <c r="AM51" s="61" t="n">
        <f aca="false">SUM(C51:AL51)</f>
        <v>11917.0839398838</v>
      </c>
    </row>
    <row r="52" customFormat="false" ht="15" hidden="false" customHeight="false" outlineLevel="0" collapsed="false">
      <c r="A52" s="10" t="s">
        <v>768</v>
      </c>
      <c r="B52" s="9" t="s">
        <v>49</v>
      </c>
      <c r="C52" s="61" t="n">
        <f aca="false">C51*Assumptions!$G$60*C48</f>
        <v>0</v>
      </c>
      <c r="D52" s="61" t="n">
        <f aca="false">D51*Assumptions!$G$60*D48</f>
        <v>0</v>
      </c>
      <c r="E52" s="61" t="n">
        <f aca="false">E51*Assumptions!$G$60*E48</f>
        <v>0</v>
      </c>
      <c r="F52" s="61" t="n">
        <f aca="false">F51*Assumptions!$G$60*F48</f>
        <v>0</v>
      </c>
      <c r="G52" s="61" t="n">
        <f aca="false">G51*Assumptions!$G$60*G48</f>
        <v>0</v>
      </c>
      <c r="H52" s="61" t="n">
        <f aca="false">H51*Assumptions!$G$60*H48</f>
        <v>0</v>
      </c>
      <c r="I52" s="61" t="n">
        <f aca="false">I51*Assumptions!$G$60*I48</f>
        <v>34.8039231004122</v>
      </c>
      <c r="J52" s="61" t="n">
        <f aca="false">J51*Assumptions!$G$60*J48</f>
        <v>38.286090194266</v>
      </c>
      <c r="K52" s="61" t="n">
        <f aca="false">K51*Assumptions!$G$60*K48</f>
        <v>42.008634631442</v>
      </c>
      <c r="L52" s="61" t="n">
        <f aca="false">L51*Assumptions!$G$60*L48</f>
        <v>45.9999583976456</v>
      </c>
      <c r="M52" s="61" t="n">
        <f aca="false">M51*Assumptions!$G$60*M48</f>
        <v>50.2916213716001</v>
      </c>
      <c r="N52" s="61" t="n">
        <f aca="false">N51*Assumptions!$G$60*N48</f>
        <v>54.9186826700747</v>
      </c>
      <c r="O52" s="61" t="n">
        <f aca="false">O51*Assumptions!$G$60*O48</f>
        <v>59.9200742347107</v>
      </c>
      <c r="P52" s="61" t="n">
        <f aca="false">P51*Assumptions!$G$60*P48</f>
        <v>65.3390128411079</v>
      </c>
      <c r="Q52" s="61" t="n">
        <f aca="false">Q51*Assumptions!$G$60*Q48</f>
        <v>71.2234546132196</v>
      </c>
      <c r="R52" s="61" t="n">
        <f aca="false">R51*Assumptions!$G$60*R48</f>
        <v>77.6265963104001</v>
      </c>
      <c r="S52" s="61" t="n">
        <f aca="false">S51*Assumptions!$G$60*S48</f>
        <v>84.607428043886</v>
      </c>
      <c r="T52" s="61" t="n">
        <f aca="false">T51*Assumptions!$G$60*T48</f>
        <v>92.2313425155303</v>
      </c>
      <c r="U52" s="61" t="n">
        <f aca="false">U51*Assumptions!$G$60*U48</f>
        <v>100.570806343116</v>
      </c>
      <c r="V52" s="61" t="n">
        <f aca="false">V51*Assumptions!$G$60*V48</f>
        <v>111.12886190743</v>
      </c>
      <c r="W52" s="61" t="n">
        <f aca="false">W51*Assumptions!$G$60*W48</f>
        <v>123.552707874408</v>
      </c>
      <c r="X52" s="61" t="n">
        <f aca="false">X51*Assumptions!$G$60*X48</f>
        <v>137.475653880168</v>
      </c>
      <c r="Y52" s="61" t="n">
        <f aca="false">Y51*Assumptions!$G$60*Y48</f>
        <v>152.944325121539</v>
      </c>
      <c r="Z52" s="61" t="n">
        <f aca="false">Z51*Assumptions!$G$60*Z48</f>
        <v>170.107234832406</v>
      </c>
      <c r="AA52" s="61" t="n">
        <f aca="false">AA51*Assumptions!$G$60*AA48</f>
        <v>189.141957780685</v>
      </c>
      <c r="AB52" s="61" t="n">
        <f aca="false">AB51*Assumptions!$G$60*AB48</f>
        <v>206.469174694057</v>
      </c>
      <c r="AC52" s="61" t="n">
        <f aca="false">AC51*Assumptions!$G$60*AC48</f>
        <v>222.695819925057</v>
      </c>
      <c r="AD52" s="61" t="n">
        <f aca="false">AD51*Assumptions!$G$60*AD48</f>
        <v>240.223237230032</v>
      </c>
      <c r="AE52" s="61" t="n">
        <f aca="false">AE51*Assumptions!$G$60*AE48</f>
        <v>259.178216716475</v>
      </c>
      <c r="AF52" s="61" t="n">
        <f aca="false">AF51*Assumptions!$G$60*AF48</f>
        <v>279.689529196923</v>
      </c>
      <c r="AG52" s="61" t="n">
        <f aca="false">AG51*Assumptions!$G$60*AG48</f>
        <v>301.894028722329</v>
      </c>
      <c r="AH52" s="61" t="n">
        <f aca="false">AH51*Assumptions!$G$60*AH48</f>
        <v>325.939767924258</v>
      </c>
      <c r="AI52" s="61" t="n">
        <f aca="false">AI51*Assumptions!$G$60*AI48</f>
        <v>351.987344131147</v>
      </c>
      <c r="AJ52" s="61" t="n">
        <f aca="false">AJ51*Assumptions!$G$60*AJ48</f>
        <v>380.211076179859</v>
      </c>
      <c r="AK52" s="61" t="n">
        <f aca="false">AK51*Assumptions!$G$60*AK48</f>
        <v>410.800241191069</v>
      </c>
      <c r="AL52" s="61" t="n">
        <f aca="false">AL51*Assumptions!$G$60*AL48</f>
        <v>443.960412650665</v>
      </c>
      <c r="AM52" s="61" t="n">
        <f aca="false">SUM(C52:AL52)</f>
        <v>5125.22721522592</v>
      </c>
    </row>
    <row r="53" customFormat="false" ht="15" hidden="false" customHeight="false" outlineLevel="0" collapsed="false">
      <c r="A53" s="10" t="s">
        <v>769</v>
      </c>
      <c r="B53" s="9" t="s">
        <v>49</v>
      </c>
      <c r="C53" s="61" t="n">
        <f aca="false">C52*Assumptions!$G$64</f>
        <v>0</v>
      </c>
      <c r="D53" s="61" t="n">
        <f aca="false">D52*Assumptions!$G$64</f>
        <v>0</v>
      </c>
      <c r="E53" s="61" t="n">
        <f aca="false">E52*Assumptions!$G$64</f>
        <v>0</v>
      </c>
      <c r="F53" s="61" t="n">
        <f aca="false">F52*Assumptions!$G$64</f>
        <v>0</v>
      </c>
      <c r="G53" s="61" t="n">
        <f aca="false">G52*Assumptions!$G$64</f>
        <v>0</v>
      </c>
      <c r="H53" s="61" t="n">
        <f aca="false">H52*Assumptions!$G$64</f>
        <v>0</v>
      </c>
      <c r="I53" s="61" t="n">
        <f aca="false">I52*Assumptions!$G$64</f>
        <v>19.4901969362308</v>
      </c>
      <c r="J53" s="61" t="n">
        <f aca="false">J52*Assumptions!$G$64</f>
        <v>21.440210508789</v>
      </c>
      <c r="K53" s="61" t="n">
        <f aca="false">K52*Assumptions!$G$64</f>
        <v>23.5248353936075</v>
      </c>
      <c r="L53" s="61" t="n">
        <f aca="false">L52*Assumptions!$G$64</f>
        <v>25.7599767026816</v>
      </c>
      <c r="M53" s="61" t="n">
        <f aca="false">M52*Assumptions!$G$64</f>
        <v>28.1633079680961</v>
      </c>
      <c r="N53" s="61" t="n">
        <f aca="false">N52*Assumptions!$G$64</f>
        <v>30.7544622952418</v>
      </c>
      <c r="O53" s="61" t="n">
        <f aca="false">O52*Assumptions!$G$64</f>
        <v>33.555241571438</v>
      </c>
      <c r="P53" s="61" t="n">
        <f aca="false">P52*Assumptions!$G$64</f>
        <v>36.5898471910204</v>
      </c>
      <c r="Q53" s="61" t="n">
        <f aca="false">Q52*Assumptions!$G$64</f>
        <v>39.885134583403</v>
      </c>
      <c r="R53" s="61" t="n">
        <f aca="false">R52*Assumptions!$G$64</f>
        <v>43.4708939338241</v>
      </c>
      <c r="S53" s="61" t="n">
        <f aca="false">S52*Assumptions!$G$64</f>
        <v>47.3801597045762</v>
      </c>
      <c r="T53" s="61" t="n">
        <f aca="false">T52*Assumptions!$G$64</f>
        <v>51.649551808697</v>
      </c>
      <c r="U53" s="61" t="n">
        <f aca="false">U52*Assumptions!$G$64</f>
        <v>56.3196515521449</v>
      </c>
      <c r="V53" s="61" t="n">
        <f aca="false">V52*Assumptions!$G$64</f>
        <v>62.2321626681608</v>
      </c>
      <c r="W53" s="61" t="n">
        <f aca="false">W52*Assumptions!$G$64</f>
        <v>69.1895164096685</v>
      </c>
      <c r="X53" s="61" t="n">
        <f aca="false">X52*Assumptions!$G$64</f>
        <v>76.986366172894</v>
      </c>
      <c r="Y53" s="61" t="n">
        <f aca="false">Y52*Assumptions!$G$64</f>
        <v>85.6488220680618</v>
      </c>
      <c r="Z53" s="61" t="n">
        <f aca="false">Z52*Assumptions!$G$64</f>
        <v>95.2600515061474</v>
      </c>
      <c r="AA53" s="61" t="n">
        <f aca="false">AA52*Assumptions!$G$64</f>
        <v>105.919496357183</v>
      </c>
      <c r="AB53" s="61" t="n">
        <f aca="false">AB52*Assumptions!$G$64</f>
        <v>115.622737828672</v>
      </c>
      <c r="AC53" s="61" t="n">
        <f aca="false">AC52*Assumptions!$G$64</f>
        <v>124.709659158032</v>
      </c>
      <c r="AD53" s="61" t="n">
        <f aca="false">AD52*Assumptions!$G$64</f>
        <v>134.525012848818</v>
      </c>
      <c r="AE53" s="61" t="n">
        <f aca="false">AE52*Assumptions!$G$64</f>
        <v>145.139801361226</v>
      </c>
      <c r="AF53" s="61" t="n">
        <f aca="false">AF52*Assumptions!$G$64</f>
        <v>156.626136350277</v>
      </c>
      <c r="AG53" s="61" t="n">
        <f aca="false">AG52*Assumptions!$G$64</f>
        <v>169.060656084504</v>
      </c>
      <c r="AH53" s="61" t="n">
        <f aca="false">AH52*Assumptions!$G$64</f>
        <v>182.526270037584</v>
      </c>
      <c r="AI53" s="61" t="n">
        <f aca="false">AI52*Assumptions!$G$64</f>
        <v>197.112912713442</v>
      </c>
      <c r="AJ53" s="61" t="n">
        <f aca="false">AJ52*Assumptions!$G$64</f>
        <v>212.918202660721</v>
      </c>
      <c r="AK53" s="61" t="n">
        <f aca="false">AK52*Assumptions!$G$64</f>
        <v>230.048135066999</v>
      </c>
      <c r="AL53" s="61" t="n">
        <f aca="false">AL52*Assumptions!$G$64</f>
        <v>248.617831084372</v>
      </c>
      <c r="AM53" s="61" t="n">
        <f aca="false">SUM(C53:AL53)</f>
        <v>2870.12724052651</v>
      </c>
    </row>
    <row r="54" customFormat="false" ht="15" hidden="false" customHeight="false" outlineLevel="0" collapsed="false">
      <c r="A54" s="10" t="s">
        <v>770</v>
      </c>
      <c r="B54" s="9" t="s">
        <v>49</v>
      </c>
      <c r="C54" s="61" t="n">
        <f aca="false">C53*Assumptions!$G$65</f>
        <v>0</v>
      </c>
      <c r="D54" s="61" t="n">
        <f aca="false">D53*Assumptions!$G$65</f>
        <v>0</v>
      </c>
      <c r="E54" s="61" t="n">
        <f aca="false">E53*Assumptions!$G$65</f>
        <v>0</v>
      </c>
      <c r="F54" s="61" t="n">
        <f aca="false">F53*Assumptions!$G$65</f>
        <v>0</v>
      </c>
      <c r="G54" s="61" t="n">
        <f aca="false">G53*Assumptions!$G$65</f>
        <v>0</v>
      </c>
      <c r="H54" s="61" t="n">
        <f aca="false">H53*Assumptions!$G$65</f>
        <v>0</v>
      </c>
      <c r="I54" s="61" t="n">
        <f aca="false">I53*Assumptions!$G$65</f>
        <v>16.1768634570716</v>
      </c>
      <c r="J54" s="61" t="n">
        <f aca="false">J53*Assumptions!$G$65</f>
        <v>17.7953747222949</v>
      </c>
      <c r="K54" s="61" t="n">
        <f aca="false">K53*Assumptions!$G$65</f>
        <v>19.5256133766943</v>
      </c>
      <c r="L54" s="61" t="n">
        <f aca="false">L53*Assumptions!$G$65</f>
        <v>21.3807806632257</v>
      </c>
      <c r="M54" s="61" t="n">
        <f aca="false">M53*Assumptions!$G$65</f>
        <v>23.3755456135197</v>
      </c>
      <c r="N54" s="61" t="n">
        <f aca="false">N53*Assumptions!$G$65</f>
        <v>25.5262037050507</v>
      </c>
      <c r="O54" s="61" t="n">
        <f aca="false">O53*Assumptions!$G$65</f>
        <v>27.8508505042935</v>
      </c>
      <c r="P54" s="61" t="n">
        <f aca="false">P53*Assumptions!$G$65</f>
        <v>30.3695731685469</v>
      </c>
      <c r="Q54" s="61" t="n">
        <f aca="false">Q53*Assumptions!$G$65</f>
        <v>33.1046617042245</v>
      </c>
      <c r="R54" s="61" t="n">
        <f aca="false">R53*Assumptions!$G$65</f>
        <v>36.080841965074</v>
      </c>
      <c r="S54" s="61" t="n">
        <f aca="false">S53*Assumptions!$G$65</f>
        <v>39.3255325547982</v>
      </c>
      <c r="T54" s="61" t="n">
        <f aca="false">T53*Assumptions!$G$65</f>
        <v>42.8691280012185</v>
      </c>
      <c r="U54" s="61" t="n">
        <f aca="false">U53*Assumptions!$G$65</f>
        <v>46.7453107882803</v>
      </c>
      <c r="V54" s="61" t="n">
        <f aca="false">V53*Assumptions!$G$65</f>
        <v>51.6526950145735</v>
      </c>
      <c r="W54" s="61" t="n">
        <f aca="false">W53*Assumptions!$G$65</f>
        <v>57.4272986200249</v>
      </c>
      <c r="X54" s="61" t="n">
        <f aca="false">X53*Assumptions!$G$65</f>
        <v>63.898683923502</v>
      </c>
      <c r="Y54" s="61" t="n">
        <f aca="false">Y53*Assumptions!$G$65</f>
        <v>71.0885223164913</v>
      </c>
      <c r="Z54" s="61" t="n">
        <f aca="false">Z53*Assumptions!$G$65</f>
        <v>79.0658427501023</v>
      </c>
      <c r="AA54" s="61" t="n">
        <f aca="false">AA53*Assumptions!$G$65</f>
        <v>87.9131819764622</v>
      </c>
      <c r="AB54" s="61" t="n">
        <f aca="false">AB53*Assumptions!$G$65</f>
        <v>95.9668723977979</v>
      </c>
      <c r="AC54" s="61" t="n">
        <f aca="false">AC53*Assumptions!$G$65</f>
        <v>103.509017101166</v>
      </c>
      <c r="AD54" s="61" t="n">
        <f aca="false">AD53*Assumptions!$G$65</f>
        <v>111.655760664519</v>
      </c>
      <c r="AE54" s="61" t="n">
        <f aca="false">AE53*Assumptions!$G$65</f>
        <v>120.466035129818</v>
      </c>
      <c r="AF54" s="61" t="n">
        <f aca="false">AF53*Assumptions!$G$65</f>
        <v>129.99969317073</v>
      </c>
      <c r="AG54" s="61" t="n">
        <f aca="false">AG53*Assumptions!$G$65</f>
        <v>140.320344550139</v>
      </c>
      <c r="AH54" s="61" t="n">
        <f aca="false">AH53*Assumptions!$G$65</f>
        <v>151.496804131195</v>
      </c>
      <c r="AI54" s="61" t="n">
        <f aca="false">AI53*Assumptions!$G$65</f>
        <v>163.603717552157</v>
      </c>
      <c r="AJ54" s="61" t="n">
        <f aca="false">AJ53*Assumptions!$G$65</f>
        <v>176.722108208398</v>
      </c>
      <c r="AK54" s="61" t="n">
        <f aca="false">AK53*Assumptions!$G$65</f>
        <v>190.939952105609</v>
      </c>
      <c r="AL54" s="61" t="n">
        <f aca="false">AL53*Assumptions!$G$65</f>
        <v>206.352799800029</v>
      </c>
      <c r="AM54" s="61" t="n">
        <f aca="false">SUM(C54:AL54)</f>
        <v>2382.20560963701</v>
      </c>
    </row>
    <row r="55" customFormat="false" ht="15" hidden="false" customHeight="false" outlineLevel="0" collapsed="false">
      <c r="A55" s="10" t="s">
        <v>771</v>
      </c>
      <c r="B55" s="9" t="s">
        <v>49</v>
      </c>
      <c r="C55" s="61" t="n">
        <f aca="false">C54*Assumptions!$G$66</f>
        <v>0</v>
      </c>
      <c r="D55" s="61" t="n">
        <f aca="false">D54*Assumptions!$G$66</f>
        <v>0</v>
      </c>
      <c r="E55" s="61" t="n">
        <f aca="false">E54*Assumptions!$G$66</f>
        <v>0</v>
      </c>
      <c r="F55" s="61" t="n">
        <f aca="false">F54*Assumptions!$G$66</f>
        <v>0</v>
      </c>
      <c r="G55" s="61" t="n">
        <f aca="false">G54*Assumptions!$G$66</f>
        <v>0</v>
      </c>
      <c r="H55" s="61" t="n">
        <f aca="false">H54*Assumptions!$G$66</f>
        <v>0</v>
      </c>
      <c r="I55" s="61" t="n">
        <f aca="false">I54*Assumptions!$G$66</f>
        <v>10.0296553433844</v>
      </c>
      <c r="J55" s="61" t="n">
        <f aca="false">J54*Assumptions!$G$66</f>
        <v>11.0331323278228</v>
      </c>
      <c r="K55" s="61" t="n">
        <f aca="false">K54*Assumptions!$G$66</f>
        <v>12.1058802935504</v>
      </c>
      <c r="L55" s="61" t="n">
        <f aca="false">L54*Assumptions!$G$66</f>
        <v>13.2560840111999</v>
      </c>
      <c r="M55" s="61" t="n">
        <f aca="false">M54*Assumptions!$G$66</f>
        <v>14.4928382803822</v>
      </c>
      <c r="N55" s="61" t="n">
        <f aca="false">N54*Assumptions!$G$66</f>
        <v>15.8262462971314</v>
      </c>
      <c r="O55" s="61" t="n">
        <f aca="false">O54*Assumptions!$G$66</f>
        <v>17.267527312662</v>
      </c>
      <c r="P55" s="61" t="n">
        <f aca="false">P54*Assumptions!$G$66</f>
        <v>18.8291353644991</v>
      </c>
      <c r="Q55" s="61" t="n">
        <f aca="false">Q54*Assumptions!$G$66</f>
        <v>20.5248902566192</v>
      </c>
      <c r="R55" s="61" t="n">
        <f aca="false">R54*Assumptions!$G$66</f>
        <v>22.3701220183459</v>
      </c>
      <c r="S55" s="61" t="n">
        <f aca="false">S54*Assumptions!$G$66</f>
        <v>24.3818301839749</v>
      </c>
      <c r="T55" s="61" t="n">
        <f aca="false">T54*Assumptions!$G$66</f>
        <v>26.5788593607555</v>
      </c>
      <c r="U55" s="61" t="n">
        <f aca="false">U54*Assumptions!$G$66</f>
        <v>28.9820926887338</v>
      </c>
      <c r="V55" s="61" t="n">
        <f aca="false">V54*Assumptions!$G$66</f>
        <v>32.0246709090356</v>
      </c>
      <c r="W55" s="61" t="n">
        <f aca="false">W54*Assumptions!$G$66</f>
        <v>35.6049251444154</v>
      </c>
      <c r="X55" s="61" t="n">
        <f aca="false">X54*Assumptions!$G$66</f>
        <v>39.6171840325712</v>
      </c>
      <c r="Y55" s="61" t="n">
        <f aca="false">Y54*Assumptions!$G$66</f>
        <v>44.0748838362246</v>
      </c>
      <c r="Z55" s="61" t="n">
        <f aca="false">Z54*Assumptions!$G$66</f>
        <v>49.0208225050634</v>
      </c>
      <c r="AA55" s="61" t="n">
        <f aca="false">AA54*Assumptions!$G$66</f>
        <v>54.5061728254065</v>
      </c>
      <c r="AB55" s="61" t="n">
        <f aca="false">AB54*Assumptions!$G$66</f>
        <v>59.4994608866347</v>
      </c>
      <c r="AC55" s="61" t="n">
        <f aca="false">AC54*Assumptions!$G$66</f>
        <v>64.1755906027231</v>
      </c>
      <c r="AD55" s="61" t="n">
        <f aca="false">AD54*Assumptions!$G$66</f>
        <v>69.2265716120016</v>
      </c>
      <c r="AE55" s="61" t="n">
        <f aca="false">AE54*Assumptions!$G$66</f>
        <v>74.688941780487</v>
      </c>
      <c r="AF55" s="61" t="n">
        <f aca="false">AF54*Assumptions!$G$66</f>
        <v>80.5998097658523</v>
      </c>
      <c r="AG55" s="61" t="n">
        <f aca="false">AG54*Assumptions!$G$66</f>
        <v>86.998613621086</v>
      </c>
      <c r="AH55" s="61" t="n">
        <f aca="false">AH54*Assumptions!$G$66</f>
        <v>93.9280185613409</v>
      </c>
      <c r="AI55" s="61" t="n">
        <f aca="false">AI54*Assumptions!$G$66</f>
        <v>101.434304882337</v>
      </c>
      <c r="AJ55" s="61" t="n">
        <f aca="false">AJ54*Assumptions!$G$66</f>
        <v>109.567707089207</v>
      </c>
      <c r="AK55" s="61" t="n">
        <f aca="false">AK54*Assumptions!$G$66</f>
        <v>118.382770305478</v>
      </c>
      <c r="AL55" s="61" t="n">
        <f aca="false">AL54*Assumptions!$G$66</f>
        <v>127.938735876018</v>
      </c>
      <c r="AM55" s="61" t="n">
        <f aca="false">SUM(C55:AL55)</f>
        <v>1476.96747797494</v>
      </c>
    </row>
    <row r="56" customFormat="false" ht="15" hidden="false" customHeight="false" outlineLevel="0" collapsed="false">
      <c r="A56" s="10" t="s">
        <v>772</v>
      </c>
      <c r="B56" s="9" t="s">
        <v>49</v>
      </c>
      <c r="C56" s="61" t="n">
        <f aca="false">C55*Assumptions!$G$67</f>
        <v>0</v>
      </c>
      <c r="D56" s="61" t="n">
        <f aca="false">D55*Assumptions!$G$67</f>
        <v>0</v>
      </c>
      <c r="E56" s="61" t="n">
        <f aca="false">E55*Assumptions!$G$67</f>
        <v>0</v>
      </c>
      <c r="F56" s="61" t="n">
        <f aca="false">F55*Assumptions!$G$67</f>
        <v>0</v>
      </c>
      <c r="G56" s="61" t="n">
        <f aca="false">G55*Assumptions!$G$67</f>
        <v>0</v>
      </c>
      <c r="H56" s="61" t="n">
        <f aca="false">H55*Assumptions!$G$67</f>
        <v>0</v>
      </c>
      <c r="I56" s="61" t="n">
        <f aca="false">I55*Assumptions!$G$67</f>
        <v>6.61957252663369</v>
      </c>
      <c r="J56" s="61" t="n">
        <f aca="false">J55*Assumptions!$G$67</f>
        <v>7.28186733636306</v>
      </c>
      <c r="K56" s="61" t="n">
        <f aca="false">K55*Assumptions!$G$67</f>
        <v>7.98988099374329</v>
      </c>
      <c r="L56" s="61" t="n">
        <f aca="false">L55*Assumptions!$G$67</f>
        <v>8.74901544739195</v>
      </c>
      <c r="M56" s="61" t="n">
        <f aca="false">M55*Assumptions!$G$67</f>
        <v>9.56527326505228</v>
      </c>
      <c r="N56" s="61" t="n">
        <f aca="false">N55*Assumptions!$G$67</f>
        <v>10.4453225561068</v>
      </c>
      <c r="O56" s="61" t="n">
        <f aca="false">O55*Assumptions!$G$67</f>
        <v>11.3965680263569</v>
      </c>
      <c r="P56" s="61" t="n">
        <f aca="false">P55*Assumptions!$G$67</f>
        <v>12.4272293405694</v>
      </c>
      <c r="Q56" s="61" t="n">
        <f aca="false">Q55*Assumptions!$G$67</f>
        <v>13.5464275693687</v>
      </c>
      <c r="R56" s="61" t="n">
        <f aca="false">R55*Assumptions!$G$67</f>
        <v>14.7642805321083</v>
      </c>
      <c r="S56" s="61" t="n">
        <f aca="false">S55*Assumptions!$G$67</f>
        <v>16.0920079214234</v>
      </c>
      <c r="T56" s="61" t="n">
        <f aca="false">T55*Assumptions!$G$67</f>
        <v>17.5420471780986</v>
      </c>
      <c r="U56" s="61" t="n">
        <f aca="false">U55*Assumptions!$G$67</f>
        <v>19.1281811745643</v>
      </c>
      <c r="V56" s="61" t="n">
        <f aca="false">V55*Assumptions!$G$67</f>
        <v>21.1362827999635</v>
      </c>
      <c r="W56" s="61" t="n">
        <f aca="false">W55*Assumptions!$G$67</f>
        <v>23.4992505953142</v>
      </c>
      <c r="X56" s="61" t="n">
        <f aca="false">X55*Assumptions!$G$67</f>
        <v>26.147341461497</v>
      </c>
      <c r="Y56" s="61" t="n">
        <f aca="false">Y55*Assumptions!$G$67</f>
        <v>29.0894233319082</v>
      </c>
      <c r="Z56" s="61" t="n">
        <f aca="false">Z55*Assumptions!$G$67</f>
        <v>32.3537428533419</v>
      </c>
      <c r="AA56" s="61" t="n">
        <f aca="false">AA55*Assumptions!$G$67</f>
        <v>35.9740740647683</v>
      </c>
      <c r="AB56" s="61" t="n">
        <f aca="false">AB55*Assumptions!$G$67</f>
        <v>39.2696441851789</v>
      </c>
      <c r="AC56" s="61" t="n">
        <f aca="false">AC55*Assumptions!$G$67</f>
        <v>42.3558897977972</v>
      </c>
      <c r="AD56" s="61" t="n">
        <f aca="false">AD55*Assumptions!$G$67</f>
        <v>45.6895372639211</v>
      </c>
      <c r="AE56" s="61" t="n">
        <f aca="false">AE55*Assumptions!$G$67</f>
        <v>49.2947015751214</v>
      </c>
      <c r="AF56" s="61" t="n">
        <f aca="false">AF55*Assumptions!$G$67</f>
        <v>53.1958744454625</v>
      </c>
      <c r="AG56" s="61" t="n">
        <f aca="false">AG55*Assumptions!$G$67</f>
        <v>57.4190849899168</v>
      </c>
      <c r="AH56" s="61" t="n">
        <f aca="false">AH55*Assumptions!$G$67</f>
        <v>61.992492250485</v>
      </c>
      <c r="AI56" s="61" t="n">
        <f aca="false">AI55*Assumptions!$G$67</f>
        <v>66.9466412223427</v>
      </c>
      <c r="AJ56" s="61" t="n">
        <f aca="false">AJ55*Assumptions!$G$67</f>
        <v>72.3146866788766</v>
      </c>
      <c r="AK56" s="61" t="n">
        <f aca="false">AK55*Assumptions!$G$67</f>
        <v>78.1326284016152</v>
      </c>
      <c r="AL56" s="61" t="n">
        <f aca="false">AL55*Assumptions!$G$67</f>
        <v>84.4395656781719</v>
      </c>
      <c r="AM56" s="61" t="n">
        <f aca="false">SUM(C56:AL56)</f>
        <v>974.798535463463</v>
      </c>
    </row>
    <row r="57" customFormat="false" ht="15" hidden="false" customHeight="false" outlineLevel="0" collapsed="false">
      <c r="A57" s="38" t="s">
        <v>773</v>
      </c>
      <c r="B57" s="9" t="s">
        <v>49</v>
      </c>
      <c r="C57" s="71" t="n">
        <f aca="false">C56</f>
        <v>0</v>
      </c>
      <c r="D57" s="71" t="n">
        <f aca="false">C57*(1-Assumptions!$G$68)+D56</f>
        <v>0</v>
      </c>
      <c r="E57" s="71" t="n">
        <f aca="false">D57*(1-Assumptions!$G$68)+E56</f>
        <v>0</v>
      </c>
      <c r="F57" s="71" t="n">
        <f aca="false">E57*(1-Assumptions!$G$68)+F56</f>
        <v>0</v>
      </c>
      <c r="G57" s="71" t="n">
        <f aca="false">F57*(1-Assumptions!$G$68)+G56</f>
        <v>0</v>
      </c>
      <c r="H57" s="71" t="n">
        <f aca="false">G57*(1-Assumptions!$G$68)+H56</f>
        <v>0</v>
      </c>
      <c r="I57" s="71" t="n">
        <f aca="false">H57*(1-Assumptions!$G$68)+I56</f>
        <v>6.61957252663369</v>
      </c>
      <c r="J57" s="71" t="n">
        <f aca="false">I57*(1-Assumptions!$G$68)+J56</f>
        <v>13.173286885067</v>
      </c>
      <c r="K57" s="71" t="n">
        <f aca="false">J57*(1-Assumptions!$G$68)+K56</f>
        <v>19.714106321453</v>
      </c>
      <c r="L57" s="71" t="n">
        <f aca="false">K57*(1-Assumptions!$G$68)+L56</f>
        <v>26.2945700734851</v>
      </c>
      <c r="M57" s="71" t="n">
        <f aca="false">L57*(1-Assumptions!$G$68)+M56</f>
        <v>32.967440630454</v>
      </c>
      <c r="N57" s="71" t="n">
        <f aca="false">M57*(1-Assumptions!$G$68)+N56</f>
        <v>39.7863447172108</v>
      </c>
      <c r="O57" s="71" t="n">
        <f aca="false">N57*(1-Assumptions!$G$68)+O56</f>
        <v>46.8064148246745</v>
      </c>
      <c r="P57" s="71" t="n">
        <f aca="false">O57*(1-Assumptions!$G$68)+P56</f>
        <v>54.0849385345298</v>
      </c>
      <c r="Q57" s="71" t="n">
        <f aca="false">P57*(1-Assumptions!$G$68)+Q56</f>
        <v>61.6820228651001</v>
      </c>
      <c r="R57" s="71" t="n">
        <f aca="false">Q57*(1-Assumptions!$G$68)+R56</f>
        <v>69.6612808820474</v>
      </c>
      <c r="S57" s="71" t="n">
        <f aca="false">R57*(1-Assumptions!$G$68)+S56</f>
        <v>78.0905479064456</v>
      </c>
      <c r="T57" s="71" t="n">
        <f aca="false">S57*(1-Assumptions!$G$68)+T56</f>
        <v>87.0426348148352</v>
      </c>
      <c r="U57" s="71" t="n">
        <f aca="false">T57*(1-Assumptions!$G$68)+U56</f>
        <v>96.5961261597676</v>
      </c>
      <c r="V57" s="71" t="n">
        <f aca="false">U57*(1-Assumptions!$G$68)+V56</f>
        <v>107.106835082157</v>
      </c>
      <c r="W57" s="71" t="n">
        <f aca="false">V57*(1-Assumptions!$G$68)+W56</f>
        <v>118.824333818434</v>
      </c>
      <c r="X57" s="71" t="n">
        <f aca="false">W57*(1-Assumptions!$G$68)+X56</f>
        <v>131.900998559903</v>
      </c>
      <c r="Y57" s="71" t="n">
        <f aca="false">X57*(1-Assumptions!$G$68)+Y56</f>
        <v>146.481312050222</v>
      </c>
      <c r="Z57" s="71" t="n">
        <f aca="false">Y57*(1-Assumptions!$G$68)+Z56</f>
        <v>162.722110578039</v>
      </c>
      <c r="AA57" s="71" t="n">
        <f aca="false">Z57*(1-Assumptions!$G$68)+AA56</f>
        <v>180.796752479223</v>
      </c>
      <c r="AB57" s="71" t="n">
        <f aca="false">AA57*(1-Assumptions!$G$68)+AB56</f>
        <v>200.178753891688</v>
      </c>
      <c r="AC57" s="71" t="n">
        <f aca="false">AB57*(1-Assumptions!$G$68)+AC56</f>
        <v>220.514980761399</v>
      </c>
      <c r="AD57" s="71" t="n">
        <f aca="false">AC57*(1-Assumptions!$G$68)+AD56</f>
        <v>241.947870141566</v>
      </c>
      <c r="AE57" s="71" t="n">
        <f aca="false">AD57*(1-Assumptions!$G$68)+AE56</f>
        <v>264.628306001116</v>
      </c>
      <c r="AF57" s="71" t="n">
        <f aca="false">AE57*(1-Assumptions!$G$68)+AF56</f>
        <v>288.715066786455</v>
      </c>
      <c r="AG57" s="71" t="n">
        <f aca="false">AF57*(1-Assumptions!$G$68)+AG56</f>
        <v>314.375494429862</v>
      </c>
      <c r="AH57" s="71" t="n">
        <f aca="false">AG57*(1-Assumptions!$G$68)+AH56</f>
        <v>341.786682293062</v>
      </c>
      <c r="AI57" s="71" t="n">
        <f aca="false">AH57*(1-Assumptions!$G$68)+AI56</f>
        <v>371.136788463168</v>
      </c>
      <c r="AJ57" s="71" t="n">
        <f aca="false">AI57*(1-Assumptions!$G$68)+AJ56</f>
        <v>402.626428411096</v>
      </c>
      <c r="AK57" s="71" t="n">
        <f aca="false">AJ57*(1-Assumptions!$G$68)+AK56</f>
        <v>436.470149687491</v>
      </c>
      <c r="AL57" s="71" t="n">
        <f aca="false">AK57*(1-Assumptions!$G$68)+AL56</f>
        <v>472.897998900039</v>
      </c>
      <c r="AM57" s="71" t="n">
        <f aca="false">AL57</f>
        <v>472.897998900039</v>
      </c>
    </row>
    <row r="58" customFormat="false" ht="15" hidden="false" customHeight="false" outlineLevel="0" collapsed="false">
      <c r="A58" s="10" t="s">
        <v>774</v>
      </c>
      <c r="B58" s="9" t="s">
        <v>49</v>
      </c>
      <c r="C58" s="61" t="n">
        <f aca="false">0</f>
        <v>0</v>
      </c>
      <c r="D58" s="61" t="n">
        <f aca="false">C57*Assumptions!$G$68</f>
        <v>0</v>
      </c>
      <c r="E58" s="61" t="n">
        <f aca="false">D57*Assumptions!$G$68</f>
        <v>0</v>
      </c>
      <c r="F58" s="61" t="n">
        <f aca="false">E57*Assumptions!$G$68</f>
        <v>0</v>
      </c>
      <c r="G58" s="61" t="n">
        <f aca="false">F57*Assumptions!$G$68</f>
        <v>0</v>
      </c>
      <c r="H58" s="61" t="n">
        <f aca="false">G57*Assumptions!$G$68</f>
        <v>0</v>
      </c>
      <c r="I58" s="61" t="n">
        <f aca="false">H57*Assumptions!$G$68</f>
        <v>0</v>
      </c>
      <c r="J58" s="61" t="n">
        <f aca="false">I57*Assumptions!$G$68</f>
        <v>0.728152977929706</v>
      </c>
      <c r="K58" s="61" t="n">
        <f aca="false">J57*Assumptions!$G$68</f>
        <v>1.44906155735737</v>
      </c>
      <c r="L58" s="61" t="n">
        <f aca="false">K57*Assumptions!$G$68</f>
        <v>2.16855169535983</v>
      </c>
      <c r="M58" s="61" t="n">
        <f aca="false">L57*Assumptions!$G$68</f>
        <v>2.89240270808336</v>
      </c>
      <c r="N58" s="61" t="n">
        <f aca="false">M57*Assumptions!$G$68</f>
        <v>3.62641846934994</v>
      </c>
      <c r="O58" s="61" t="n">
        <f aca="false">N57*Assumptions!$G$68</f>
        <v>4.37649791889319</v>
      </c>
      <c r="P58" s="61" t="n">
        <f aca="false">O57*Assumptions!$G$68</f>
        <v>5.1487056307142</v>
      </c>
      <c r="Q58" s="61" t="n">
        <f aca="false">P57*Assumptions!$G$68</f>
        <v>5.94934323879827</v>
      </c>
      <c r="R58" s="61" t="n">
        <f aca="false">Q57*Assumptions!$G$68</f>
        <v>6.78502251516101</v>
      </c>
      <c r="S58" s="61" t="n">
        <f aca="false">R57*Assumptions!$G$68</f>
        <v>7.66274089702521</v>
      </c>
      <c r="T58" s="61" t="n">
        <f aca="false">S57*Assumptions!$G$68</f>
        <v>8.58996026970902</v>
      </c>
      <c r="U58" s="61" t="n">
        <f aca="false">T57*Assumptions!$G$68</f>
        <v>9.57468982963188</v>
      </c>
      <c r="V58" s="61" t="n">
        <f aca="false">U57*Assumptions!$G$68</f>
        <v>10.6255738775744</v>
      </c>
      <c r="W58" s="61" t="n">
        <f aca="false">V57*Assumptions!$G$68</f>
        <v>11.7817518590372</v>
      </c>
      <c r="X58" s="61" t="n">
        <f aca="false">W57*Assumptions!$G$68</f>
        <v>13.0706767200277</v>
      </c>
      <c r="Y58" s="61" t="n">
        <f aca="false">X57*Assumptions!$G$68</f>
        <v>14.5091098415893</v>
      </c>
      <c r="Z58" s="61" t="n">
        <f aca="false">Y57*Assumptions!$G$68</f>
        <v>16.1129443255244</v>
      </c>
      <c r="AA58" s="61" t="n">
        <f aca="false">Z57*Assumptions!$G$68</f>
        <v>17.8994321635843</v>
      </c>
      <c r="AB58" s="61" t="n">
        <f aca="false">AA57*Assumptions!$G$68</f>
        <v>19.8876427727146</v>
      </c>
      <c r="AC58" s="61" t="n">
        <f aca="false">AB57*Assumptions!$G$68</f>
        <v>22.0196629280856</v>
      </c>
      <c r="AD58" s="61" t="n">
        <f aca="false">AC57*Assumptions!$G$68</f>
        <v>24.2566478837539</v>
      </c>
      <c r="AE58" s="61" t="n">
        <f aca="false">AD57*Assumptions!$G$68</f>
        <v>26.6142657155723</v>
      </c>
      <c r="AF58" s="61" t="n">
        <f aca="false">AE57*Assumptions!$G$68</f>
        <v>29.1091136601227</v>
      </c>
      <c r="AG58" s="61" t="n">
        <f aca="false">AF57*Assumptions!$G$68</f>
        <v>31.7586573465101</v>
      </c>
      <c r="AH58" s="61" t="n">
        <f aca="false">AG57*Assumptions!$G$68</f>
        <v>34.5813043872848</v>
      </c>
      <c r="AI58" s="61" t="n">
        <f aca="false">AH57*Assumptions!$G$68</f>
        <v>37.5965350522368</v>
      </c>
      <c r="AJ58" s="61" t="n">
        <f aca="false">AI57*Assumptions!$G$68</f>
        <v>40.8250467309485</v>
      </c>
      <c r="AK58" s="61" t="n">
        <f aca="false">AJ57*Assumptions!$G$68</f>
        <v>44.2889071252206</v>
      </c>
      <c r="AL58" s="61" t="n">
        <f aca="false">AK57*Assumptions!$G$68</f>
        <v>48.011716465624</v>
      </c>
      <c r="AM58" s="61" t="n">
        <f aca="false">SUM(C58:AL58)</f>
        <v>501.900536563424</v>
      </c>
    </row>
    <row r="59" customFormat="false" ht="15" hidden="false" customHeight="false" outlineLevel="0" collapsed="false">
      <c r="A59" s="10" t="s">
        <v>775</v>
      </c>
      <c r="B59" s="9" t="s">
        <v>95</v>
      </c>
      <c r="C59" s="70" t="n">
        <f aca="false">C57*Assumptions!$G$70</f>
        <v>0</v>
      </c>
      <c r="D59" s="70" t="n">
        <f aca="false">D57*Assumptions!$G$70</f>
        <v>0</v>
      </c>
      <c r="E59" s="70" t="n">
        <f aca="false">E57*Assumptions!$G$70</f>
        <v>0</v>
      </c>
      <c r="F59" s="70" t="n">
        <f aca="false">F57*Assumptions!$G$70</f>
        <v>0</v>
      </c>
      <c r="G59" s="70" t="n">
        <f aca="false">G57*Assumptions!$G$70</f>
        <v>0</v>
      </c>
      <c r="H59" s="70" t="n">
        <f aca="false">H57*Assumptions!$G$70</f>
        <v>0</v>
      </c>
      <c r="I59" s="70" t="n">
        <f aca="false">I57*Assumptions!$G$70</f>
        <v>1648.27355913179</v>
      </c>
      <c r="J59" s="70" t="n">
        <f aca="false">J57*Assumptions!$G$70</f>
        <v>3280.14843438169</v>
      </c>
      <c r="K59" s="70" t="n">
        <f aca="false">K57*Assumptions!$G$70</f>
        <v>4908.81247404179</v>
      </c>
      <c r="L59" s="70" t="n">
        <f aca="false">L57*Assumptions!$G$70</f>
        <v>6547.34794829779</v>
      </c>
      <c r="M59" s="70" t="n">
        <f aca="false">M57*Assumptions!$G$70</f>
        <v>8208.89271698305</v>
      </c>
      <c r="N59" s="70" t="n">
        <f aca="false">N57*Assumptions!$G$70</f>
        <v>9906.7998345855</v>
      </c>
      <c r="O59" s="70" t="n">
        <f aca="false">O57*Assumptions!$G$70</f>
        <v>11654.797291344</v>
      </c>
      <c r="P59" s="70" t="n">
        <f aca="false">P57*Assumptions!$G$70</f>
        <v>13467.1496950979</v>
      </c>
      <c r="Q59" s="70" t="n">
        <f aca="false">Q57*Assumptions!$G$70</f>
        <v>15358.8236934099</v>
      </c>
      <c r="R59" s="70" t="n">
        <f aca="false">R57*Assumptions!$G$70</f>
        <v>17345.6589396298</v>
      </c>
      <c r="S59" s="70" t="n">
        <f aca="false">S57*Assumptions!$G$70</f>
        <v>19444.546428705</v>
      </c>
      <c r="T59" s="70" t="n">
        <f aca="false">T57*Assumptions!$G$70</f>
        <v>21673.616068894</v>
      </c>
      <c r="U59" s="70" t="n">
        <f aca="false">U57*Assumptions!$G$70</f>
        <v>24052.4354137821</v>
      </c>
      <c r="V59" s="70" t="n">
        <f aca="false">V57*Assumptions!$G$70</f>
        <v>26669.601935457</v>
      </c>
      <c r="W59" s="70" t="n">
        <f aca="false">W57*Assumptions!$G$70</f>
        <v>29587.25912079</v>
      </c>
      <c r="X59" s="70" t="n">
        <f aca="false">X57*Assumptions!$G$70</f>
        <v>32843.3486414158</v>
      </c>
      <c r="Y59" s="70" t="n">
        <f aca="false">Y57*Assumptions!$G$70</f>
        <v>36473.8467005052</v>
      </c>
      <c r="Z59" s="70" t="n">
        <f aca="false">Z57*Assumptions!$G$70</f>
        <v>40517.8055339318</v>
      </c>
      <c r="AA59" s="70" t="n">
        <f aca="false">AA57*Assumptions!$G$70</f>
        <v>45018.3913673266</v>
      </c>
      <c r="AB59" s="70" t="n">
        <f aca="false">AB57*Assumptions!$G$70</f>
        <v>49844.5097190302</v>
      </c>
      <c r="AC59" s="70" t="n">
        <f aca="false">AC57*Assumptions!$G$70</f>
        <v>54908.2302095884</v>
      </c>
      <c r="AD59" s="70" t="n">
        <f aca="false">AD57*Assumptions!$G$70</f>
        <v>60245.01966525</v>
      </c>
      <c r="AE59" s="70" t="n">
        <f aca="false">AE57*Assumptions!$G$70</f>
        <v>65892.4481942778</v>
      </c>
      <c r="AF59" s="70" t="n">
        <f aca="false">AF57*Assumptions!$G$70</f>
        <v>71890.0516298274</v>
      </c>
      <c r="AG59" s="70" t="n">
        <f aca="false">AG57*Assumptions!$G$70</f>
        <v>78279.4981130357</v>
      </c>
      <c r="AH59" s="70" t="n">
        <f aca="false">AH57*Assumptions!$G$70</f>
        <v>85104.8838909725</v>
      </c>
      <c r="AI59" s="70" t="n">
        <f aca="false">AI57*Assumptions!$G$70</f>
        <v>92413.0603273289</v>
      </c>
      <c r="AJ59" s="70" t="n">
        <f aca="false">AJ57*Assumptions!$G$70</f>
        <v>100253.980674363</v>
      </c>
      <c r="AK59" s="70" t="n">
        <f aca="false">AK57*Assumptions!$G$70</f>
        <v>108681.067272185</v>
      </c>
      <c r="AL59" s="70" t="n">
        <f aca="false">AL57*Assumptions!$G$70</f>
        <v>117751.60172611</v>
      </c>
      <c r="AM59" s="70" t="n">
        <f aca="false">SUM(C59:AL59)</f>
        <v>1253871.90721968</v>
      </c>
    </row>
    <row r="60" customFormat="false" ht="15" hidden="false" customHeight="false" outlineLevel="0" collapsed="false">
      <c r="A60" s="10" t="s">
        <v>776</v>
      </c>
      <c r="B60" s="9" t="s">
        <v>95</v>
      </c>
      <c r="C60" s="70" t="n">
        <f aca="false">C53*Assumptions!$G$71</f>
        <v>0</v>
      </c>
      <c r="D60" s="70" t="n">
        <f aca="false">D53*Assumptions!$G$71</f>
        <v>0</v>
      </c>
      <c r="E60" s="70" t="n">
        <f aca="false">E53*Assumptions!$G$71</f>
        <v>0</v>
      </c>
      <c r="F60" s="70" t="n">
        <f aca="false">F53*Assumptions!$G$71</f>
        <v>0</v>
      </c>
      <c r="G60" s="70" t="n">
        <f aca="false">G53*Assumptions!$G$71</f>
        <v>0</v>
      </c>
      <c r="H60" s="70" t="n">
        <f aca="false">H53*Assumptions!$G$71</f>
        <v>0</v>
      </c>
      <c r="I60" s="70" t="n">
        <f aca="false">I53*Assumptions!$G$71</f>
        <v>1149.92161923762</v>
      </c>
      <c r="J60" s="70" t="n">
        <f aca="false">J53*Assumptions!$G$71</f>
        <v>1264.97242001855</v>
      </c>
      <c r="K60" s="70" t="n">
        <f aca="false">K53*Assumptions!$G$71</f>
        <v>1387.96528822284</v>
      </c>
      <c r="L60" s="70" t="n">
        <f aca="false">L53*Assumptions!$G$71</f>
        <v>1519.83862545821</v>
      </c>
      <c r="M60" s="70" t="n">
        <f aca="false">M53*Assumptions!$G$71</f>
        <v>1661.63517011767</v>
      </c>
      <c r="N60" s="70" t="n">
        <f aca="false">N53*Assumptions!$G$71</f>
        <v>1814.51327541927</v>
      </c>
      <c r="O60" s="70" t="n">
        <f aca="false">O53*Assumptions!$G$71</f>
        <v>1979.75925271484</v>
      </c>
      <c r="P60" s="70" t="n">
        <f aca="false">P53*Assumptions!$G$71</f>
        <v>2158.8009842702</v>
      </c>
      <c r="Q60" s="70" t="n">
        <f aca="false">Q53*Assumptions!$G$71</f>
        <v>2353.22294042078</v>
      </c>
      <c r="R60" s="70" t="n">
        <f aca="false">R53*Assumptions!$G$71</f>
        <v>2564.78274209562</v>
      </c>
      <c r="S60" s="70" t="n">
        <f aca="false">S53*Assumptions!$G$71</f>
        <v>2795.42942256999</v>
      </c>
      <c r="T60" s="70" t="n">
        <f aca="false">T53*Assumptions!$G$71</f>
        <v>3047.32355671312</v>
      </c>
      <c r="U60" s="70" t="n">
        <f aca="false">U53*Assumptions!$G$71</f>
        <v>3322.85944157655</v>
      </c>
      <c r="V60" s="70" t="n">
        <f aca="false">V53*Assumptions!$G$71</f>
        <v>3671.69759742149</v>
      </c>
      <c r="W60" s="70" t="n">
        <f aca="false">W53*Assumptions!$G$71</f>
        <v>4082.18146817044</v>
      </c>
      <c r="X60" s="70" t="n">
        <f aca="false">X53*Assumptions!$G$71</f>
        <v>4542.19560420075</v>
      </c>
      <c r="Y60" s="70" t="n">
        <f aca="false">Y53*Assumptions!$G$71</f>
        <v>5053.28050201565</v>
      </c>
      <c r="Z60" s="70" t="n">
        <f aca="false">Z53*Assumptions!$G$71</f>
        <v>5620.3430388627</v>
      </c>
      <c r="AA60" s="70" t="n">
        <f aca="false">AA53*Assumptions!$G$71</f>
        <v>6249.25028507382</v>
      </c>
      <c r="AB60" s="70" t="n">
        <f aca="false">AB53*Assumptions!$G$71</f>
        <v>6821.74153189166</v>
      </c>
      <c r="AC60" s="70" t="n">
        <f aca="false">AC53*Assumptions!$G$71</f>
        <v>7357.86989032387</v>
      </c>
      <c r="AD60" s="70" t="n">
        <f aca="false">AD53*Assumptions!$G$71</f>
        <v>7936.97575808025</v>
      </c>
      <c r="AE60" s="70" t="n">
        <f aca="false">AE53*Assumptions!$G$71</f>
        <v>8563.24828031235</v>
      </c>
      <c r="AF60" s="70" t="n">
        <f aca="false">AF53*Assumptions!$G$71</f>
        <v>9240.94204466632</v>
      </c>
      <c r="AG60" s="70" t="n">
        <f aca="false">AG53*Assumptions!$G$71</f>
        <v>9974.57870898576</v>
      </c>
      <c r="AH60" s="70" t="n">
        <f aca="false">AH53*Assumptions!$G$71</f>
        <v>10769.0499322175</v>
      </c>
      <c r="AI60" s="70" t="n">
        <f aca="false">AI53*Assumptions!$G$71</f>
        <v>11629.6618500931</v>
      </c>
      <c r="AJ60" s="70" t="n">
        <f aca="false">AJ53*Assumptions!$G$71</f>
        <v>12562.1739569825</v>
      </c>
      <c r="AK60" s="70" t="n">
        <f aca="false">AK53*Assumptions!$G$71</f>
        <v>13572.8399689529</v>
      </c>
      <c r="AL60" s="70" t="n">
        <f aca="false">AL53*Assumptions!$G$71</f>
        <v>14668.452033978</v>
      </c>
      <c r="AM60" s="70" t="n">
        <f aca="false">SUM(C60:AL60)</f>
        <v>169337.507191064</v>
      </c>
    </row>
    <row r="61" customFormat="false" ht="15" hidden="false" customHeight="false" outlineLevel="0" collapsed="false">
      <c r="A61" s="10" t="s">
        <v>777</v>
      </c>
      <c r="B61" s="9" t="s">
        <v>95</v>
      </c>
      <c r="C61" s="70" t="n">
        <f aca="false">C59+C60</f>
        <v>0</v>
      </c>
      <c r="D61" s="70" t="n">
        <f aca="false">D59+D60</f>
        <v>0</v>
      </c>
      <c r="E61" s="70" t="n">
        <f aca="false">E59+E60</f>
        <v>0</v>
      </c>
      <c r="F61" s="70" t="n">
        <f aca="false">F59+F60</f>
        <v>0</v>
      </c>
      <c r="G61" s="70" t="n">
        <f aca="false">G59+G60</f>
        <v>0</v>
      </c>
      <c r="H61" s="70" t="n">
        <f aca="false">H59+H60</f>
        <v>0</v>
      </c>
      <c r="I61" s="70" t="n">
        <f aca="false">I59+I60</f>
        <v>2798.19517836941</v>
      </c>
      <c r="J61" s="70" t="n">
        <f aca="false">J59+J60</f>
        <v>4545.12085440024</v>
      </c>
      <c r="K61" s="70" t="n">
        <f aca="false">K59+K60</f>
        <v>6296.77776226463</v>
      </c>
      <c r="L61" s="70" t="n">
        <f aca="false">L59+L60</f>
        <v>8067.186573756</v>
      </c>
      <c r="M61" s="70" t="n">
        <f aca="false">M59+M60</f>
        <v>9870.52788710072</v>
      </c>
      <c r="N61" s="70" t="n">
        <f aca="false">N59+N60</f>
        <v>11721.3131100048</v>
      </c>
      <c r="O61" s="70" t="n">
        <f aca="false">O59+O60</f>
        <v>13634.5565440588</v>
      </c>
      <c r="P61" s="70" t="n">
        <f aca="false">P59+P60</f>
        <v>15625.9506793681</v>
      </c>
      <c r="Q61" s="70" t="n">
        <f aca="false">Q59+Q60</f>
        <v>17712.0466338307</v>
      </c>
      <c r="R61" s="70" t="n">
        <f aca="false">R59+R60</f>
        <v>19910.4416817254</v>
      </c>
      <c r="S61" s="70" t="n">
        <f aca="false">S59+S60</f>
        <v>22239.975851275</v>
      </c>
      <c r="T61" s="70" t="n">
        <f aca="false">T59+T60</f>
        <v>24720.9396256071</v>
      </c>
      <c r="U61" s="70" t="n">
        <f aca="false">U59+U60</f>
        <v>27375.2948553587</v>
      </c>
      <c r="V61" s="70" t="n">
        <f aca="false">V59+V60</f>
        <v>30341.2995328785</v>
      </c>
      <c r="W61" s="70" t="n">
        <f aca="false">W59+W60</f>
        <v>33669.4405889604</v>
      </c>
      <c r="X61" s="70" t="n">
        <f aca="false">X59+X60</f>
        <v>37385.5442456166</v>
      </c>
      <c r="Y61" s="70" t="n">
        <f aca="false">Y59+Y60</f>
        <v>41527.1272025209</v>
      </c>
      <c r="Z61" s="70" t="n">
        <f aca="false">Z59+Z60</f>
        <v>46138.1485727945</v>
      </c>
      <c r="AA61" s="70" t="n">
        <f aca="false">AA59+AA60</f>
        <v>51267.6416524004</v>
      </c>
      <c r="AB61" s="70" t="n">
        <f aca="false">AB59+AB60</f>
        <v>56666.2512509219</v>
      </c>
      <c r="AC61" s="70" t="n">
        <f aca="false">AC59+AC60</f>
        <v>62266.1000999123</v>
      </c>
      <c r="AD61" s="70" t="n">
        <f aca="false">AD59+AD60</f>
        <v>68181.9954233303</v>
      </c>
      <c r="AE61" s="70" t="n">
        <f aca="false">AE59+AE60</f>
        <v>74455.6964745901</v>
      </c>
      <c r="AF61" s="70" t="n">
        <f aca="false">AF59+AF60</f>
        <v>81130.9936744937</v>
      </c>
      <c r="AG61" s="70" t="n">
        <f aca="false">AG59+AG60</f>
        <v>88254.0768220214</v>
      </c>
      <c r="AH61" s="70" t="n">
        <f aca="false">AH59+AH60</f>
        <v>95873.93382319</v>
      </c>
      <c r="AI61" s="70" t="n">
        <f aca="false">AI59+AI60</f>
        <v>104042.722177422</v>
      </c>
      <c r="AJ61" s="70" t="n">
        <f aca="false">AJ59+AJ60</f>
        <v>112816.154631346</v>
      </c>
      <c r="AK61" s="70" t="n">
        <f aca="false">AK59+AK60</f>
        <v>122253.907241138</v>
      </c>
      <c r="AL61" s="70" t="n">
        <f aca="false">AL59+AL60</f>
        <v>132420.053760088</v>
      </c>
      <c r="AM61" s="70" t="n">
        <f aca="false">SUM(C61:AL61)</f>
        <v>1423209.41441074</v>
      </c>
    </row>
    <row r="62" customFormat="false" ht="15" hidden="false" customHeight="false" outlineLevel="0" collapsed="false">
      <c r="A62" s="10" t="s">
        <v>778</v>
      </c>
      <c r="B62" s="9" t="s">
        <v>95</v>
      </c>
      <c r="C62" s="70" t="n">
        <f aca="false">-C61*Assumptions!$G$80</f>
        <v>-0</v>
      </c>
      <c r="D62" s="70" t="n">
        <f aca="false">-D61*Assumptions!$G$80</f>
        <v>-0</v>
      </c>
      <c r="E62" s="70" t="n">
        <f aca="false">-E61*Assumptions!$G$80</f>
        <v>-0</v>
      </c>
      <c r="F62" s="70" t="n">
        <f aca="false">-F61*Assumptions!$G$80</f>
        <v>-0</v>
      </c>
      <c r="G62" s="70" t="n">
        <f aca="false">-G61*Assumptions!$G$80</f>
        <v>-0</v>
      </c>
      <c r="H62" s="70" t="n">
        <f aca="false">-H61*Assumptions!$G$80</f>
        <v>-0</v>
      </c>
      <c r="I62" s="70" t="n">
        <f aca="false">-I61*Assumptions!$G$80</f>
        <v>-83.9458553510823</v>
      </c>
      <c r="J62" s="70" t="n">
        <f aca="false">-J61*Assumptions!$G$80</f>
        <v>-136.353625632007</v>
      </c>
      <c r="K62" s="70" t="n">
        <f aca="false">-K61*Assumptions!$G$80</f>
        <v>-188.903332867939</v>
      </c>
      <c r="L62" s="70" t="n">
        <f aca="false">-L61*Assumptions!$G$80</f>
        <v>-242.01559721268</v>
      </c>
      <c r="M62" s="70" t="n">
        <f aca="false">-M61*Assumptions!$G$80</f>
        <v>-296.115836613022</v>
      </c>
      <c r="N62" s="70" t="n">
        <f aca="false">-N61*Assumptions!$G$80</f>
        <v>-351.639393300143</v>
      </c>
      <c r="O62" s="70" t="n">
        <f aca="false">-O61*Assumptions!$G$80</f>
        <v>-409.036696321764</v>
      </c>
      <c r="P62" s="70" t="n">
        <f aca="false">-P61*Assumptions!$G$80</f>
        <v>-468.778520381043</v>
      </c>
      <c r="Q62" s="70" t="n">
        <f aca="false">-Q61*Assumptions!$G$80</f>
        <v>-531.361399014921</v>
      </c>
      <c r="R62" s="70" t="n">
        <f aca="false">-R61*Assumptions!$G$80</f>
        <v>-597.313250451763</v>
      </c>
      <c r="S62" s="70" t="n">
        <f aca="false">-S61*Assumptions!$G$80</f>
        <v>-667.199275538249</v>
      </c>
      <c r="T62" s="70" t="n">
        <f aca="false">-T61*Assumptions!$G$80</f>
        <v>-741.628188768213</v>
      </c>
      <c r="U62" s="70" t="n">
        <f aca="false">-U61*Assumptions!$G$80</f>
        <v>-821.258845660761</v>
      </c>
      <c r="V62" s="70" t="n">
        <f aca="false">-V61*Assumptions!$G$80</f>
        <v>-910.238985986355</v>
      </c>
      <c r="W62" s="70" t="n">
        <f aca="false">-W61*Assumptions!$G$80</f>
        <v>-1010.08321766881</v>
      </c>
      <c r="X62" s="70" t="n">
        <f aca="false">-X61*Assumptions!$G$80</f>
        <v>-1121.5663273685</v>
      </c>
      <c r="Y62" s="70" t="n">
        <f aca="false">-Y61*Assumptions!$G$80</f>
        <v>-1245.81381607563</v>
      </c>
      <c r="Z62" s="70" t="n">
        <f aca="false">-Z61*Assumptions!$G$80</f>
        <v>-1384.14445718383</v>
      </c>
      <c r="AA62" s="70" t="n">
        <f aca="false">-AA61*Assumptions!$G$80</f>
        <v>-1538.02924957201</v>
      </c>
      <c r="AB62" s="70" t="n">
        <f aca="false">-AB61*Assumptions!$G$80</f>
        <v>-1699.98753752766</v>
      </c>
      <c r="AC62" s="70" t="n">
        <f aca="false">-AC61*Assumptions!$G$80</f>
        <v>-1867.98300299737</v>
      </c>
      <c r="AD62" s="70" t="n">
        <f aca="false">-AD61*Assumptions!$G$80</f>
        <v>-2045.45986269991</v>
      </c>
      <c r="AE62" s="70" t="n">
        <f aca="false">-AE61*Assumptions!$G$80</f>
        <v>-2233.6708942377</v>
      </c>
      <c r="AF62" s="70" t="n">
        <f aca="false">-AF61*Assumptions!$G$80</f>
        <v>-2433.92981023481</v>
      </c>
      <c r="AG62" s="70" t="n">
        <f aca="false">-AG61*Assumptions!$G$80</f>
        <v>-2647.62230466064</v>
      </c>
      <c r="AH62" s="70" t="n">
        <f aca="false">-AH61*Assumptions!$G$80</f>
        <v>-2876.2180146957</v>
      </c>
      <c r="AI62" s="70" t="n">
        <f aca="false">-AI61*Assumptions!$G$80</f>
        <v>-3121.28166532266</v>
      </c>
      <c r="AJ62" s="70" t="n">
        <f aca="false">-AJ61*Assumptions!$G$80</f>
        <v>-3384.48463894037</v>
      </c>
      <c r="AK62" s="70" t="n">
        <f aca="false">-AK61*Assumptions!$G$80</f>
        <v>-3667.61721723414</v>
      </c>
      <c r="AL62" s="70" t="n">
        <f aca="false">-AL61*Assumptions!$G$80</f>
        <v>-3972.60161280263</v>
      </c>
      <c r="AM62" s="70" t="n">
        <f aca="false">SUM(C62:AL62)</f>
        <v>-42696.2824323223</v>
      </c>
    </row>
    <row r="63" customFormat="false" ht="15" hidden="false" customHeight="false" outlineLevel="0" collapsed="false">
      <c r="A63" s="38" t="s">
        <v>779</v>
      </c>
      <c r="B63" s="9" t="s">
        <v>95</v>
      </c>
      <c r="C63" s="53" t="n">
        <f aca="false">C61+C62</f>
        <v>0</v>
      </c>
      <c r="D63" s="53" t="n">
        <f aca="false">D61+D62</f>
        <v>0</v>
      </c>
      <c r="E63" s="53" t="n">
        <f aca="false">E61+E62</f>
        <v>0</v>
      </c>
      <c r="F63" s="53" t="n">
        <f aca="false">F61+F62</f>
        <v>0</v>
      </c>
      <c r="G63" s="53" t="n">
        <f aca="false">G61+G62</f>
        <v>0</v>
      </c>
      <c r="H63" s="53" t="n">
        <f aca="false">H61+H62</f>
        <v>0</v>
      </c>
      <c r="I63" s="53" t="n">
        <f aca="false">I61+I62</f>
        <v>2714.24932301833</v>
      </c>
      <c r="J63" s="53" t="n">
        <f aca="false">J61+J62</f>
        <v>4408.76722876824</v>
      </c>
      <c r="K63" s="53" t="n">
        <f aca="false">K61+K62</f>
        <v>6107.87442939669</v>
      </c>
      <c r="L63" s="53" t="n">
        <f aca="false">L61+L62</f>
        <v>7825.17097654332</v>
      </c>
      <c r="M63" s="53" t="n">
        <f aca="false">M61+M62</f>
        <v>9574.41205048769</v>
      </c>
      <c r="N63" s="53" t="n">
        <f aca="false">N61+N62</f>
        <v>11369.6737167046</v>
      </c>
      <c r="O63" s="53" t="n">
        <f aca="false">O61+O62</f>
        <v>13225.519847737</v>
      </c>
      <c r="P63" s="53" t="n">
        <f aca="false">P61+P62</f>
        <v>15157.1721589871</v>
      </c>
      <c r="Q63" s="53" t="n">
        <f aca="false">Q61+Q62</f>
        <v>17180.6852348158</v>
      </c>
      <c r="R63" s="53" t="n">
        <f aca="false">R61+R62</f>
        <v>19313.1284312737</v>
      </c>
      <c r="S63" s="53" t="n">
        <f aca="false">S61+S62</f>
        <v>21572.7765757367</v>
      </c>
      <c r="T63" s="53" t="n">
        <f aca="false">T61+T62</f>
        <v>23979.3114368389</v>
      </c>
      <c r="U63" s="53" t="n">
        <f aca="false">U61+U62</f>
        <v>26554.0360096979</v>
      </c>
      <c r="V63" s="53" t="n">
        <f aca="false">V61+V62</f>
        <v>29431.0605468921</v>
      </c>
      <c r="W63" s="53" t="n">
        <f aca="false">W61+W62</f>
        <v>32659.3573712916</v>
      </c>
      <c r="X63" s="53" t="n">
        <f aca="false">X61+X62</f>
        <v>36263.9779182481</v>
      </c>
      <c r="Y63" s="53" t="n">
        <f aca="false">Y61+Y62</f>
        <v>40281.3133864453</v>
      </c>
      <c r="Z63" s="53" t="n">
        <f aca="false">Z61+Z62</f>
        <v>44754.0041156106</v>
      </c>
      <c r="AA63" s="53" t="n">
        <f aca="false">AA61+AA62</f>
        <v>49729.6124028284</v>
      </c>
      <c r="AB63" s="53" t="n">
        <f aca="false">AB61+AB62</f>
        <v>54966.2637133942</v>
      </c>
      <c r="AC63" s="53" t="n">
        <f aca="false">AC61+AC62</f>
        <v>60398.1170969149</v>
      </c>
      <c r="AD63" s="53" t="n">
        <f aca="false">AD61+AD62</f>
        <v>66136.5355606304</v>
      </c>
      <c r="AE63" s="53" t="n">
        <f aca="false">AE61+AE62</f>
        <v>72222.0255803524</v>
      </c>
      <c r="AF63" s="53" t="n">
        <f aca="false">AF61+AF62</f>
        <v>78697.0638642589</v>
      </c>
      <c r="AG63" s="53" t="n">
        <f aca="false">AG61+AG62</f>
        <v>85606.4545173608</v>
      </c>
      <c r="AH63" s="53" t="n">
        <f aca="false">AH61+AH62</f>
        <v>92997.7158084943</v>
      </c>
      <c r="AI63" s="53" t="n">
        <f aca="false">AI61+AI62</f>
        <v>100921.440512099</v>
      </c>
      <c r="AJ63" s="53" t="n">
        <f aca="false">AJ61+AJ62</f>
        <v>109431.669992405</v>
      </c>
      <c r="AK63" s="53" t="n">
        <f aca="false">AK61+AK62</f>
        <v>118586.290023904</v>
      </c>
      <c r="AL63" s="53" t="n">
        <f aca="false">AL61+AL62</f>
        <v>128447.452147285</v>
      </c>
      <c r="AM63" s="53" t="n">
        <f aca="false">SUM(C63:AL63)</f>
        <v>1380513.13197842</v>
      </c>
    </row>
    <row r="64" customFormat="false" ht="15" hidden="false" customHeight="false" outlineLevel="0" collapsed="false">
      <c r="A64" s="10" t="s">
        <v>780</v>
      </c>
      <c r="B64" s="9" t="s">
        <v>95</v>
      </c>
      <c r="C64" s="70" t="n">
        <f aca="false">-C57*Assumptions!$G$73</f>
        <v>-0</v>
      </c>
      <c r="D64" s="70" t="n">
        <f aca="false">-D57*Assumptions!$G$73</f>
        <v>-0</v>
      </c>
      <c r="E64" s="70" t="n">
        <f aca="false">-E57*Assumptions!$G$73</f>
        <v>-0</v>
      </c>
      <c r="F64" s="70" t="n">
        <f aca="false">-F57*Assumptions!$G$73</f>
        <v>-0</v>
      </c>
      <c r="G64" s="70" t="n">
        <f aca="false">-G57*Assumptions!$G$73</f>
        <v>-0</v>
      </c>
      <c r="H64" s="70" t="n">
        <f aca="false">-H57*Assumptions!$G$73</f>
        <v>-0</v>
      </c>
      <c r="I64" s="70" t="n">
        <f aca="false">-I57*Assumptions!$G$73</f>
        <v>-582.522382343765</v>
      </c>
      <c r="J64" s="70" t="n">
        <f aca="false">-J57*Assumptions!$G$73</f>
        <v>-1159.2492458859</v>
      </c>
      <c r="K64" s="70" t="n">
        <f aca="false">-K57*Assumptions!$G$73</f>
        <v>-1734.84135628786</v>
      </c>
      <c r="L64" s="70" t="n">
        <f aca="false">-L57*Assumptions!$G$73</f>
        <v>-2313.92216646669</v>
      </c>
      <c r="M64" s="70" t="n">
        <f aca="false">-M57*Assumptions!$G$73</f>
        <v>-2901.13477547995</v>
      </c>
      <c r="N64" s="70" t="n">
        <f aca="false">-N57*Assumptions!$G$73</f>
        <v>-3501.19833511455</v>
      </c>
      <c r="O64" s="70" t="n">
        <f aca="false">-O57*Assumptions!$G$73</f>
        <v>-4118.96450457136</v>
      </c>
      <c r="P64" s="70" t="n">
        <f aca="false">-P57*Assumptions!$G$73</f>
        <v>-4759.47459103862</v>
      </c>
      <c r="Q64" s="70" t="n">
        <f aca="false">-Q57*Assumptions!$G$73</f>
        <v>-5428.01801212881</v>
      </c>
      <c r="R64" s="70" t="n">
        <f aca="false">-R57*Assumptions!$G$73</f>
        <v>-6130.19271762017</v>
      </c>
      <c r="S64" s="70" t="n">
        <f aca="false">-S57*Assumptions!$G$73</f>
        <v>-6871.96821576722</v>
      </c>
      <c r="T64" s="70" t="n">
        <f aca="false">-T57*Assumptions!$G$73</f>
        <v>-7659.7518637055</v>
      </c>
      <c r="U64" s="70" t="n">
        <f aca="false">-U57*Assumptions!$G$73</f>
        <v>-8500.45910205955</v>
      </c>
      <c r="V64" s="70" t="n">
        <f aca="false">-V57*Assumptions!$G$73</f>
        <v>-9425.40148722979</v>
      </c>
      <c r="W64" s="70" t="n">
        <f aca="false">-W57*Assumptions!$G$73</f>
        <v>-10456.5413760222</v>
      </c>
      <c r="X64" s="70" t="n">
        <f aca="false">-X57*Assumptions!$G$73</f>
        <v>-11607.2878732715</v>
      </c>
      <c r="Y64" s="70" t="n">
        <f aca="false">-Y57*Assumptions!$G$73</f>
        <v>-12890.3554604195</v>
      </c>
      <c r="Z64" s="70" t="n">
        <f aca="false">-Z57*Assumptions!$G$73</f>
        <v>-14319.5457308675</v>
      </c>
      <c r="AA64" s="70" t="n">
        <f aca="false">-AA57*Assumptions!$G$73</f>
        <v>-15910.1142181717</v>
      </c>
      <c r="AB64" s="70" t="n">
        <f aca="false">-AB57*Assumptions!$G$73</f>
        <v>-17615.7303424685</v>
      </c>
      <c r="AC64" s="70" t="n">
        <f aca="false">-AC57*Assumptions!$G$73</f>
        <v>-19405.3183070031</v>
      </c>
      <c r="AD64" s="70" t="n">
        <f aca="false">-AD57*Assumptions!$G$73</f>
        <v>-21291.4125724578</v>
      </c>
      <c r="AE64" s="70" t="n">
        <f aca="false">-AE57*Assumptions!$G$73</f>
        <v>-23287.2909280982</v>
      </c>
      <c r="AF64" s="70" t="n">
        <f aca="false">-AF57*Assumptions!$G$73</f>
        <v>-25406.9258772081</v>
      </c>
      <c r="AG64" s="70" t="n">
        <f aca="false">-AG57*Assumptions!$G$73</f>
        <v>-27665.0435098279</v>
      </c>
      <c r="AH64" s="70" t="n">
        <f aca="false">-AH57*Assumptions!$G$73</f>
        <v>-30077.2280417895</v>
      </c>
      <c r="AI64" s="70" t="n">
        <f aca="false">-AI57*Assumptions!$G$73</f>
        <v>-32660.0373847588</v>
      </c>
      <c r="AJ64" s="70" t="n">
        <f aca="false">-AJ57*Assumptions!$G$73</f>
        <v>-35431.1257001765</v>
      </c>
      <c r="AK64" s="70" t="n">
        <f aca="false">-AK57*Assumptions!$G$73</f>
        <v>-38409.3731724992</v>
      </c>
      <c r="AL64" s="70" t="n">
        <f aca="false">-AL57*Assumptions!$G$73</f>
        <v>-41615.0239032034</v>
      </c>
      <c r="AM64" s="70" t="n">
        <f aca="false">SUM(C64:AL64)</f>
        <v>-443135.453153943</v>
      </c>
    </row>
    <row r="65" customFormat="false" ht="15" hidden="false" customHeight="false" outlineLevel="0" collapsed="false">
      <c r="A65" s="10" t="s">
        <v>781</v>
      </c>
      <c r="B65" s="9" t="s">
        <v>95</v>
      </c>
      <c r="C65" s="70" t="n">
        <f aca="false">-C54*Assumptions!$G$74</f>
        <v>-0</v>
      </c>
      <c r="D65" s="70" t="n">
        <f aca="false">-D54*Assumptions!$G$74</f>
        <v>-0</v>
      </c>
      <c r="E65" s="70" t="n">
        <f aca="false">-E54*Assumptions!$G$74</f>
        <v>-0</v>
      </c>
      <c r="F65" s="70" t="n">
        <f aca="false">-F54*Assumptions!$G$74</f>
        <v>-0</v>
      </c>
      <c r="G65" s="70" t="n">
        <f aca="false">-G54*Assumptions!$G$74</f>
        <v>-0</v>
      </c>
      <c r="H65" s="70" t="n">
        <f aca="false">-H54*Assumptions!$G$74</f>
        <v>-0</v>
      </c>
      <c r="I65" s="70" t="n">
        <f aca="false">-I54*Assumptions!$G$74</f>
        <v>-614.72081136872</v>
      </c>
      <c r="J65" s="70" t="n">
        <f aca="false">-J54*Assumptions!$G$74</f>
        <v>-676.224239447205</v>
      </c>
      <c r="K65" s="70" t="n">
        <f aca="false">-K54*Assumptions!$G$74</f>
        <v>-741.973308314382</v>
      </c>
      <c r="L65" s="70" t="n">
        <f aca="false">-L54*Assumptions!$G$74</f>
        <v>-812.469665202576</v>
      </c>
      <c r="M65" s="70" t="n">
        <f aca="false">-M54*Assumptions!$G$74</f>
        <v>-888.27073331375</v>
      </c>
      <c r="N65" s="70" t="n">
        <f aca="false">-N54*Assumptions!$G$74</f>
        <v>-969.995740791927</v>
      </c>
      <c r="O65" s="70" t="n">
        <f aca="false">-O54*Assumptions!$G$74</f>
        <v>-1058.33231916315</v>
      </c>
      <c r="P65" s="70" t="n">
        <f aca="false">-P54*Assumptions!$G$74</f>
        <v>-1154.04378040478</v>
      </c>
      <c r="Q65" s="70" t="n">
        <f aca="false">-Q54*Assumptions!$G$74</f>
        <v>-1257.97714476053</v>
      </c>
      <c r="R65" s="70" t="n">
        <f aca="false">-R54*Assumptions!$G$74</f>
        <v>-1371.07199467281</v>
      </c>
      <c r="S65" s="70" t="n">
        <f aca="false">-S54*Assumptions!$G$74</f>
        <v>-1494.37023708233</v>
      </c>
      <c r="T65" s="70" t="n">
        <f aca="false">-T54*Assumptions!$G$74</f>
        <v>-1629.0268640463</v>
      </c>
      <c r="U65" s="70" t="n">
        <f aca="false">-U54*Assumptions!$G$74</f>
        <v>-1776.32180995465</v>
      </c>
      <c r="V65" s="70" t="n">
        <f aca="false">-V54*Assumptions!$G$74</f>
        <v>-1962.80241055379</v>
      </c>
      <c r="W65" s="70" t="n">
        <f aca="false">-W54*Assumptions!$G$74</f>
        <v>-2182.23734756094</v>
      </c>
      <c r="X65" s="70" t="n">
        <f aca="false">-X54*Assumptions!$G$74</f>
        <v>-2428.14998909308</v>
      </c>
      <c r="Y65" s="70" t="n">
        <f aca="false">-Y54*Assumptions!$G$74</f>
        <v>-2701.36384802667</v>
      </c>
      <c r="Z65" s="70" t="n">
        <f aca="false">-Z54*Assumptions!$G$74</f>
        <v>-3004.50202450389</v>
      </c>
      <c r="AA65" s="70" t="n">
        <f aca="false">-AA54*Assumptions!$G$74</f>
        <v>-3340.70091510556</v>
      </c>
      <c r="AB65" s="70" t="n">
        <f aca="false">-AB54*Assumptions!$G$74</f>
        <v>-3646.74115111632</v>
      </c>
      <c r="AC65" s="70" t="n">
        <f aca="false">-AC54*Assumptions!$G$74</f>
        <v>-3933.34264984432</v>
      </c>
      <c r="AD65" s="70" t="n">
        <f aca="false">-AD54*Assumptions!$G$74</f>
        <v>-4242.91890525171</v>
      </c>
      <c r="AE65" s="70" t="n">
        <f aca="false">-AE54*Assumptions!$G$74</f>
        <v>-4577.70933493308</v>
      </c>
      <c r="AF65" s="70" t="n">
        <f aca="false">-AF54*Assumptions!$G$74</f>
        <v>-4939.98834048772</v>
      </c>
      <c r="AG65" s="70" t="n">
        <f aca="false">-AG54*Assumptions!$G$74</f>
        <v>-5332.17309290527</v>
      </c>
      <c r="AH65" s="70" t="n">
        <f aca="false">-AH54*Assumptions!$G$74</f>
        <v>-5756.87855698541</v>
      </c>
      <c r="AI65" s="70" t="n">
        <f aca="false">-AI54*Assumptions!$G$74</f>
        <v>-6216.94126698197</v>
      </c>
      <c r="AJ65" s="70" t="n">
        <f aca="false">-AJ54*Assumptions!$G$74</f>
        <v>-6715.44011191914</v>
      </c>
      <c r="AK65" s="70" t="n">
        <f aca="false">-AK54*Assumptions!$G$74</f>
        <v>-7255.71818001314</v>
      </c>
      <c r="AL65" s="70" t="n">
        <f aca="false">-AL54*Assumptions!$G$74</f>
        <v>-7841.40639240111</v>
      </c>
      <c r="AM65" s="70" t="n">
        <f aca="false">SUM(C65:AL65)</f>
        <v>-90523.8131662063</v>
      </c>
    </row>
    <row r="66" customFormat="false" ht="15" hidden="false" customHeight="false" outlineLevel="0" collapsed="false">
      <c r="A66" s="10" t="s">
        <v>782</v>
      </c>
      <c r="B66" s="9" t="s">
        <v>95</v>
      </c>
      <c r="C66" s="70" t="n">
        <f aca="false">-C57*Assumptions!$G$75</f>
        <v>-0</v>
      </c>
      <c r="D66" s="70" t="n">
        <f aca="false">-D57*Assumptions!$G$75</f>
        <v>-0</v>
      </c>
      <c r="E66" s="70" t="n">
        <f aca="false">-E57*Assumptions!$G$75</f>
        <v>-0</v>
      </c>
      <c r="F66" s="70" t="n">
        <f aca="false">-F57*Assumptions!$G$75</f>
        <v>-0</v>
      </c>
      <c r="G66" s="70" t="n">
        <f aca="false">-G57*Assumptions!$G$75</f>
        <v>-0</v>
      </c>
      <c r="H66" s="70" t="n">
        <f aca="false">-H57*Assumptions!$G$75</f>
        <v>-0</v>
      </c>
      <c r="I66" s="70" t="n">
        <f aca="false">-I57*Assumptions!$G$75</f>
        <v>-52.9565802130695</v>
      </c>
      <c r="J66" s="70" t="n">
        <f aca="false">-J57*Assumptions!$G$75</f>
        <v>-105.386295080536</v>
      </c>
      <c r="K66" s="70" t="n">
        <f aca="false">-K57*Assumptions!$G$75</f>
        <v>-157.712850571624</v>
      </c>
      <c r="L66" s="70" t="n">
        <f aca="false">-L57*Assumptions!$G$75</f>
        <v>-210.356560587881</v>
      </c>
      <c r="M66" s="70" t="n">
        <f aca="false">-M57*Assumptions!$G$75</f>
        <v>-263.739525043632</v>
      </c>
      <c r="N66" s="70" t="n">
        <f aca="false">-N57*Assumptions!$G$75</f>
        <v>-318.290757737687</v>
      </c>
      <c r="O66" s="70" t="n">
        <f aca="false">-O57*Assumptions!$G$75</f>
        <v>-374.451318597396</v>
      </c>
      <c r="P66" s="70" t="n">
        <f aca="false">-P57*Assumptions!$G$75</f>
        <v>-432.679508276238</v>
      </c>
      <c r="Q66" s="70" t="n">
        <f aca="false">-Q57*Assumptions!$G$75</f>
        <v>-493.456182920801</v>
      </c>
      <c r="R66" s="70" t="n">
        <f aca="false">-R57*Assumptions!$G$75</f>
        <v>-557.290247056379</v>
      </c>
      <c r="S66" s="70" t="n">
        <f aca="false">-S57*Assumptions!$G$75</f>
        <v>-624.724383251565</v>
      </c>
      <c r="T66" s="70" t="n">
        <f aca="false">-T57*Assumptions!$G$75</f>
        <v>-696.341078518682</v>
      </c>
      <c r="U66" s="70" t="n">
        <f aca="false">-U57*Assumptions!$G$75</f>
        <v>-772.769009278141</v>
      </c>
      <c r="V66" s="70" t="n">
        <f aca="false">-V57*Assumptions!$G$75</f>
        <v>-856.854680657253</v>
      </c>
      <c r="W66" s="70" t="n">
        <f aca="false">-W57*Assumptions!$G$75</f>
        <v>-950.594670547469</v>
      </c>
      <c r="X66" s="70" t="n">
        <f aca="false">-X57*Assumptions!$G$75</f>
        <v>-1055.20798847922</v>
      </c>
      <c r="Y66" s="70" t="n">
        <f aca="false">-Y57*Assumptions!$G$75</f>
        <v>-1171.85049640177</v>
      </c>
      <c r="Z66" s="70" t="n">
        <f aca="false">-Z57*Assumptions!$G$75</f>
        <v>-1301.77688462431</v>
      </c>
      <c r="AA66" s="70" t="n">
        <f aca="false">-AA57*Assumptions!$G$75</f>
        <v>-1446.37401983379</v>
      </c>
      <c r="AB66" s="70" t="n">
        <f aca="false">-AB57*Assumptions!$G$75</f>
        <v>-1601.4300311335</v>
      </c>
      <c r="AC66" s="70" t="n">
        <f aca="false">-AC57*Assumptions!$G$75</f>
        <v>-1764.11984609119</v>
      </c>
      <c r="AD66" s="70" t="n">
        <f aca="false">-AD57*Assumptions!$G$75</f>
        <v>-1935.58296113253</v>
      </c>
      <c r="AE66" s="70" t="n">
        <f aca="false">-AE57*Assumptions!$G$75</f>
        <v>-2117.02644800892</v>
      </c>
      <c r="AF66" s="70" t="n">
        <f aca="false">-AF57*Assumptions!$G$75</f>
        <v>-2309.72053429164</v>
      </c>
      <c r="AG66" s="70" t="n">
        <f aca="false">-AG57*Assumptions!$G$75</f>
        <v>-2515.0039554389</v>
      </c>
      <c r="AH66" s="70" t="n">
        <f aca="false">-AH57*Assumptions!$G$75</f>
        <v>-2734.2934583445</v>
      </c>
      <c r="AI66" s="70" t="n">
        <f aca="false">-AI57*Assumptions!$G$75</f>
        <v>-2969.09430770535</v>
      </c>
      <c r="AJ66" s="70" t="n">
        <f aca="false">-AJ57*Assumptions!$G$75</f>
        <v>-3221.01142728877</v>
      </c>
      <c r="AK66" s="70" t="n">
        <f aca="false">-AK57*Assumptions!$G$75</f>
        <v>-3491.76119749993</v>
      </c>
      <c r="AL66" s="70" t="n">
        <f aca="false">-AL57*Assumptions!$G$75</f>
        <v>-3783.18399120031</v>
      </c>
      <c r="AM66" s="70" t="n">
        <f aca="false">SUM(C66:AL66)</f>
        <v>-40285.041195813</v>
      </c>
    </row>
    <row r="67" customFormat="false" ht="15" hidden="false" customHeight="false" outlineLevel="0" collapsed="false">
      <c r="A67" s="10" t="s">
        <v>783</v>
      </c>
      <c r="B67" s="9" t="s">
        <v>95</v>
      </c>
      <c r="C67" s="70" t="n">
        <f aca="false">-C57*Assumptions!$G$76</f>
        <v>-0</v>
      </c>
      <c r="D67" s="70" t="n">
        <f aca="false">-D57*Assumptions!$G$76</f>
        <v>-0</v>
      </c>
      <c r="E67" s="70" t="n">
        <f aca="false">-E57*Assumptions!$G$76</f>
        <v>-0</v>
      </c>
      <c r="F67" s="70" t="n">
        <f aca="false">-F57*Assumptions!$G$76</f>
        <v>-0</v>
      </c>
      <c r="G67" s="70" t="n">
        <f aca="false">-G57*Assumptions!$G$76</f>
        <v>-0</v>
      </c>
      <c r="H67" s="70" t="n">
        <f aca="false">-H57*Assumptions!$G$76</f>
        <v>-0</v>
      </c>
      <c r="I67" s="70" t="n">
        <f aca="false">-I57*Assumptions!$G$76</f>
        <v>-119.152305479406</v>
      </c>
      <c r="J67" s="70" t="n">
        <f aca="false">-J57*Assumptions!$G$76</f>
        <v>-237.119163931207</v>
      </c>
      <c r="K67" s="70" t="n">
        <f aca="false">-K57*Assumptions!$G$76</f>
        <v>-354.853913786153</v>
      </c>
      <c r="L67" s="70" t="n">
        <f aca="false">-L57*Assumptions!$G$76</f>
        <v>-473.302261322732</v>
      </c>
      <c r="M67" s="70" t="n">
        <f aca="false">-M57*Assumptions!$G$76</f>
        <v>-593.413931348172</v>
      </c>
      <c r="N67" s="70" t="n">
        <f aca="false">-N57*Assumptions!$G$76</f>
        <v>-716.154204909795</v>
      </c>
      <c r="O67" s="70" t="n">
        <f aca="false">-O57*Assumptions!$G$76</f>
        <v>-842.515466844142</v>
      </c>
      <c r="P67" s="70" t="n">
        <f aca="false">-P57*Assumptions!$G$76</f>
        <v>-973.528893621535</v>
      </c>
      <c r="Q67" s="70" t="n">
        <f aca="false">-Q57*Assumptions!$G$76</f>
        <v>-1110.2764115718</v>
      </c>
      <c r="R67" s="70" t="n">
        <f aca="false">-R57*Assumptions!$G$76</f>
        <v>-1253.90305587685</v>
      </c>
      <c r="S67" s="70" t="n">
        <f aca="false">-S57*Assumptions!$G$76</f>
        <v>-1405.62986231602</v>
      </c>
      <c r="T67" s="70" t="n">
        <f aca="false">-T57*Assumptions!$G$76</f>
        <v>-1566.76742666703</v>
      </c>
      <c r="U67" s="70" t="n">
        <f aca="false">-U57*Assumptions!$G$76</f>
        <v>-1738.73027087582</v>
      </c>
      <c r="V67" s="70" t="n">
        <f aca="false">-V57*Assumptions!$G$76</f>
        <v>-1927.92303147882</v>
      </c>
      <c r="W67" s="70" t="n">
        <f aca="false">-W57*Assumptions!$G$76</f>
        <v>-2138.8380087318</v>
      </c>
      <c r="X67" s="70" t="n">
        <f aca="false">-X57*Assumptions!$G$76</f>
        <v>-2374.21797407825</v>
      </c>
      <c r="Y67" s="70" t="n">
        <f aca="false">-Y57*Assumptions!$G$76</f>
        <v>-2636.66361690399</v>
      </c>
      <c r="Z67" s="70" t="n">
        <f aca="false">-Z57*Assumptions!$G$76</f>
        <v>-2928.99799040471</v>
      </c>
      <c r="AA67" s="70" t="n">
        <f aca="false">-AA57*Assumptions!$G$76</f>
        <v>-3254.34154462602</v>
      </c>
      <c r="AB67" s="70" t="n">
        <f aca="false">-AB57*Assumptions!$G$76</f>
        <v>-3603.21757005038</v>
      </c>
      <c r="AC67" s="70" t="n">
        <f aca="false">-AC57*Assumptions!$G$76</f>
        <v>-3969.26965370519</v>
      </c>
      <c r="AD67" s="70" t="n">
        <f aca="false">-AD57*Assumptions!$G$76</f>
        <v>-4355.0616625482</v>
      </c>
      <c r="AE67" s="70" t="n">
        <f aca="false">-AE57*Assumptions!$G$76</f>
        <v>-4763.30950802008</v>
      </c>
      <c r="AF67" s="70" t="n">
        <f aca="false">-AF57*Assumptions!$G$76</f>
        <v>-5196.8712021562</v>
      </c>
      <c r="AG67" s="70" t="n">
        <f aca="false">-AG57*Assumptions!$G$76</f>
        <v>-5658.75889973752</v>
      </c>
      <c r="AH67" s="70" t="n">
        <f aca="false">-AH57*Assumptions!$G$76</f>
        <v>-6152.16028127512</v>
      </c>
      <c r="AI67" s="70" t="n">
        <f aca="false">-AI57*Assumptions!$G$76</f>
        <v>-6680.46219233703</v>
      </c>
      <c r="AJ67" s="70" t="n">
        <f aca="false">-AJ57*Assumptions!$G$76</f>
        <v>-7247.27571139973</v>
      </c>
      <c r="AK67" s="70" t="n">
        <f aca="false">-AK57*Assumptions!$G$76</f>
        <v>-7856.46269437484</v>
      </c>
      <c r="AL67" s="70" t="n">
        <f aca="false">-AL57*Assumptions!$G$76</f>
        <v>-8512.1639802007</v>
      </c>
      <c r="AM67" s="70" t="n">
        <f aca="false">SUM(C67:AL67)</f>
        <v>-90641.3426905792</v>
      </c>
    </row>
    <row r="68" customFormat="false" ht="15" hidden="false" customHeight="false" outlineLevel="0" collapsed="false">
      <c r="A68" s="10" t="s">
        <v>784</v>
      </c>
      <c r="B68" s="9" t="s">
        <v>95</v>
      </c>
      <c r="C68" s="70" t="n">
        <f aca="false">-C57*Assumptions!$G$77</f>
        <v>-0</v>
      </c>
      <c r="D68" s="70" t="n">
        <f aca="false">-D57*Assumptions!$G$77</f>
        <v>-0</v>
      </c>
      <c r="E68" s="70" t="n">
        <f aca="false">-E57*Assumptions!$G$77</f>
        <v>-0</v>
      </c>
      <c r="F68" s="70" t="n">
        <f aca="false">-F57*Assumptions!$G$77</f>
        <v>-0</v>
      </c>
      <c r="G68" s="70" t="n">
        <f aca="false">-G57*Assumptions!$G$77</f>
        <v>-0</v>
      </c>
      <c r="H68" s="70" t="n">
        <f aca="false">-H57*Assumptions!$G$77</f>
        <v>-0</v>
      </c>
      <c r="I68" s="70" t="n">
        <f aca="false">-I57*Assumptions!$G$77</f>
        <v>-29.7880763698516</v>
      </c>
      <c r="J68" s="70" t="n">
        <f aca="false">-J57*Assumptions!$G$77</f>
        <v>-59.2797909828017</v>
      </c>
      <c r="K68" s="70" t="n">
        <f aca="false">-K57*Assumptions!$G$77</f>
        <v>-88.7134784465383</v>
      </c>
      <c r="L68" s="70" t="n">
        <f aca="false">-L57*Assumptions!$G$77</f>
        <v>-118.325565330683</v>
      </c>
      <c r="M68" s="70" t="n">
        <f aca="false">-M57*Assumptions!$G$77</f>
        <v>-148.353482837043</v>
      </c>
      <c r="N68" s="70" t="n">
        <f aca="false">-N57*Assumptions!$G$77</f>
        <v>-179.038551227449</v>
      </c>
      <c r="O68" s="70" t="n">
        <f aca="false">-O57*Assumptions!$G$77</f>
        <v>-210.628866711035</v>
      </c>
      <c r="P68" s="70" t="n">
        <f aca="false">-P57*Assumptions!$G$77</f>
        <v>-243.382223405384</v>
      </c>
      <c r="Q68" s="70" t="n">
        <f aca="false">-Q57*Assumptions!$G$77</f>
        <v>-277.569102892951</v>
      </c>
      <c r="R68" s="70" t="n">
        <f aca="false">-R57*Assumptions!$G$77</f>
        <v>-313.475763969213</v>
      </c>
      <c r="S68" s="70" t="n">
        <f aca="false">-S57*Assumptions!$G$77</f>
        <v>-351.407465579005</v>
      </c>
      <c r="T68" s="70" t="n">
        <f aca="false">-T57*Assumptions!$G$77</f>
        <v>-391.691856666759</v>
      </c>
      <c r="U68" s="70" t="n">
        <f aca="false">-U57*Assumptions!$G$77</f>
        <v>-434.682567718954</v>
      </c>
      <c r="V68" s="70" t="n">
        <f aca="false">-V57*Assumptions!$G$77</f>
        <v>-481.980757869705</v>
      </c>
      <c r="W68" s="70" t="n">
        <f aca="false">-W57*Assumptions!$G$77</f>
        <v>-534.709502182951</v>
      </c>
      <c r="X68" s="70" t="n">
        <f aca="false">-X57*Assumptions!$G$77</f>
        <v>-593.554493519563</v>
      </c>
      <c r="Y68" s="70" t="n">
        <f aca="false">-Y57*Assumptions!$G$77</f>
        <v>-659.165904225998</v>
      </c>
      <c r="Z68" s="70" t="n">
        <f aca="false">-Z57*Assumptions!$G$77</f>
        <v>-732.249497601177</v>
      </c>
      <c r="AA68" s="70" t="n">
        <f aca="false">-AA57*Assumptions!$G$77</f>
        <v>-813.585386156505</v>
      </c>
      <c r="AB68" s="70" t="n">
        <f aca="false">-AB57*Assumptions!$G$77</f>
        <v>-900.804392512594</v>
      </c>
      <c r="AC68" s="70" t="n">
        <f aca="false">-AC57*Assumptions!$G$77</f>
        <v>-992.317413426297</v>
      </c>
      <c r="AD68" s="70" t="n">
        <f aca="false">-AD57*Assumptions!$G$77</f>
        <v>-1088.76541563705</v>
      </c>
      <c r="AE68" s="70" t="n">
        <f aca="false">-AE57*Assumptions!$G$77</f>
        <v>-1190.82737700502</v>
      </c>
      <c r="AF68" s="70" t="n">
        <f aca="false">-AF57*Assumptions!$G$77</f>
        <v>-1299.21780053905</v>
      </c>
      <c r="AG68" s="70" t="n">
        <f aca="false">-AG57*Assumptions!$G$77</f>
        <v>-1414.68972493438</v>
      </c>
      <c r="AH68" s="70" t="n">
        <f aca="false">-AH57*Assumptions!$G$77</f>
        <v>-1538.04007031878</v>
      </c>
      <c r="AI68" s="70" t="n">
        <f aca="false">-AI57*Assumptions!$G$77</f>
        <v>-1670.11554808426</v>
      </c>
      <c r="AJ68" s="70" t="n">
        <f aca="false">-AJ57*Assumptions!$G$77</f>
        <v>-1811.81892784993</v>
      </c>
      <c r="AK68" s="70" t="n">
        <f aca="false">-AK57*Assumptions!$G$77</f>
        <v>-1964.11567359371</v>
      </c>
      <c r="AL68" s="70" t="n">
        <f aca="false">-AL57*Assumptions!$G$77</f>
        <v>-2128.04099505018</v>
      </c>
      <c r="AM68" s="70" t="n">
        <f aca="false">SUM(C68:AL68)</f>
        <v>-22660.3356726448</v>
      </c>
    </row>
    <row r="69" customFormat="false" ht="15" hidden="false" customHeight="false" outlineLevel="0" collapsed="false">
      <c r="A69" s="10" t="s">
        <v>785</v>
      </c>
      <c r="B69" s="9" t="s">
        <v>95</v>
      </c>
      <c r="C69" s="70" t="n">
        <f aca="false">-C63*Assumptions!$G$79</f>
        <v>-0</v>
      </c>
      <c r="D69" s="70" t="n">
        <f aca="false">-D63*Assumptions!$G$79</f>
        <v>-0</v>
      </c>
      <c r="E69" s="70" t="n">
        <f aca="false">-E63*Assumptions!$G$79</f>
        <v>-0</v>
      </c>
      <c r="F69" s="70" t="n">
        <f aca="false">-F63*Assumptions!$G$79</f>
        <v>-0</v>
      </c>
      <c r="G69" s="70" t="n">
        <f aca="false">-G63*Assumptions!$G$79</f>
        <v>-0</v>
      </c>
      <c r="H69" s="70" t="n">
        <f aca="false">-H63*Assumptions!$G$79</f>
        <v>-0</v>
      </c>
      <c r="I69" s="70" t="n">
        <f aca="false">-I63*Assumptions!$G$79</f>
        <v>-78.7132303675315</v>
      </c>
      <c r="J69" s="70" t="n">
        <f aca="false">-J63*Assumptions!$G$79</f>
        <v>-127.854249634279</v>
      </c>
      <c r="K69" s="70" t="n">
        <f aca="false">-K63*Assumptions!$G$79</f>
        <v>-177.128358452504</v>
      </c>
      <c r="L69" s="70" t="n">
        <f aca="false">-L63*Assumptions!$G$79</f>
        <v>-226.929958319756</v>
      </c>
      <c r="M69" s="70" t="n">
        <f aca="false">-M63*Assumptions!$G$79</f>
        <v>-277.657949464143</v>
      </c>
      <c r="N69" s="70" t="n">
        <f aca="false">-N63*Assumptions!$G$79</f>
        <v>-329.720537784434</v>
      </c>
      <c r="O69" s="70" t="n">
        <f aca="false">-O63*Assumptions!$G$79</f>
        <v>-383.540075584374</v>
      </c>
      <c r="P69" s="70" t="n">
        <f aca="false">-P63*Assumptions!$G$79</f>
        <v>-439.557992610625</v>
      </c>
      <c r="Q69" s="70" t="n">
        <f aca="false">-Q63*Assumptions!$G$79</f>
        <v>-498.239871809658</v>
      </c>
      <c r="R69" s="70" t="n">
        <f aca="false">-R63*Assumptions!$G$79</f>
        <v>-560.080724506936</v>
      </c>
      <c r="S69" s="70" t="n">
        <f aca="false">-S63*Assumptions!$G$79</f>
        <v>-625.610520696365</v>
      </c>
      <c r="T69" s="70" t="n">
        <f aca="false">-T63*Assumptions!$G$79</f>
        <v>-695.400031668328</v>
      </c>
      <c r="U69" s="70" t="n">
        <f aca="false">-U63*Assumptions!$G$79</f>
        <v>-770.06704428124</v>
      </c>
      <c r="V69" s="70" t="n">
        <f aca="false">-V63*Assumptions!$G$79</f>
        <v>-853.500755859872</v>
      </c>
      <c r="W69" s="70" t="n">
        <f aca="false">-W63*Assumptions!$G$79</f>
        <v>-947.121363767456</v>
      </c>
      <c r="X69" s="70" t="n">
        <f aca="false">-X63*Assumptions!$G$79</f>
        <v>-1051.65535962919</v>
      </c>
      <c r="Y69" s="70" t="n">
        <f aca="false">-Y63*Assumptions!$G$79</f>
        <v>-1168.15808820691</v>
      </c>
      <c r="Z69" s="70" t="n">
        <f aca="false">-Z63*Assumptions!$G$79</f>
        <v>-1297.86611935271</v>
      </c>
      <c r="AA69" s="70" t="n">
        <f aca="false">-AA63*Assumptions!$G$79</f>
        <v>-1442.15875968202</v>
      </c>
      <c r="AB69" s="70" t="n">
        <f aca="false">-AB63*Assumptions!$G$79</f>
        <v>-1594.02164768843</v>
      </c>
      <c r="AC69" s="70" t="n">
        <f aca="false">-AC63*Assumptions!$G$79</f>
        <v>-1751.54539581053</v>
      </c>
      <c r="AD69" s="70" t="n">
        <f aca="false">-AD63*Assumptions!$G$79</f>
        <v>-1917.95953125828</v>
      </c>
      <c r="AE69" s="70" t="n">
        <f aca="false">-AE63*Assumptions!$G$79</f>
        <v>-2094.43874183022</v>
      </c>
      <c r="AF69" s="70" t="n">
        <f aca="false">-AF63*Assumptions!$G$79</f>
        <v>-2282.21485206351</v>
      </c>
      <c r="AG69" s="70" t="n">
        <f aca="false">-AG63*Assumptions!$G$79</f>
        <v>-2482.58718100346</v>
      </c>
      <c r="AH69" s="70" t="n">
        <f aca="false">-AH63*Assumptions!$G$79</f>
        <v>-2696.93375844633</v>
      </c>
      <c r="AI69" s="70" t="n">
        <f aca="false">-AI63*Assumptions!$G$79</f>
        <v>-2926.72177485088</v>
      </c>
      <c r="AJ69" s="70" t="n">
        <f aca="false">-AJ63*Assumptions!$G$79</f>
        <v>-3173.51842977975</v>
      </c>
      <c r="AK69" s="70" t="n">
        <f aca="false">-AK63*Assumptions!$G$79</f>
        <v>-3439.00241069322</v>
      </c>
      <c r="AL69" s="70" t="n">
        <f aca="false">-AL63*Assumptions!$G$79</f>
        <v>-3724.97611227127</v>
      </c>
      <c r="AM69" s="70" t="n">
        <f aca="false">SUM(C69:AL69)</f>
        <v>-40034.8808273742</v>
      </c>
    </row>
    <row r="70" customFormat="false" ht="15" hidden="false" customHeight="false" outlineLevel="0" collapsed="false">
      <c r="A70" s="38" t="s">
        <v>786</v>
      </c>
      <c r="B70" s="9" t="s">
        <v>95</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1236.39593687598</v>
      </c>
      <c r="J70" s="53" t="n">
        <f aca="false">J63+J64+J65+J66+J67+J68+J69</f>
        <v>2043.65424380631</v>
      </c>
      <c r="K70" s="53" t="n">
        <f aca="false">K63+K64+K65+K66+K67+K68+K69</f>
        <v>2852.65116353763</v>
      </c>
      <c r="L70" s="53" t="n">
        <f aca="false">L63+L64+L65+L66+L67+L68+L69</f>
        <v>3669.864799313</v>
      </c>
      <c r="M70" s="53" t="n">
        <f aca="false">M63+M64+M65+M66+M67+M68+M69</f>
        <v>4501.841653001</v>
      </c>
      <c r="N70" s="53" t="n">
        <f aca="false">N63+N64+N65+N66+N67+N68+N69</f>
        <v>5355.27558913878</v>
      </c>
      <c r="O70" s="53" t="n">
        <f aca="false">O63+O64+O65+O66+O67+O68+O69</f>
        <v>6237.08729626558</v>
      </c>
      <c r="P70" s="53" t="n">
        <f aca="false">P63+P64+P65+P66+P67+P68+P69</f>
        <v>7154.50516962988</v>
      </c>
      <c r="Q70" s="53" t="n">
        <f aca="false">Q63+Q64+Q65+Q66+Q67+Q68+Q69</f>
        <v>8115.14850873124</v>
      </c>
      <c r="R70" s="53" t="n">
        <f aca="false">R63+R64+R65+R66+R67+R68+R69</f>
        <v>9127.11392757129</v>
      </c>
      <c r="S70" s="53" t="n">
        <f aca="false">S63+S64+S65+S66+S67+S68+S69</f>
        <v>10199.0658910442</v>
      </c>
      <c r="T70" s="53" t="n">
        <f aca="false">T63+T64+T65+T66+T67+T68+T69</f>
        <v>11340.3323155663</v>
      </c>
      <c r="U70" s="53" t="n">
        <f aca="false">U63+U64+U65+U66+U67+U68+U69</f>
        <v>12561.0062055296</v>
      </c>
      <c r="V70" s="53" t="n">
        <f aca="false">V63+V64+V65+V66+V67+V68+V69</f>
        <v>13922.5974232429</v>
      </c>
      <c r="W70" s="53" t="n">
        <f aca="false">W63+W64+W65+W66+W67+W68+W69</f>
        <v>15449.3151024788</v>
      </c>
      <c r="X70" s="53" t="n">
        <f aca="false">X63+X64+X65+X66+X67+X68+X69</f>
        <v>17153.9042401773</v>
      </c>
      <c r="Y70" s="53" t="n">
        <f aca="false">Y63+Y64+Y65+Y66+Y67+Y68+Y69</f>
        <v>19053.7559722604</v>
      </c>
      <c r="Z70" s="53" t="n">
        <f aca="false">Z63+Z64+Z65+Z66+Z67+Z68+Z69</f>
        <v>21169.0658682564</v>
      </c>
      <c r="AA70" s="53" t="n">
        <f aca="false">AA63+AA64+AA65+AA66+AA67+AA68+AA69</f>
        <v>23522.3375592529</v>
      </c>
      <c r="AB70" s="53" t="n">
        <f aca="false">AB63+AB64+AB65+AB66+AB67+AB68+AB69</f>
        <v>26004.3185784245</v>
      </c>
      <c r="AC70" s="53" t="n">
        <f aca="false">AC63+AC64+AC65+AC66+AC67+AC68+AC69</f>
        <v>28582.2038310343</v>
      </c>
      <c r="AD70" s="53" t="n">
        <f aca="false">AD63+AD64+AD65+AD66+AD67+AD68+AD69</f>
        <v>31304.8345123448</v>
      </c>
      <c r="AE70" s="53" t="n">
        <f aca="false">AE63+AE64+AE65+AE66+AE67+AE68+AE69</f>
        <v>34191.4232424569</v>
      </c>
      <c r="AF70" s="53" t="n">
        <f aca="false">AF63+AF64+AF65+AF66+AF67+AF68+AF69</f>
        <v>37262.1252575127</v>
      </c>
      <c r="AG70" s="53" t="n">
        <f aca="false">AG63+AG64+AG65+AG66+AG67+AG68+AG69</f>
        <v>40538.1981535134</v>
      </c>
      <c r="AH70" s="53" t="n">
        <f aca="false">AH63+AH64+AH65+AH66+AH67+AH68+AH69</f>
        <v>44042.1816413347</v>
      </c>
      <c r="AI70" s="53" t="n">
        <f aca="false">AI63+AI64+AI65+AI66+AI67+AI68+AI69</f>
        <v>47798.068037381</v>
      </c>
      <c r="AJ70" s="53" t="n">
        <f aca="false">AJ63+AJ64+AJ65+AJ66+AJ67+AJ68+AJ69</f>
        <v>51831.4796839913</v>
      </c>
      <c r="AK70" s="53" t="n">
        <f aca="false">AK63+AK64+AK65+AK66+AK67+AK68+AK69</f>
        <v>56169.85669523</v>
      </c>
      <c r="AL70" s="53" t="n">
        <f aca="false">AL63+AL64+AL65+AL66+AL67+AL68+AL69</f>
        <v>60842.656772958</v>
      </c>
      <c r="AM70" s="53" t="n">
        <f aca="false">SUM(C70:AL70)</f>
        <v>653232.265271861</v>
      </c>
    </row>
    <row r="71" customFormat="false" ht="15" hidden="false" customHeight="false" outlineLevel="0" collapsed="false">
      <c r="A71" s="10" t="s">
        <v>787</v>
      </c>
      <c r="B71" s="9" t="s">
        <v>59</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0.45552039983603</v>
      </c>
      <c r="J71" s="62" t="n">
        <f aca="false">IFERROR(J70/J63,0)</f>
        <v>0.463543239586564</v>
      </c>
      <c r="K71" s="62" t="n">
        <f aca="false">IFERROR(K70/K63,0)</f>
        <v>0.467044828198834</v>
      </c>
      <c r="L71" s="62" t="n">
        <f aca="false">IFERROR(L70/L63,0)</f>
        <v>0.468982059345894</v>
      </c>
      <c r="M71" s="62" t="n">
        <f aca="false">IFERROR(M70/M63,0)</f>
        <v>0.470195102243557</v>
      </c>
      <c r="N71" s="62" t="n">
        <f aca="false">IFERROR(N70/N63,0)</f>
        <v>0.471014008191868</v>
      </c>
      <c r="O71" s="62" t="n">
        <f aca="false">IFERROR(O70/O63,0)</f>
        <v>0.47159486871382</v>
      </c>
      <c r="P71" s="62" t="n">
        <f aca="false">IFERROR(P70/P63,0)</f>
        <v>0.472021106218537</v>
      </c>
      <c r="Q71" s="62" t="n">
        <f aca="false">IFERROR(Q70/Q63,0)</f>
        <v>0.472341376250017</v>
      </c>
      <c r="R71" s="62" t="n">
        <f aca="false">IFERROR(R70/R63,0)</f>
        <v>0.472585990408048</v>
      </c>
      <c r="S71" s="62" t="n">
        <f aca="false">IFERROR(S70/S63,0)</f>
        <v>0.472774835229846</v>
      </c>
      <c r="T71" s="62" t="n">
        <f aca="false">IFERROR(T70/T63,0)</f>
        <v>0.472921515925781</v>
      </c>
      <c r="U71" s="62" t="n">
        <f aca="false">IFERROR(U70/U63,0)</f>
        <v>0.47303566964141</v>
      </c>
      <c r="V71" s="62" t="n">
        <f aca="false">IFERROR(V70/V63,0)</f>
        <v>0.473057958650869</v>
      </c>
      <c r="W71" s="62" t="n">
        <f aca="false">IFERROR(W70/W63,0)</f>
        <v>0.473044062895713</v>
      </c>
      <c r="X71" s="62" t="n">
        <f aca="false">IFERROR(X70/X63,0)</f>
        <v>0.473028752632938</v>
      </c>
      <c r="Y71" s="62" t="n">
        <f aca="false">IFERROR(Y70/Y63,0)</f>
        <v>0.473017247214983</v>
      </c>
      <c r="Z71" s="62" t="n">
        <f aca="false">IFERROR(Z70/Z63,0)</f>
        <v>0.473009427571474</v>
      </c>
      <c r="AA71" s="62" t="n">
        <f aca="false">IFERROR(AA70/AA63,0)</f>
        <v>0.473004642962289</v>
      </c>
      <c r="AB71" s="62" t="n">
        <f aca="false">IFERROR(AB70/AB63,0)</f>
        <v>0.473095983274696</v>
      </c>
      <c r="AC71" s="62" t="n">
        <f aca="false">IFERROR(AC70/AC63,0)</f>
        <v>0.47323004763826</v>
      </c>
      <c r="AD71" s="62" t="n">
        <f aca="false">IFERROR(AD70/AD63,0)</f>
        <v>0.473336473508598</v>
      </c>
      <c r="AE71" s="62" t="n">
        <f aca="false">IFERROR(AE70/AE63,0)</f>
        <v>0.473420995433262</v>
      </c>
      <c r="AF71" s="62" t="n">
        <f aca="false">IFERROR(AF70/AF63,0)</f>
        <v>0.473488125577143</v>
      </c>
      <c r="AG71" s="62" t="n">
        <f aca="false">IFERROR(AG70/AG63,0)</f>
        <v>0.473541374678615</v>
      </c>
      <c r="AH71" s="62" t="n">
        <f aca="false">IFERROR(AH70/AH63,0)</f>
        <v>0.473583477383774</v>
      </c>
      <c r="AI71" s="62" t="n">
        <f aca="false">IFERROR(AI70/AI63,0)</f>
        <v>0.473616585284973</v>
      </c>
      <c r="AJ71" s="62" t="n">
        <f aca="false">IFERROR(AJ70/AJ63,0)</f>
        <v>0.473642407975576</v>
      </c>
      <c r="AK71" s="62" t="n">
        <f aca="false">IFERROR(AK70/AK63,0)</f>
        <v>0.47366231529722</v>
      </c>
      <c r="AL71" s="62" t="n">
        <f aca="false">IFERROR(AL70/AL63,0)</f>
        <v>0.473677412481428</v>
      </c>
      <c r="AM71" s="62" t="n">
        <f aca="false">AVERAGE(N71:AL71)</f>
        <v>0.472989866441646</v>
      </c>
    </row>
    <row r="72" customFormat="false" ht="15" hidden="false" customHeight="false" outlineLevel="0" collapsed="false">
      <c r="A72" s="38" t="s">
        <v>788</v>
      </c>
      <c r="B72" s="9" t="s">
        <v>95</v>
      </c>
      <c r="C72" s="53" t="n">
        <f aca="false">C42+C63</f>
        <v>0</v>
      </c>
      <c r="D72" s="53" t="n">
        <f aca="false">D42+D63</f>
        <v>16317.6581688604</v>
      </c>
      <c r="E72" s="53" t="n">
        <f aca="false">E42+E63</f>
        <v>23867.7625249259</v>
      </c>
      <c r="F72" s="53" t="n">
        <f aca="false">F42+F63</f>
        <v>29965.8123319072</v>
      </c>
      <c r="G72" s="53" t="n">
        <f aca="false">G42+G63</f>
        <v>35766.0626782588</v>
      </c>
      <c r="H72" s="53" t="n">
        <f aca="false">H42+H63</f>
        <v>41315.7635098865</v>
      </c>
      <c r="I72" s="53" t="n">
        <f aca="false">I42+I63</f>
        <v>49361.7276081484</v>
      </c>
      <c r="J72" s="53" t="n">
        <f aca="false">J42+J63</f>
        <v>56200.639353877</v>
      </c>
      <c r="K72" s="53" t="n">
        <f aca="false">K42+K63</f>
        <v>62886.6526195487</v>
      </c>
      <c r="L72" s="53" t="n">
        <f aca="false">L42+L63</f>
        <v>69462.6091629367</v>
      </c>
      <c r="M72" s="53" t="n">
        <f aca="false">M42+M63</f>
        <v>75971.0945624018</v>
      </c>
      <c r="N72" s="53" t="n">
        <f aca="false">N42+N63</f>
        <v>82454.7795866884</v>
      </c>
      <c r="O72" s="53" t="n">
        <f aca="false">O42+O63</f>
        <v>88956.7631984535</v>
      </c>
      <c r="P72" s="53" t="n">
        <f aca="false">P42+P63</f>
        <v>95520.9205103951</v>
      </c>
      <c r="Q72" s="53" t="n">
        <f aca="false">Q42+Q63</f>
        <v>102192.258699133</v>
      </c>
      <c r="R72" s="53" t="n">
        <f aca="false">R42+R63</f>
        <v>109017.283898482</v>
      </c>
      <c r="S72" s="53" t="n">
        <f aca="false">S42+S63</f>
        <v>116044.382156948</v>
      </c>
      <c r="T72" s="53" t="n">
        <f aca="false">T42+T63</f>
        <v>123324.217632868</v>
      </c>
      <c r="U72" s="53" t="n">
        <f aca="false">U42+U63</f>
        <v>130910.151312265</v>
      </c>
      <c r="V72" s="53" t="n">
        <f aca="false">V42+V63</f>
        <v>139471.389307744</v>
      </c>
      <c r="W72" s="53" t="n">
        <f aca="false">W42+W63</f>
        <v>149034.650883733</v>
      </c>
      <c r="X72" s="53" t="n">
        <f aca="false">X42+X63</f>
        <v>159567.143328954</v>
      </c>
      <c r="Y72" s="53" t="n">
        <f aca="false">Y42+Y63</f>
        <v>171137.591762851</v>
      </c>
      <c r="Z72" s="53" t="n">
        <f aca="false">Z42+Z63</f>
        <v>183839.43498043</v>
      </c>
      <c r="AA72" s="53" t="n">
        <f aca="false">AA42+AA63</f>
        <v>197776.931080384</v>
      </c>
      <c r="AB72" s="53" t="n">
        <f aca="false">AB42+AB63</f>
        <v>212769.802616581</v>
      </c>
      <c r="AC72" s="53" t="n">
        <f aca="false">AC42+AC63</f>
        <v>228796.926769378</v>
      </c>
      <c r="AD72" s="53" t="n">
        <f aca="false">AD42+AD63</f>
        <v>246022.230304199</v>
      </c>
      <c r="AE72" s="53" t="n">
        <f aca="false">AE42+AE63</f>
        <v>264555.844098122</v>
      </c>
      <c r="AF72" s="53" t="n">
        <f aca="false">AF42+AF63</f>
        <v>284514.788083768</v>
      </c>
      <c r="AG72" s="53" t="n">
        <f aca="false">AG42+AG63</f>
        <v>306025.010861653</v>
      </c>
      <c r="AH72" s="53" t="n">
        <f aca="false">AH42+AH63</f>
        <v>329222.65828733</v>
      </c>
      <c r="AI72" s="53" t="n">
        <f aca="false">AI42+AI63</f>
        <v>354255.045480853</v>
      </c>
      <c r="AJ72" s="53" t="n">
        <f aca="false">AJ42+AJ63</f>
        <v>381281.673469631</v>
      </c>
      <c r="AK72" s="53" t="n">
        <f aca="false">AK42+AK63</f>
        <v>410475.325822869</v>
      </c>
      <c r="AL72" s="53" t="n">
        <f aca="false">AL42+AL63</f>
        <v>442023.257547151</v>
      </c>
      <c r="AM72" s="53" t="n">
        <f aca="false">SUM(C72:AL72)</f>
        <v>5770306.24420162</v>
      </c>
    </row>
    <row r="73" customFormat="false" ht="15" hidden="false" customHeight="false" outlineLevel="0" collapsed="false">
      <c r="A73" s="38" t="s">
        <v>789</v>
      </c>
      <c r="B73" s="9" t="s">
        <v>95</v>
      </c>
      <c r="C73" s="53" t="n">
        <f aca="false">C46+C70</f>
        <v>0</v>
      </c>
      <c r="D73" s="53" t="n">
        <f aca="false">D46+D70</f>
        <v>9853.10926024862</v>
      </c>
      <c r="E73" s="53" t="n">
        <f aca="false">E46+E70</f>
        <v>14412.096976302</v>
      </c>
      <c r="F73" s="53" t="n">
        <f aca="false">F46+F70</f>
        <v>18094.2890164127</v>
      </c>
      <c r="G73" s="53" t="n">
        <f aca="false">G46+G70</f>
        <v>21596.6604846703</v>
      </c>
      <c r="H73" s="53" t="n">
        <f aca="false">H46+H70</f>
        <v>24947.7423672453</v>
      </c>
      <c r="I73" s="53" t="n">
        <f aca="false">I46+I70</f>
        <v>29403.5934294413</v>
      </c>
      <c r="J73" s="53" t="n">
        <f aca="false">J46+J70</f>
        <v>33317.1966578378</v>
      </c>
      <c r="K73" s="53" t="n">
        <f aca="false">K46+K70</f>
        <v>37137.4424847951</v>
      </c>
      <c r="L73" s="53" t="n">
        <f aca="false">L46+L70</f>
        <v>40888.4660647402</v>
      </c>
      <c r="M73" s="53" t="n">
        <f aca="false">M46+M70</f>
        <v>44594.2225901376</v>
      </c>
      <c r="N73" s="53" t="n">
        <f aca="false">N46+N70</f>
        <v>48278.6722962661</v>
      </c>
      <c r="O73" s="53" t="n">
        <f aca="false">O46+O70</f>
        <v>51965.9662461303</v>
      </c>
      <c r="P73" s="53" t="n">
        <f aca="false">P46+P70</f>
        <v>55680.6346469978</v>
      </c>
      <c r="Q73" s="53" t="n">
        <f aca="false">Q46+Q70</f>
        <v>59447.7792736072</v>
      </c>
      <c r="R73" s="53" t="n">
        <f aca="false">R46+R70</f>
        <v>63293.2715814587</v>
      </c>
      <c r="S73" s="53" t="n">
        <f aca="false">S46+S70</f>
        <v>67243.9581268154</v>
      </c>
      <c r="T73" s="53" t="n">
        <f aca="false">T46+T70</f>
        <v>71327.8749561281</v>
      </c>
      <c r="U73" s="53" t="n">
        <f aca="false">U46+U70</f>
        <v>75574.4726852673</v>
      </c>
      <c r="V73" s="53" t="n">
        <f aca="false">V46+V70</f>
        <v>80368.3686910494</v>
      </c>
      <c r="W73" s="53" t="n">
        <f aca="false">W46+W70</f>
        <v>85720.3350187924</v>
      </c>
      <c r="X73" s="53" t="n">
        <f aca="false">X46+X70</f>
        <v>91608.1885715326</v>
      </c>
      <c r="Y73" s="53" t="n">
        <f aca="false">Y46+Y70</f>
        <v>98068.8447116936</v>
      </c>
      <c r="Z73" s="53" t="n">
        <f aca="false">Z46+Z70</f>
        <v>105153.172695243</v>
      </c>
      <c r="AA73" s="53" t="n">
        <f aca="false">AA46+AA70</f>
        <v>112917.910840752</v>
      </c>
      <c r="AB73" s="53" t="n">
        <f aca="false">AB46+AB70</f>
        <v>121291.000918308</v>
      </c>
      <c r="AC73" s="53" t="n">
        <f aca="false">AC46+AC70</f>
        <v>130266.640030648</v>
      </c>
      <c r="AD73" s="53" t="n">
        <f aca="false">AD46+AD70</f>
        <v>139925.409004248</v>
      </c>
      <c r="AE73" s="53" t="n">
        <f aca="false">AE46+AE70</f>
        <v>150328.561837067</v>
      </c>
      <c r="AF73" s="53" t="n">
        <f aca="false">AF46+AF70</f>
        <v>161541.26528145</v>
      </c>
      <c r="AG73" s="53" t="n">
        <f aca="false">AG46+AG70</f>
        <v>173633.774502277</v>
      </c>
      <c r="AH73" s="53" t="n">
        <f aca="false">AH46+AH70</f>
        <v>186682.145302399</v>
      </c>
      <c r="AI73" s="53" t="n">
        <f aca="false">AI46+AI70</f>
        <v>200768.773957257</v>
      </c>
      <c r="AJ73" s="53" t="n">
        <f aca="false">AJ46+AJ70</f>
        <v>215982.962632182</v>
      </c>
      <c r="AK73" s="53" t="n">
        <f aca="false">AK46+AK70</f>
        <v>232421.530301449</v>
      </c>
      <c r="AL73" s="53" t="n">
        <f aca="false">AL46+AL70</f>
        <v>250189.476028648</v>
      </c>
      <c r="AM73" s="53" t="n">
        <f aca="false">SUM(C73:AL73)</f>
        <v>3303925.8094695</v>
      </c>
    </row>
    <row r="74" customFormat="false" ht="15" hidden="false" customHeight="false" outlineLevel="0" collapsed="false">
      <c r="A74" s="38" t="s">
        <v>790</v>
      </c>
      <c r="B74" s="9" t="s">
        <v>59</v>
      </c>
      <c r="C74" s="52" t="n">
        <f aca="false">IFERROR(C73/C72,0)</f>
        <v>0</v>
      </c>
      <c r="D74" s="52" t="n">
        <f aca="false">IFERROR(D73/D72,0)</f>
        <v>0.603831086439334</v>
      </c>
      <c r="E74" s="52" t="n">
        <f aca="false">IFERROR(E73/E72,0)</f>
        <v>0.603831086439334</v>
      </c>
      <c r="F74" s="52" t="n">
        <f aca="false">IFERROR(F73/F72,0)</f>
        <v>0.603831086439334</v>
      </c>
      <c r="G74" s="52" t="n">
        <f aca="false">IFERROR(G73/G72,0)</f>
        <v>0.603831086439334</v>
      </c>
      <c r="H74" s="52" t="n">
        <f aca="false">IFERROR(H73/H72,0)</f>
        <v>0.603831086439334</v>
      </c>
      <c r="I74" s="52" t="n">
        <f aca="false">IFERROR(I73/I72,0)</f>
        <v>0.595675938712232</v>
      </c>
      <c r="J74" s="52" t="n">
        <f aca="false">IFERROR(J73/J72,0)</f>
        <v>0.592825936517382</v>
      </c>
      <c r="K74" s="52" t="n">
        <f aca="false">IFERROR(K73/K72,0)</f>
        <v>0.590545703067851</v>
      </c>
      <c r="L74" s="52" t="n">
        <f aca="false">IFERROR(L73/L72,0)</f>
        <v>0.588639939637585</v>
      </c>
      <c r="M74" s="52" t="n">
        <f aca="false">IFERROR(M73/M72,0)</f>
        <v>0.586989339129614</v>
      </c>
      <c r="N74" s="52" t="n">
        <f aca="false">IFERROR(N73/N72,0)</f>
        <v>0.585516965035467</v>
      </c>
      <c r="O74" s="52" t="n">
        <f aca="false">IFERROR(O73/O72,0)</f>
        <v>0.58417105543959</v>
      </c>
      <c r="P74" s="52" t="n">
        <f aca="false">IFERROR(P73/P72,0)</f>
        <v>0.582915599530245</v>
      </c>
      <c r="Q74" s="52" t="n">
        <f aca="false">IFERROR(Q73/Q72,0)</f>
        <v>0.581724878482518</v>
      </c>
      <c r="R74" s="52" t="n">
        <f aca="false">IFERROR(R73/R72,0)</f>
        <v>0.580580154981645</v>
      </c>
      <c r="S74" s="52" t="n">
        <f aca="false">IFERROR(S73/S72,0)</f>
        <v>0.579467587115669</v>
      </c>
      <c r="T74" s="52" t="n">
        <f aca="false">IFERROR(T73/T72,0)</f>
        <v>0.578376869727801</v>
      </c>
      <c r="U74" s="52" t="n">
        <f aca="false">IFERROR(U73/U72,0)</f>
        <v>0.577300323372145</v>
      </c>
      <c r="V74" s="52" t="n">
        <f aca="false">IFERROR(V73/V72,0)</f>
        <v>0.576235521062435</v>
      </c>
      <c r="W74" s="52" t="n">
        <f aca="false">IFERROR(W73/W72,0)</f>
        <v>0.575170502366366</v>
      </c>
      <c r="X74" s="52" t="n">
        <f aca="false">IFERROR(X73/X72,0)</f>
        <v>0.574104334140261</v>
      </c>
      <c r="Y74" s="52" t="n">
        <f aca="false">IFERROR(Y73/Y72,0)</f>
        <v>0.573040929824404</v>
      </c>
      <c r="Z74" s="52" t="n">
        <f aca="false">IFERROR(Z73/Z72,0)</f>
        <v>0.571983767826728</v>
      </c>
      <c r="AA74" s="52" t="n">
        <f aca="false">IFERROR(AA73/AA72,0)</f>
        <v>0.570935701266683</v>
      </c>
      <c r="AB74" s="52" t="n">
        <f aca="false">IFERROR(AB73/AB72,0)</f>
        <v>0.570057402068837</v>
      </c>
      <c r="AC74" s="52" t="n">
        <f aca="false">IFERROR(AC73/AC72,0)</f>
        <v>0.569354850478189</v>
      </c>
      <c r="AD74" s="52" t="n">
        <f aca="false">IFERROR(AD73/AD72,0)</f>
        <v>0.568751079246923</v>
      </c>
      <c r="AE74" s="52" t="n">
        <f aca="false">IFERROR(AE73/AE72,0)</f>
        <v>0.568229979381259</v>
      </c>
      <c r="AF74" s="52" t="n">
        <f aca="false">IFERROR(AF73/AF72,0)</f>
        <v>0.567778098177057</v>
      </c>
      <c r="AG74" s="52" t="n">
        <f aca="false">IFERROR(AG73/AG72,0)</f>
        <v>0.567384260565463</v>
      </c>
      <c r="AH74" s="52" t="n">
        <f aca="false">IFERROR(AH73/AH72,0)</f>
        <v>0.567039177295847</v>
      </c>
      <c r="AI74" s="52" t="n">
        <f aca="false">IFERROR(AI73/AI72,0)</f>
        <v>0.566735115048934</v>
      </c>
      <c r="AJ74" s="52" t="n">
        <f aca="false">IFERROR(AJ73/AJ72,0)</f>
        <v>0.566465628066397</v>
      </c>
      <c r="AK74" s="52" t="n">
        <f aca="false">IFERROR(AK73/AK72,0)</f>
        <v>0.566225338479285</v>
      </c>
      <c r="AL74" s="52" t="n">
        <f aca="false">IFERROR(AL73/AL72,0)</f>
        <v>0.566009755724132</v>
      </c>
      <c r="AM74" s="52" t="n">
        <f aca="false">AVERAGE(N74:AL74)</f>
        <v>0.573422194988171</v>
      </c>
    </row>
    <row r="75" customFormat="false" ht="15" hidden="false" customHeight="false" outlineLevel="0" collapsed="false">
      <c r="A75" s="10" t="s">
        <v>791</v>
      </c>
      <c r="B75" s="9" t="s">
        <v>95</v>
      </c>
      <c r="C75" s="70" t="n">
        <f aca="false">-Assumptions!$G$82</f>
        <v>-600</v>
      </c>
      <c r="D75" s="70" t="n">
        <f aca="false">-Assumptions!$G$82</f>
        <v>-600</v>
      </c>
      <c r="E75" s="70" t="n">
        <f aca="false">-Assumptions!$G$82</f>
        <v>-600</v>
      </c>
      <c r="F75" s="70" t="n">
        <f aca="false">-Assumptions!$G$82</f>
        <v>-600</v>
      </c>
      <c r="G75" s="70" t="n">
        <f aca="false">-Assumptions!$G$82</f>
        <v>-600</v>
      </c>
      <c r="H75" s="70" t="n">
        <f aca="false">-Assumptions!$G$82</f>
        <v>-600</v>
      </c>
      <c r="I75" s="70" t="n">
        <f aca="false">-Assumptions!$G$82</f>
        <v>-600</v>
      </c>
      <c r="J75" s="70" t="n">
        <f aca="false">-Assumptions!$G$82</f>
        <v>-600</v>
      </c>
      <c r="K75" s="70" t="n">
        <f aca="false">-Assumptions!$G$82</f>
        <v>-600</v>
      </c>
      <c r="L75" s="70" t="n">
        <f aca="false">-Assumptions!$G$82</f>
        <v>-600</v>
      </c>
      <c r="M75" s="70" t="n">
        <f aca="false">-Assumptions!$G$82</f>
        <v>-600</v>
      </c>
      <c r="N75" s="70" t="n">
        <f aca="false">-Assumptions!$G$82</f>
        <v>-600</v>
      </c>
      <c r="O75" s="70" t="n">
        <f aca="false">-Assumptions!$G$82</f>
        <v>-600</v>
      </c>
      <c r="P75" s="70" t="n">
        <f aca="false">-Assumptions!$G$82</f>
        <v>-600</v>
      </c>
      <c r="Q75" s="70" t="n">
        <f aca="false">-Assumptions!$G$82</f>
        <v>-600</v>
      </c>
      <c r="R75" s="70" t="n">
        <f aca="false">-Assumptions!$G$82</f>
        <v>-600</v>
      </c>
      <c r="S75" s="70" t="n">
        <f aca="false">-Assumptions!$G$82</f>
        <v>-600</v>
      </c>
      <c r="T75" s="70" t="n">
        <f aca="false">-Assumptions!$G$82</f>
        <v>-600</v>
      </c>
      <c r="U75" s="70" t="n">
        <f aca="false">-Assumptions!$G$82</f>
        <v>-600</v>
      </c>
      <c r="V75" s="70" t="n">
        <f aca="false">-Assumptions!$G$82</f>
        <v>-600</v>
      </c>
      <c r="W75" s="70" t="n">
        <f aca="false">-Assumptions!$G$82</f>
        <v>-600</v>
      </c>
      <c r="X75" s="70" t="n">
        <f aca="false">-Assumptions!$G$82</f>
        <v>-600</v>
      </c>
      <c r="Y75" s="70" t="n">
        <f aca="false">-Assumptions!$G$82</f>
        <v>-600</v>
      </c>
      <c r="Z75" s="70" t="n">
        <f aca="false">-Assumptions!$G$82</f>
        <v>-600</v>
      </c>
      <c r="AA75" s="70" t="n">
        <f aca="false">-Assumptions!$G$82</f>
        <v>-600</v>
      </c>
      <c r="AB75" s="70" t="n">
        <f aca="false">-Assumptions!$G$82</f>
        <v>-600</v>
      </c>
      <c r="AC75" s="70" t="n">
        <f aca="false">-Assumptions!$G$82</f>
        <v>-600</v>
      </c>
      <c r="AD75" s="70" t="n">
        <f aca="false">-Assumptions!$G$82</f>
        <v>-600</v>
      </c>
      <c r="AE75" s="70" t="n">
        <f aca="false">-Assumptions!$G$82</f>
        <v>-600</v>
      </c>
      <c r="AF75" s="70" t="n">
        <f aca="false">-Assumptions!$G$82</f>
        <v>-600</v>
      </c>
      <c r="AG75" s="70" t="n">
        <f aca="false">-Assumptions!$G$82</f>
        <v>-600</v>
      </c>
      <c r="AH75" s="70" t="n">
        <f aca="false">-Assumptions!$G$82</f>
        <v>-600</v>
      </c>
      <c r="AI75" s="70" t="n">
        <f aca="false">-Assumptions!$G$82</f>
        <v>-600</v>
      </c>
      <c r="AJ75" s="70" t="n">
        <f aca="false">-Assumptions!$G$82</f>
        <v>-600</v>
      </c>
      <c r="AK75" s="70" t="n">
        <f aca="false">-Assumptions!$G$82</f>
        <v>-600</v>
      </c>
      <c r="AL75" s="70" t="n">
        <f aca="false">-Assumptions!$G$82</f>
        <v>-600</v>
      </c>
      <c r="AM75" s="70" t="n">
        <f aca="false">SUM(C75:AL75)</f>
        <v>-21600</v>
      </c>
    </row>
    <row r="76" customFormat="false" ht="15" hidden="false" customHeight="false" outlineLevel="0" collapsed="false">
      <c r="A76" s="10" t="s">
        <v>792</v>
      </c>
      <c r="B76" s="9" t="s">
        <v>95</v>
      </c>
      <c r="C76" s="70" t="n">
        <f aca="false">-Assumptions!$G$83</f>
        <v>-280</v>
      </c>
      <c r="D76" s="70" t="n">
        <f aca="false">-Assumptions!$G$83</f>
        <v>-280</v>
      </c>
      <c r="E76" s="70" t="n">
        <f aca="false">-Assumptions!$G$83</f>
        <v>-280</v>
      </c>
      <c r="F76" s="70" t="n">
        <f aca="false">-Assumptions!$G$83</f>
        <v>-280</v>
      </c>
      <c r="G76" s="70" t="n">
        <f aca="false">-Assumptions!$G$83</f>
        <v>-280</v>
      </c>
      <c r="H76" s="70" t="n">
        <f aca="false">-Assumptions!$G$83</f>
        <v>-280</v>
      </c>
      <c r="I76" s="70" t="n">
        <f aca="false">-Assumptions!$G$83</f>
        <v>-280</v>
      </c>
      <c r="J76" s="70" t="n">
        <f aca="false">-Assumptions!$G$83</f>
        <v>-280</v>
      </c>
      <c r="K76" s="70" t="n">
        <f aca="false">-Assumptions!$G$83</f>
        <v>-280</v>
      </c>
      <c r="L76" s="70" t="n">
        <f aca="false">-Assumptions!$G$83</f>
        <v>-280</v>
      </c>
      <c r="M76" s="70" t="n">
        <f aca="false">-Assumptions!$G$83</f>
        <v>-280</v>
      </c>
      <c r="N76" s="70" t="n">
        <f aca="false">-Assumptions!$G$83</f>
        <v>-280</v>
      </c>
      <c r="O76" s="70" t="n">
        <f aca="false">-Assumptions!$G$83</f>
        <v>-280</v>
      </c>
      <c r="P76" s="70" t="n">
        <f aca="false">-Assumptions!$G$83</f>
        <v>-280</v>
      </c>
      <c r="Q76" s="70" t="n">
        <f aca="false">-Assumptions!$G$83</f>
        <v>-280</v>
      </c>
      <c r="R76" s="70" t="n">
        <f aca="false">-Assumptions!$G$83</f>
        <v>-280</v>
      </c>
      <c r="S76" s="70" t="n">
        <f aca="false">-Assumptions!$G$83</f>
        <v>-280</v>
      </c>
      <c r="T76" s="70" t="n">
        <f aca="false">-Assumptions!$G$83</f>
        <v>-280</v>
      </c>
      <c r="U76" s="70" t="n">
        <f aca="false">-Assumptions!$G$83</f>
        <v>-280</v>
      </c>
      <c r="V76" s="70" t="n">
        <f aca="false">-Assumptions!$G$83</f>
        <v>-280</v>
      </c>
      <c r="W76" s="70" t="n">
        <f aca="false">-Assumptions!$G$83</f>
        <v>-280</v>
      </c>
      <c r="X76" s="70" t="n">
        <f aca="false">-Assumptions!$G$83</f>
        <v>-280</v>
      </c>
      <c r="Y76" s="70" t="n">
        <f aca="false">-Assumptions!$G$83</f>
        <v>-280</v>
      </c>
      <c r="Z76" s="70" t="n">
        <f aca="false">-Assumptions!$G$83</f>
        <v>-280</v>
      </c>
      <c r="AA76" s="70" t="n">
        <f aca="false">-Assumptions!$G$83</f>
        <v>-280</v>
      </c>
      <c r="AB76" s="70" t="n">
        <f aca="false">-Assumptions!$G$83</f>
        <v>-280</v>
      </c>
      <c r="AC76" s="70" t="n">
        <f aca="false">-Assumptions!$G$83</f>
        <v>-280</v>
      </c>
      <c r="AD76" s="70" t="n">
        <f aca="false">-Assumptions!$G$83</f>
        <v>-280</v>
      </c>
      <c r="AE76" s="70" t="n">
        <f aca="false">-Assumptions!$G$83</f>
        <v>-280</v>
      </c>
      <c r="AF76" s="70" t="n">
        <f aca="false">-Assumptions!$G$83</f>
        <v>-280</v>
      </c>
      <c r="AG76" s="70" t="n">
        <f aca="false">-Assumptions!$G$83</f>
        <v>-280</v>
      </c>
      <c r="AH76" s="70" t="n">
        <f aca="false">-Assumptions!$G$83</f>
        <v>-280</v>
      </c>
      <c r="AI76" s="70" t="n">
        <f aca="false">-Assumptions!$G$83</f>
        <v>-280</v>
      </c>
      <c r="AJ76" s="70" t="n">
        <f aca="false">-Assumptions!$G$83</f>
        <v>-280</v>
      </c>
      <c r="AK76" s="70" t="n">
        <f aca="false">-Assumptions!$G$83</f>
        <v>-280</v>
      </c>
      <c r="AL76" s="70" t="n">
        <f aca="false">-Assumptions!$G$83</f>
        <v>-280</v>
      </c>
      <c r="AM76" s="70" t="n">
        <f aca="false">SUM(C76:AL76)</f>
        <v>-10080</v>
      </c>
    </row>
    <row r="77" customFormat="false" ht="15" hidden="false" customHeight="false" outlineLevel="0" collapsed="false">
      <c r="A77" s="10" t="s">
        <v>793</v>
      </c>
      <c r="B77" s="9" t="s">
        <v>95</v>
      </c>
      <c r="C77" s="70" t="n">
        <f aca="false">-MAX(IF(C8=0,Assumptions!$G$84,IF(C$5&lt;=12,Assumptions!$G$85,IF(C$5&lt;=24,Assumptions!$G$86,Assumptions!$G$87))))</f>
        <v>-18000</v>
      </c>
      <c r="D77" s="70" t="n">
        <f aca="false">-MAX(IF(D8=0,Assumptions!$G$84,IF(D$5&lt;=12,Assumptions!$G$85,IF(D$5&lt;=24,Assumptions!$G$86,Assumptions!$G$87))),C72*Assumptions!$G$88)</f>
        <v>-45000</v>
      </c>
      <c r="E77" s="70" t="n">
        <f aca="false">-MAX(IF(E8=0,Assumptions!$G$84,IF(E$5&lt;=12,Assumptions!$G$85,IF(E$5&lt;=24,Assumptions!$G$86,Assumptions!$G$87))),D72*Assumptions!$G$88)</f>
        <v>-45000</v>
      </c>
      <c r="F77" s="70" t="n">
        <f aca="false">-MAX(IF(F8=0,Assumptions!$G$84,IF(F$5&lt;=12,Assumptions!$G$85,IF(F$5&lt;=24,Assumptions!$G$86,Assumptions!$G$87))),E72*Assumptions!$G$88)</f>
        <v>-45000</v>
      </c>
      <c r="G77" s="70" t="n">
        <f aca="false">-MAX(IF(G8=0,Assumptions!$G$84,IF(G$5&lt;=12,Assumptions!$G$85,IF(G$5&lt;=24,Assumptions!$G$86,Assumptions!$G$87))),F72*Assumptions!$G$88)</f>
        <v>-45000</v>
      </c>
      <c r="H77" s="70" t="n">
        <f aca="false">-MAX(IF(H8=0,Assumptions!$G$84,IF(H$5&lt;=12,Assumptions!$G$85,IF(H$5&lt;=24,Assumptions!$G$86,Assumptions!$G$87))),G72*Assumptions!$G$88)</f>
        <v>-45000</v>
      </c>
      <c r="I77" s="70" t="n">
        <f aca="false">-MAX(IF(I8=0,Assumptions!$G$84,IF(I$5&lt;=12,Assumptions!$G$85,IF(I$5&lt;=24,Assumptions!$G$86,Assumptions!$G$87))),H72*Assumptions!$G$88)</f>
        <v>-45000</v>
      </c>
      <c r="J77" s="70" t="n">
        <f aca="false">-MAX(IF(J8=0,Assumptions!$G$84,IF(J$5&lt;=12,Assumptions!$G$85,IF(J$5&lt;=24,Assumptions!$G$86,Assumptions!$G$87))),I72*Assumptions!$G$88)</f>
        <v>-45000</v>
      </c>
      <c r="K77" s="70" t="n">
        <f aca="false">-MAX(IF(K8=0,Assumptions!$G$84,IF(K$5&lt;=12,Assumptions!$G$85,IF(K$5&lt;=24,Assumptions!$G$86,Assumptions!$G$87))),J72*Assumptions!$G$88)</f>
        <v>-45000</v>
      </c>
      <c r="L77" s="70" t="n">
        <f aca="false">-MAX(IF(L8=0,Assumptions!$G$84,IF(L$5&lt;=12,Assumptions!$G$85,IF(L$5&lt;=24,Assumptions!$G$86,Assumptions!$G$87))),K72*Assumptions!$G$88)</f>
        <v>-45000</v>
      </c>
      <c r="M77" s="70" t="n">
        <f aca="false">-MAX(IF(M8=0,Assumptions!$G$84,IF(M$5&lt;=12,Assumptions!$G$85,IF(M$5&lt;=24,Assumptions!$G$86,Assumptions!$G$87))),L72*Assumptions!$G$88)</f>
        <v>-45000</v>
      </c>
      <c r="N77" s="70" t="n">
        <f aca="false">-MAX(IF(N8=0,Assumptions!$G$84,IF(N$5&lt;=12,Assumptions!$G$85,IF(N$5&lt;=24,Assumptions!$G$86,Assumptions!$G$87))),M72*Assumptions!$G$88)</f>
        <v>-45000</v>
      </c>
      <c r="O77" s="70" t="n">
        <f aca="false">-MAX(IF(O8=0,Assumptions!$G$84,IF(O$5&lt;=12,Assumptions!$G$85,IF(O$5&lt;=24,Assumptions!$G$86,Assumptions!$G$87))),N72*Assumptions!$G$88)</f>
        <v>-62000</v>
      </c>
      <c r="P77" s="70" t="n">
        <f aca="false">-MAX(IF(P8=0,Assumptions!$G$84,IF(P$5&lt;=12,Assumptions!$G$85,IF(P$5&lt;=24,Assumptions!$G$86,Assumptions!$G$87))),O72*Assumptions!$G$88)</f>
        <v>-62000</v>
      </c>
      <c r="Q77" s="70" t="n">
        <f aca="false">-MAX(IF(Q8=0,Assumptions!$G$84,IF(Q$5&lt;=12,Assumptions!$G$85,IF(Q$5&lt;=24,Assumptions!$G$86,Assumptions!$G$87))),P72*Assumptions!$G$88)</f>
        <v>-62000</v>
      </c>
      <c r="R77" s="70" t="n">
        <f aca="false">-MAX(IF(R8=0,Assumptions!$G$84,IF(R$5&lt;=12,Assumptions!$G$85,IF(R$5&lt;=24,Assumptions!$G$86,Assumptions!$G$87))),Q72*Assumptions!$G$88)</f>
        <v>-62000</v>
      </c>
      <c r="S77" s="70" t="n">
        <f aca="false">-MAX(IF(S8=0,Assumptions!$G$84,IF(S$5&lt;=12,Assumptions!$G$85,IF(S$5&lt;=24,Assumptions!$G$86,Assumptions!$G$87))),R72*Assumptions!$G$88)</f>
        <v>-62000</v>
      </c>
      <c r="T77" s="70" t="n">
        <f aca="false">-MAX(IF(T8=0,Assumptions!$G$84,IF(T$5&lt;=12,Assumptions!$G$85,IF(T$5&lt;=24,Assumptions!$G$86,Assumptions!$G$87))),S72*Assumptions!$G$88)</f>
        <v>-62000</v>
      </c>
      <c r="U77" s="70" t="n">
        <f aca="false">-MAX(IF(U8=0,Assumptions!$G$84,IF(U$5&lt;=12,Assumptions!$G$85,IF(U$5&lt;=24,Assumptions!$G$86,Assumptions!$G$87))),T72*Assumptions!$G$88)</f>
        <v>-62000</v>
      </c>
      <c r="V77" s="70" t="n">
        <f aca="false">-MAX(IF(V8=0,Assumptions!$G$84,IF(V$5&lt;=12,Assumptions!$G$85,IF(V$5&lt;=24,Assumptions!$G$86,Assumptions!$G$87))),U72*Assumptions!$G$88)</f>
        <v>-62000</v>
      </c>
      <c r="W77" s="70" t="n">
        <f aca="false">-MAX(IF(W8=0,Assumptions!$G$84,IF(W$5&lt;=12,Assumptions!$G$85,IF(W$5&lt;=24,Assumptions!$G$86,Assumptions!$G$87))),V72*Assumptions!$G$88)</f>
        <v>-62000</v>
      </c>
      <c r="X77" s="70" t="n">
        <f aca="false">-MAX(IF(X8=0,Assumptions!$G$84,IF(X$5&lt;=12,Assumptions!$G$85,IF(X$5&lt;=24,Assumptions!$G$86,Assumptions!$G$87))),W72*Assumptions!$G$88)</f>
        <v>-62000</v>
      </c>
      <c r="Y77" s="70" t="n">
        <f aca="false">-MAX(IF(Y8=0,Assumptions!$G$84,IF(Y$5&lt;=12,Assumptions!$G$85,IF(Y$5&lt;=24,Assumptions!$G$86,Assumptions!$G$87))),X72*Assumptions!$G$88)</f>
        <v>-62000</v>
      </c>
      <c r="Z77" s="70" t="n">
        <f aca="false">-MAX(IF(Z8=0,Assumptions!$G$84,IF(Z$5&lt;=12,Assumptions!$G$85,IF(Z$5&lt;=24,Assumptions!$G$86,Assumptions!$G$87))),Y72*Assumptions!$G$88)</f>
        <v>-62000</v>
      </c>
      <c r="AA77" s="70" t="n">
        <f aca="false">-MAX(IF(AA8=0,Assumptions!$G$84,IF(AA$5&lt;=12,Assumptions!$G$85,IF(AA$5&lt;=24,Assumptions!$G$86,Assumptions!$G$87))),Z72*Assumptions!$G$88)</f>
        <v>-92000</v>
      </c>
      <c r="AB77" s="70" t="n">
        <f aca="false">-MAX(IF(AB8=0,Assumptions!$G$84,IF(AB$5&lt;=12,Assumptions!$G$85,IF(AB$5&lt;=24,Assumptions!$G$86,Assumptions!$G$87))),AA72*Assumptions!$G$88)</f>
        <v>-92000</v>
      </c>
      <c r="AC77" s="70" t="n">
        <f aca="false">-MAX(IF(AC8=0,Assumptions!$G$84,IF(AC$5&lt;=12,Assumptions!$G$85,IF(AC$5&lt;=24,Assumptions!$G$86,Assumptions!$G$87))),AB72*Assumptions!$G$88)</f>
        <v>-92000</v>
      </c>
      <c r="AD77" s="70" t="n">
        <f aca="false">-MAX(IF(AD8=0,Assumptions!$G$84,IF(AD$5&lt;=12,Assumptions!$G$85,IF(AD$5&lt;=24,Assumptions!$G$86,Assumptions!$G$87))),AC72*Assumptions!$G$88)</f>
        <v>-92000</v>
      </c>
      <c r="AE77" s="70" t="n">
        <f aca="false">-MAX(IF(AE8=0,Assumptions!$G$84,IF(AE$5&lt;=12,Assumptions!$G$85,IF(AE$5&lt;=24,Assumptions!$G$86,Assumptions!$G$87))),AD72*Assumptions!$G$88)</f>
        <v>-92000</v>
      </c>
      <c r="AF77" s="70" t="n">
        <f aca="false">-MAX(IF(AF8=0,Assumptions!$G$84,IF(AF$5&lt;=12,Assumptions!$G$85,IF(AF$5&lt;=24,Assumptions!$G$86,Assumptions!$G$87))),AE72*Assumptions!$G$88)</f>
        <v>-92000</v>
      </c>
      <c r="AG77" s="70" t="n">
        <f aca="false">-MAX(IF(AG8=0,Assumptions!$G$84,IF(AG$5&lt;=12,Assumptions!$G$85,IF(AG$5&lt;=24,Assumptions!$G$86,Assumptions!$G$87))),AF72*Assumptions!$G$88)</f>
        <v>-92000</v>
      </c>
      <c r="AH77" s="70" t="n">
        <f aca="false">-MAX(IF(AH8=0,Assumptions!$G$84,IF(AH$5&lt;=12,Assumptions!$G$85,IF(AH$5&lt;=24,Assumptions!$G$86,Assumptions!$G$87))),AG72*Assumptions!$G$88)</f>
        <v>-92000</v>
      </c>
      <c r="AI77" s="70" t="n">
        <f aca="false">-MAX(IF(AI8=0,Assumptions!$G$84,IF(AI$5&lt;=12,Assumptions!$G$85,IF(AI$5&lt;=24,Assumptions!$G$86,Assumptions!$G$87))),AH72*Assumptions!$G$88)</f>
        <v>-92000</v>
      </c>
      <c r="AJ77" s="70" t="n">
        <f aca="false">-MAX(IF(AJ8=0,Assumptions!$G$84,IF(AJ$5&lt;=12,Assumptions!$G$85,IF(AJ$5&lt;=24,Assumptions!$G$86,Assumptions!$G$87))),AI72*Assumptions!$G$88)</f>
        <v>-92000</v>
      </c>
      <c r="AK77" s="70" t="n">
        <f aca="false">-MAX(IF(AK8=0,Assumptions!$G$84,IF(AK$5&lt;=12,Assumptions!$G$85,IF(AK$5&lt;=24,Assumptions!$G$86,Assumptions!$G$87))),AJ72*Assumptions!$G$88)</f>
        <v>-92000</v>
      </c>
      <c r="AL77" s="70" t="n">
        <f aca="false">-MAX(IF(AL8=0,Assumptions!$G$84,IF(AL$5&lt;=12,Assumptions!$G$85,IF(AL$5&lt;=24,Assumptions!$G$86,Assumptions!$G$87))),AK72*Assumptions!$G$88)</f>
        <v>-92000</v>
      </c>
      <c r="AM77" s="70" t="n">
        <f aca="false">SUM(C77:AL77)</f>
        <v>-2361000</v>
      </c>
    </row>
    <row r="78" customFormat="false" ht="15" hidden="false" customHeight="false" outlineLevel="0" collapsed="false">
      <c r="A78" s="10" t="s">
        <v>794</v>
      </c>
      <c r="B78" s="9" t="s">
        <v>95</v>
      </c>
      <c r="C78" s="70" t="n">
        <f aca="false">-IF(C$5&gt;=Assumptions!$G$7-2,Assumptions!$G$91,0)</f>
        <v>-0</v>
      </c>
      <c r="D78" s="70" t="n">
        <f aca="false">-IF(D$5&gt;=Assumptions!$G$7-2,Assumptions!$G$91,0)</f>
        <v>-0</v>
      </c>
      <c r="E78" s="70" t="n">
        <f aca="false">-IF(E$5&gt;=Assumptions!$G$7-2,Assumptions!$G$91,0)</f>
        <v>-0</v>
      </c>
      <c r="F78" s="70" t="n">
        <f aca="false">-IF(F$5&gt;=Assumptions!$G$7-2,Assumptions!$G$91,0)</f>
        <v>-0</v>
      </c>
      <c r="G78" s="70" t="n">
        <f aca="false">-IF(G$5&gt;=Assumptions!$G$7-2,Assumptions!$G$91,0)</f>
        <v>-9000</v>
      </c>
      <c r="H78" s="70" t="n">
        <f aca="false">-IF(H$5&gt;=Assumptions!$G$7-2,Assumptions!$G$91,0)</f>
        <v>-9000</v>
      </c>
      <c r="I78" s="70" t="n">
        <f aca="false">-IF(I$5&gt;=Assumptions!$G$7-2,Assumptions!$G$91,0)</f>
        <v>-9000</v>
      </c>
      <c r="J78" s="70" t="n">
        <f aca="false">-IF(J$5&gt;=Assumptions!$G$7-2,Assumptions!$G$91,0)</f>
        <v>-9000</v>
      </c>
      <c r="K78" s="70" t="n">
        <f aca="false">-IF(K$5&gt;=Assumptions!$G$7-2,Assumptions!$G$91,0)</f>
        <v>-9000</v>
      </c>
      <c r="L78" s="70" t="n">
        <f aca="false">-IF(L$5&gt;=Assumptions!$G$7-2,Assumptions!$G$91,0)</f>
        <v>-9000</v>
      </c>
      <c r="M78" s="70" t="n">
        <f aca="false">-IF(M$5&gt;=Assumptions!$G$7-2,Assumptions!$G$91,0)</f>
        <v>-9000</v>
      </c>
      <c r="N78" s="70" t="n">
        <f aca="false">-IF(N$5&gt;=Assumptions!$G$7-2,Assumptions!$G$91,0)</f>
        <v>-9000</v>
      </c>
      <c r="O78" s="70" t="n">
        <f aca="false">-IF(O$5&gt;=Assumptions!$G$7-2,Assumptions!$G$91,0)</f>
        <v>-9000</v>
      </c>
      <c r="P78" s="70" t="n">
        <f aca="false">-IF(P$5&gt;=Assumptions!$G$7-2,Assumptions!$G$91,0)</f>
        <v>-9000</v>
      </c>
      <c r="Q78" s="70" t="n">
        <f aca="false">-IF(Q$5&gt;=Assumptions!$G$7-2,Assumptions!$G$91,0)</f>
        <v>-9000</v>
      </c>
      <c r="R78" s="70" t="n">
        <f aca="false">-IF(R$5&gt;=Assumptions!$G$7-2,Assumptions!$G$91,0)</f>
        <v>-9000</v>
      </c>
      <c r="S78" s="70" t="n">
        <f aca="false">-IF(S$5&gt;=Assumptions!$G$7-2,Assumptions!$G$91,0)</f>
        <v>-9000</v>
      </c>
      <c r="T78" s="70" t="n">
        <f aca="false">-IF(T$5&gt;=Assumptions!$G$7-2,Assumptions!$G$91,0)</f>
        <v>-9000</v>
      </c>
      <c r="U78" s="70" t="n">
        <f aca="false">-IF(U$5&gt;=Assumptions!$G$7-2,Assumptions!$G$91,0)</f>
        <v>-9000</v>
      </c>
      <c r="V78" s="70" t="n">
        <f aca="false">-IF(V$5&gt;=Assumptions!$G$7-2,Assumptions!$G$91,0)</f>
        <v>-9000</v>
      </c>
      <c r="W78" s="70" t="n">
        <f aca="false">-IF(W$5&gt;=Assumptions!$G$7-2,Assumptions!$G$91,0)</f>
        <v>-9000</v>
      </c>
      <c r="X78" s="70" t="n">
        <f aca="false">-IF(X$5&gt;=Assumptions!$G$7-2,Assumptions!$G$91,0)</f>
        <v>-9000</v>
      </c>
      <c r="Y78" s="70" t="n">
        <f aca="false">-IF(Y$5&gt;=Assumptions!$G$7-2,Assumptions!$G$91,0)</f>
        <v>-9000</v>
      </c>
      <c r="Z78" s="70" t="n">
        <f aca="false">-IF(Z$5&gt;=Assumptions!$G$7-2,Assumptions!$G$91,0)</f>
        <v>-9000</v>
      </c>
      <c r="AA78" s="70" t="n">
        <f aca="false">-IF(AA$5&gt;=Assumptions!$G$7-2,Assumptions!$G$91,0)</f>
        <v>-9000</v>
      </c>
      <c r="AB78" s="70" t="n">
        <f aca="false">-IF(AB$5&gt;=Assumptions!$G$7-2,Assumptions!$G$91,0)</f>
        <v>-9000</v>
      </c>
      <c r="AC78" s="70" t="n">
        <f aca="false">-IF(AC$5&gt;=Assumptions!$G$7-2,Assumptions!$G$91,0)</f>
        <v>-9000</v>
      </c>
      <c r="AD78" s="70" t="n">
        <f aca="false">-IF(AD$5&gt;=Assumptions!$G$7-2,Assumptions!$G$91,0)</f>
        <v>-9000</v>
      </c>
      <c r="AE78" s="70" t="n">
        <f aca="false">-IF(AE$5&gt;=Assumptions!$G$7-2,Assumptions!$G$91,0)</f>
        <v>-9000</v>
      </c>
      <c r="AF78" s="70" t="n">
        <f aca="false">-IF(AF$5&gt;=Assumptions!$G$7-2,Assumptions!$G$91,0)</f>
        <v>-9000</v>
      </c>
      <c r="AG78" s="70" t="n">
        <f aca="false">-IF(AG$5&gt;=Assumptions!$G$7-2,Assumptions!$G$91,0)</f>
        <v>-9000</v>
      </c>
      <c r="AH78" s="70" t="n">
        <f aca="false">-IF(AH$5&gt;=Assumptions!$G$7-2,Assumptions!$G$91,0)</f>
        <v>-9000</v>
      </c>
      <c r="AI78" s="70" t="n">
        <f aca="false">-IF(AI$5&gt;=Assumptions!$G$7-2,Assumptions!$G$91,0)</f>
        <v>-9000</v>
      </c>
      <c r="AJ78" s="70" t="n">
        <f aca="false">-IF(AJ$5&gt;=Assumptions!$G$7-2,Assumptions!$G$91,0)</f>
        <v>-9000</v>
      </c>
      <c r="AK78" s="70" t="n">
        <f aca="false">-IF(AK$5&gt;=Assumptions!$G$7-2,Assumptions!$G$91,0)</f>
        <v>-9000</v>
      </c>
      <c r="AL78" s="70" t="n">
        <f aca="false">-IF(AL$5&gt;=Assumptions!$G$7-2,Assumptions!$G$91,0)</f>
        <v>-9000</v>
      </c>
      <c r="AM78" s="70" t="n">
        <f aca="false">SUM(C78:AL78)</f>
        <v>-288000</v>
      </c>
    </row>
    <row r="79" customFormat="false" ht="15" hidden="false" customHeight="false" outlineLevel="0" collapsed="false">
      <c r="A79" s="10" t="s">
        <v>795</v>
      </c>
      <c r="B79" s="9" t="s">
        <v>95</v>
      </c>
      <c r="C79" s="70" t="n">
        <f aca="false">-Assumptions!$G$92</f>
        <v>-2500</v>
      </c>
      <c r="D79" s="70" t="n">
        <f aca="false">-MAX(Assumptions!$G$92,C72*Assumptions!$G$90)</f>
        <v>-2500</v>
      </c>
      <c r="E79" s="70" t="n">
        <f aca="false">-MAX(Assumptions!$G$92,D72*Assumptions!$G$90)</f>
        <v>-2500</v>
      </c>
      <c r="F79" s="70" t="n">
        <f aca="false">-MAX(Assumptions!$G$92,E72*Assumptions!$G$90)</f>
        <v>-2500</v>
      </c>
      <c r="G79" s="70" t="n">
        <f aca="false">-MAX(Assumptions!$G$92,F72*Assumptions!$G$90)</f>
        <v>-2500</v>
      </c>
      <c r="H79" s="70" t="n">
        <f aca="false">-MAX(Assumptions!$G$92,G72*Assumptions!$G$90)</f>
        <v>-2500</v>
      </c>
      <c r="I79" s="70" t="n">
        <f aca="false">-MAX(Assumptions!$G$92,H72*Assumptions!$G$90)</f>
        <v>-2500</v>
      </c>
      <c r="J79" s="70" t="n">
        <f aca="false">-MAX(Assumptions!$G$92,I72*Assumptions!$G$90)</f>
        <v>-2500</v>
      </c>
      <c r="K79" s="70" t="n">
        <f aca="false">-MAX(Assumptions!$G$92,J72*Assumptions!$G$90)</f>
        <v>-2500</v>
      </c>
      <c r="L79" s="70" t="n">
        <f aca="false">-MAX(Assumptions!$G$92,K72*Assumptions!$G$90)</f>
        <v>-2500</v>
      </c>
      <c r="M79" s="70" t="n">
        <f aca="false">-MAX(Assumptions!$G$92,L72*Assumptions!$G$90)</f>
        <v>-2500</v>
      </c>
      <c r="N79" s="70" t="n">
        <f aca="false">-MAX(Assumptions!$G$92,M72*Assumptions!$G$90)</f>
        <v>-2500</v>
      </c>
      <c r="O79" s="70" t="n">
        <f aca="false">-MAX(Assumptions!$G$92,N72*Assumptions!$G$90)</f>
        <v>-2500</v>
      </c>
      <c r="P79" s="70" t="n">
        <f aca="false">-MAX(Assumptions!$G$92,O72*Assumptions!$G$90)</f>
        <v>-2500</v>
      </c>
      <c r="Q79" s="70" t="n">
        <f aca="false">-MAX(Assumptions!$G$92,P72*Assumptions!$G$90)</f>
        <v>-2500</v>
      </c>
      <c r="R79" s="70" t="n">
        <f aca="false">-MAX(Assumptions!$G$92,Q72*Assumptions!$G$90)</f>
        <v>-2500</v>
      </c>
      <c r="S79" s="70" t="n">
        <f aca="false">-MAX(Assumptions!$G$92,R72*Assumptions!$G$90)</f>
        <v>-2500</v>
      </c>
      <c r="T79" s="70" t="n">
        <f aca="false">-MAX(Assumptions!$G$92,S72*Assumptions!$G$90)</f>
        <v>-2500</v>
      </c>
      <c r="U79" s="70" t="n">
        <f aca="false">-MAX(Assumptions!$G$92,T72*Assumptions!$G$90)</f>
        <v>-2500</v>
      </c>
      <c r="V79" s="70" t="n">
        <f aca="false">-MAX(Assumptions!$G$92,U72*Assumptions!$G$90)</f>
        <v>-2500</v>
      </c>
      <c r="W79" s="70" t="n">
        <f aca="false">-MAX(Assumptions!$G$92,V72*Assumptions!$G$90)</f>
        <v>-2500</v>
      </c>
      <c r="X79" s="70" t="n">
        <f aca="false">-MAX(Assumptions!$G$92,W72*Assumptions!$G$90)</f>
        <v>-2500</v>
      </c>
      <c r="Y79" s="70" t="n">
        <f aca="false">-MAX(Assumptions!$G$92,X72*Assumptions!$G$90)</f>
        <v>-2500</v>
      </c>
      <c r="Z79" s="70" t="n">
        <f aca="false">-MAX(Assumptions!$G$92,Y72*Assumptions!$G$90)</f>
        <v>-2500</v>
      </c>
      <c r="AA79" s="70" t="n">
        <f aca="false">-MAX(Assumptions!$G$92,Z72*Assumptions!$G$90)</f>
        <v>-2500</v>
      </c>
      <c r="AB79" s="70" t="n">
        <f aca="false">-MAX(Assumptions!$G$92,AA72*Assumptions!$G$90)</f>
        <v>-2500</v>
      </c>
      <c r="AC79" s="70" t="n">
        <f aca="false">-MAX(Assumptions!$G$92,AB72*Assumptions!$G$90)</f>
        <v>-2500</v>
      </c>
      <c r="AD79" s="70" t="n">
        <f aca="false">-MAX(Assumptions!$G$92,AC72*Assumptions!$G$90)</f>
        <v>-2500</v>
      </c>
      <c r="AE79" s="70" t="n">
        <f aca="false">-MAX(Assumptions!$G$92,AD72*Assumptions!$G$90)</f>
        <v>-2500</v>
      </c>
      <c r="AF79" s="70" t="n">
        <f aca="false">-MAX(Assumptions!$G$92,AE72*Assumptions!$G$90)</f>
        <v>-2500</v>
      </c>
      <c r="AG79" s="70" t="n">
        <f aca="false">-MAX(Assumptions!$G$92,AF72*Assumptions!$G$90)</f>
        <v>-2500</v>
      </c>
      <c r="AH79" s="70" t="n">
        <f aca="false">-MAX(Assumptions!$G$92,AG72*Assumptions!$G$90)</f>
        <v>-2500</v>
      </c>
      <c r="AI79" s="70" t="n">
        <f aca="false">-MAX(Assumptions!$G$92,AH72*Assumptions!$G$90)</f>
        <v>-2633.78126629864</v>
      </c>
      <c r="AJ79" s="70" t="n">
        <f aca="false">-MAX(Assumptions!$G$92,AI72*Assumptions!$G$90)</f>
        <v>-2834.04036384682</v>
      </c>
      <c r="AK79" s="70" t="n">
        <f aca="false">-MAX(Assumptions!$G$92,AJ72*Assumptions!$G$90)</f>
        <v>-3050.25338775705</v>
      </c>
      <c r="AL79" s="70" t="n">
        <f aca="false">-MAX(Assumptions!$G$92,AK72*Assumptions!$G$90)</f>
        <v>-3283.80260658295</v>
      </c>
      <c r="AM79" s="70" t="n">
        <f aca="false">SUM(C79:AL79)</f>
        <v>-91801.8776244855</v>
      </c>
    </row>
    <row r="80" customFormat="false" ht="15" hidden="false" customHeight="false" outlineLevel="0" collapsed="false">
      <c r="A80" s="10" t="s">
        <v>796</v>
      </c>
      <c r="B80" s="9" t="s">
        <v>95</v>
      </c>
      <c r="C80" s="70" t="n">
        <f aca="false">-IF(C$5&lt;=4,Assumptions!$G$93,Assumptions!$G$94)</f>
        <v>-25000</v>
      </c>
      <c r="D80" s="70" t="n">
        <f aca="false">-IF(D$5&lt;=4,Assumptions!$G$93,Assumptions!$G$94)</f>
        <v>-25000</v>
      </c>
      <c r="E80" s="70" t="n">
        <f aca="false">-IF(E$5&lt;=4,Assumptions!$G$93,Assumptions!$G$94)</f>
        <v>-25000</v>
      </c>
      <c r="F80" s="70" t="n">
        <f aca="false">-IF(F$5&lt;=4,Assumptions!$G$93,Assumptions!$G$94)</f>
        <v>-25000</v>
      </c>
      <c r="G80" s="70" t="n">
        <f aca="false">-IF(G$5&lt;=4,Assumptions!$G$93,Assumptions!$G$94)</f>
        <v>-9000</v>
      </c>
      <c r="H80" s="70" t="n">
        <f aca="false">-IF(H$5&lt;=4,Assumptions!$G$93,Assumptions!$G$94)</f>
        <v>-9000</v>
      </c>
      <c r="I80" s="70" t="n">
        <f aca="false">-IF(I$5&lt;=4,Assumptions!$G$93,Assumptions!$G$94)</f>
        <v>-9000</v>
      </c>
      <c r="J80" s="70" t="n">
        <f aca="false">-IF(J$5&lt;=4,Assumptions!$G$93,Assumptions!$G$94)</f>
        <v>-9000</v>
      </c>
      <c r="K80" s="70" t="n">
        <f aca="false">-IF(K$5&lt;=4,Assumptions!$G$93,Assumptions!$G$94)</f>
        <v>-9000</v>
      </c>
      <c r="L80" s="70" t="n">
        <f aca="false">-IF(L$5&lt;=4,Assumptions!$G$93,Assumptions!$G$94)</f>
        <v>-9000</v>
      </c>
      <c r="M80" s="70" t="n">
        <f aca="false">-IF(M$5&lt;=4,Assumptions!$G$93,Assumptions!$G$94)</f>
        <v>-9000</v>
      </c>
      <c r="N80" s="70" t="n">
        <f aca="false">-IF(N$5&lt;=4,Assumptions!$G$93,Assumptions!$G$94)</f>
        <v>-9000</v>
      </c>
      <c r="O80" s="70" t="n">
        <f aca="false">-IF(O$5&lt;=4,Assumptions!$G$93,Assumptions!$G$94)</f>
        <v>-9000</v>
      </c>
      <c r="P80" s="70" t="n">
        <f aca="false">-IF(P$5&lt;=4,Assumptions!$G$93,Assumptions!$G$94)</f>
        <v>-9000</v>
      </c>
      <c r="Q80" s="70" t="n">
        <f aca="false">-IF(Q$5&lt;=4,Assumptions!$G$93,Assumptions!$G$94)</f>
        <v>-9000</v>
      </c>
      <c r="R80" s="70" t="n">
        <f aca="false">-IF(R$5&lt;=4,Assumptions!$G$93,Assumptions!$G$94)</f>
        <v>-9000</v>
      </c>
      <c r="S80" s="70" t="n">
        <f aca="false">-IF(S$5&lt;=4,Assumptions!$G$93,Assumptions!$G$94)</f>
        <v>-9000</v>
      </c>
      <c r="T80" s="70" t="n">
        <f aca="false">-IF(T$5&lt;=4,Assumptions!$G$93,Assumptions!$G$94)</f>
        <v>-9000</v>
      </c>
      <c r="U80" s="70" t="n">
        <f aca="false">-IF(U$5&lt;=4,Assumptions!$G$93,Assumptions!$G$94)</f>
        <v>-9000</v>
      </c>
      <c r="V80" s="70" t="n">
        <f aca="false">-IF(V$5&lt;=4,Assumptions!$G$93,Assumptions!$G$94)</f>
        <v>-9000</v>
      </c>
      <c r="W80" s="70" t="n">
        <f aca="false">-IF(W$5&lt;=4,Assumptions!$G$93,Assumptions!$G$94)</f>
        <v>-9000</v>
      </c>
      <c r="X80" s="70" t="n">
        <f aca="false">-IF(X$5&lt;=4,Assumptions!$G$93,Assumptions!$G$94)</f>
        <v>-9000</v>
      </c>
      <c r="Y80" s="70" t="n">
        <f aca="false">-IF(Y$5&lt;=4,Assumptions!$G$93,Assumptions!$G$94)</f>
        <v>-9000</v>
      </c>
      <c r="Z80" s="70" t="n">
        <f aca="false">-IF(Z$5&lt;=4,Assumptions!$G$93,Assumptions!$G$94)</f>
        <v>-9000</v>
      </c>
      <c r="AA80" s="70" t="n">
        <f aca="false">-IF(AA$5&lt;=4,Assumptions!$G$93,Assumptions!$G$94)</f>
        <v>-9000</v>
      </c>
      <c r="AB80" s="70" t="n">
        <f aca="false">-IF(AB$5&lt;=4,Assumptions!$G$93,Assumptions!$G$94)</f>
        <v>-9000</v>
      </c>
      <c r="AC80" s="70" t="n">
        <f aca="false">-IF(AC$5&lt;=4,Assumptions!$G$93,Assumptions!$G$94)</f>
        <v>-9000</v>
      </c>
      <c r="AD80" s="70" t="n">
        <f aca="false">-IF(AD$5&lt;=4,Assumptions!$G$93,Assumptions!$G$94)</f>
        <v>-9000</v>
      </c>
      <c r="AE80" s="70" t="n">
        <f aca="false">-IF(AE$5&lt;=4,Assumptions!$G$93,Assumptions!$G$94)</f>
        <v>-9000</v>
      </c>
      <c r="AF80" s="70" t="n">
        <f aca="false">-IF(AF$5&lt;=4,Assumptions!$G$93,Assumptions!$G$94)</f>
        <v>-9000</v>
      </c>
      <c r="AG80" s="70" t="n">
        <f aca="false">-IF(AG$5&lt;=4,Assumptions!$G$93,Assumptions!$G$94)</f>
        <v>-9000</v>
      </c>
      <c r="AH80" s="70" t="n">
        <f aca="false">-IF(AH$5&lt;=4,Assumptions!$G$93,Assumptions!$G$94)</f>
        <v>-9000</v>
      </c>
      <c r="AI80" s="70" t="n">
        <f aca="false">-IF(AI$5&lt;=4,Assumptions!$G$93,Assumptions!$G$94)</f>
        <v>-9000</v>
      </c>
      <c r="AJ80" s="70" t="n">
        <f aca="false">-IF(AJ$5&lt;=4,Assumptions!$G$93,Assumptions!$G$94)</f>
        <v>-9000</v>
      </c>
      <c r="AK80" s="70" t="n">
        <f aca="false">-IF(AK$5&lt;=4,Assumptions!$G$93,Assumptions!$G$94)</f>
        <v>-9000</v>
      </c>
      <c r="AL80" s="70" t="n">
        <f aca="false">-IF(AL$5&lt;=4,Assumptions!$G$93,Assumptions!$G$94)</f>
        <v>-9000</v>
      </c>
      <c r="AM80" s="70" t="n">
        <f aca="false">SUM(C80:AL80)</f>
        <v>-388000</v>
      </c>
    </row>
    <row r="81" customFormat="false" ht="15" hidden="false" customHeight="false" outlineLevel="0" collapsed="false">
      <c r="A81" s="10" t="s">
        <v>797</v>
      </c>
      <c r="B81" s="9" t="s">
        <v>95</v>
      </c>
      <c r="C81" s="70" t="n">
        <f aca="false">-C8*Assumptions!$G$95</f>
        <v>-0</v>
      </c>
      <c r="D81" s="70" t="n">
        <f aca="false">-D8*Assumptions!$G$95</f>
        <v>-3500</v>
      </c>
      <c r="E81" s="70" t="n">
        <f aca="false">-E8*Assumptions!$G$95</f>
        <v>-3500</v>
      </c>
      <c r="F81" s="70" t="n">
        <f aca="false">-F8*Assumptions!$G$95</f>
        <v>-3500</v>
      </c>
      <c r="G81" s="70" t="n">
        <f aca="false">-G8*Assumptions!$G$95</f>
        <v>-3500</v>
      </c>
      <c r="H81" s="70" t="n">
        <f aca="false">-H8*Assumptions!$G$95</f>
        <v>-3500</v>
      </c>
      <c r="I81" s="70" t="n">
        <f aca="false">-I8*Assumptions!$G$95</f>
        <v>-3500</v>
      </c>
      <c r="J81" s="70" t="n">
        <f aca="false">-J8*Assumptions!$G$95</f>
        <v>-3500</v>
      </c>
      <c r="K81" s="70" t="n">
        <f aca="false">-K8*Assumptions!$G$95</f>
        <v>-3500</v>
      </c>
      <c r="L81" s="70" t="n">
        <f aca="false">-L8*Assumptions!$G$95</f>
        <v>-3500</v>
      </c>
      <c r="M81" s="70" t="n">
        <f aca="false">-M8*Assumptions!$G$95</f>
        <v>-3500</v>
      </c>
      <c r="N81" s="70" t="n">
        <f aca="false">-N8*Assumptions!$G$95</f>
        <v>-3500</v>
      </c>
      <c r="O81" s="70" t="n">
        <f aca="false">-O8*Assumptions!$G$95</f>
        <v>-3500</v>
      </c>
      <c r="P81" s="70" t="n">
        <f aca="false">-P8*Assumptions!$G$95</f>
        <v>-3500</v>
      </c>
      <c r="Q81" s="70" t="n">
        <f aca="false">-Q8*Assumptions!$G$95</f>
        <v>-3500</v>
      </c>
      <c r="R81" s="70" t="n">
        <f aca="false">-R8*Assumptions!$G$95</f>
        <v>-3500</v>
      </c>
      <c r="S81" s="70" t="n">
        <f aca="false">-S8*Assumptions!$G$95</f>
        <v>-3500</v>
      </c>
      <c r="T81" s="70" t="n">
        <f aca="false">-T8*Assumptions!$G$95</f>
        <v>-3500</v>
      </c>
      <c r="U81" s="70" t="n">
        <f aca="false">-U8*Assumptions!$G$95</f>
        <v>-3500</v>
      </c>
      <c r="V81" s="70" t="n">
        <f aca="false">-V8*Assumptions!$G$95</f>
        <v>-3500</v>
      </c>
      <c r="W81" s="70" t="n">
        <f aca="false">-W8*Assumptions!$G$95</f>
        <v>-3500</v>
      </c>
      <c r="X81" s="70" t="n">
        <f aca="false">-X8*Assumptions!$G$95</f>
        <v>-3500</v>
      </c>
      <c r="Y81" s="70" t="n">
        <f aca="false">-Y8*Assumptions!$G$95</f>
        <v>-3500</v>
      </c>
      <c r="Z81" s="70" t="n">
        <f aca="false">-Z8*Assumptions!$G$95</f>
        <v>-3500</v>
      </c>
      <c r="AA81" s="70" t="n">
        <f aca="false">-AA8*Assumptions!$G$95</f>
        <v>-3500</v>
      </c>
      <c r="AB81" s="70" t="n">
        <f aca="false">-AB8*Assumptions!$G$95</f>
        <v>-3500</v>
      </c>
      <c r="AC81" s="70" t="n">
        <f aca="false">-AC8*Assumptions!$G$95</f>
        <v>-3500</v>
      </c>
      <c r="AD81" s="70" t="n">
        <f aca="false">-AD8*Assumptions!$G$95</f>
        <v>-3500</v>
      </c>
      <c r="AE81" s="70" t="n">
        <f aca="false">-AE8*Assumptions!$G$95</f>
        <v>-3500</v>
      </c>
      <c r="AF81" s="70" t="n">
        <f aca="false">-AF8*Assumptions!$G$95</f>
        <v>-3500</v>
      </c>
      <c r="AG81" s="70" t="n">
        <f aca="false">-AG8*Assumptions!$G$95</f>
        <v>-3500</v>
      </c>
      <c r="AH81" s="70" t="n">
        <f aca="false">-AH8*Assumptions!$G$95</f>
        <v>-3500</v>
      </c>
      <c r="AI81" s="70" t="n">
        <f aca="false">-AI8*Assumptions!$G$95</f>
        <v>-3500</v>
      </c>
      <c r="AJ81" s="70" t="n">
        <f aca="false">-AJ8*Assumptions!$G$95</f>
        <v>-3500</v>
      </c>
      <c r="AK81" s="70" t="n">
        <f aca="false">-AK8*Assumptions!$G$95</f>
        <v>-3500</v>
      </c>
      <c r="AL81" s="70" t="n">
        <f aca="false">-AL8*Assumptions!$G$95</f>
        <v>-3500</v>
      </c>
      <c r="AM81" s="70" t="n">
        <f aca="false">SUM(C81:AL81)</f>
        <v>-122500</v>
      </c>
    </row>
    <row r="82" customFormat="false" ht="15" hidden="false" customHeight="false" outlineLevel="0" collapsed="false">
      <c r="A82" s="10" t="s">
        <v>798</v>
      </c>
      <c r="B82" s="9" t="s">
        <v>95</v>
      </c>
      <c r="C82" s="70" t="n">
        <f aca="false">-Assumptions!$G$96</f>
        <v>-12000</v>
      </c>
      <c r="D82" s="70" t="n">
        <f aca="false">-MAX(Assumptions!$G$96,C72*Assumptions!$G$89)</f>
        <v>-12000</v>
      </c>
      <c r="E82" s="70" t="n">
        <f aca="false">-MAX(Assumptions!$G$96,D72*Assumptions!$G$89)</f>
        <v>-12000</v>
      </c>
      <c r="F82" s="70" t="n">
        <f aca="false">-MAX(Assumptions!$G$96,E72*Assumptions!$G$89)</f>
        <v>-12000</v>
      </c>
      <c r="G82" s="70" t="n">
        <f aca="false">-MAX(Assumptions!$G$96,F72*Assumptions!$G$89)</f>
        <v>-12000</v>
      </c>
      <c r="H82" s="70" t="n">
        <f aca="false">-MAX(Assumptions!$G$96,G72*Assumptions!$G$89)</f>
        <v>-12000</v>
      </c>
      <c r="I82" s="70" t="n">
        <f aca="false">-MAX(Assumptions!$G$96,H72*Assumptions!$G$89)</f>
        <v>-12000</v>
      </c>
      <c r="J82" s="70" t="n">
        <f aca="false">-MAX(Assumptions!$G$96,I72*Assumptions!$G$89)</f>
        <v>-12000</v>
      </c>
      <c r="K82" s="70" t="n">
        <f aca="false">-MAX(Assumptions!$G$96,J72*Assumptions!$G$89)</f>
        <v>-12000</v>
      </c>
      <c r="L82" s="70" t="n">
        <f aca="false">-MAX(Assumptions!$G$96,K72*Assumptions!$G$89)</f>
        <v>-12000</v>
      </c>
      <c r="M82" s="70" t="n">
        <f aca="false">-MAX(Assumptions!$G$96,L72*Assumptions!$G$89)</f>
        <v>-12000</v>
      </c>
      <c r="N82" s="70" t="n">
        <f aca="false">-MAX(Assumptions!$G$96,M72*Assumptions!$G$89)</f>
        <v>-12000</v>
      </c>
      <c r="O82" s="70" t="n">
        <f aca="false">-MAX(Assumptions!$G$96,N72*Assumptions!$G$89)</f>
        <v>-12000</v>
      </c>
      <c r="P82" s="70" t="n">
        <f aca="false">-MAX(Assumptions!$G$96,O72*Assumptions!$G$89)</f>
        <v>-12000</v>
      </c>
      <c r="Q82" s="70" t="n">
        <f aca="false">-MAX(Assumptions!$G$96,P72*Assumptions!$G$89)</f>
        <v>-12000</v>
      </c>
      <c r="R82" s="70" t="n">
        <f aca="false">-MAX(Assumptions!$G$96,Q72*Assumptions!$G$89)</f>
        <v>-12000</v>
      </c>
      <c r="S82" s="70" t="n">
        <f aca="false">-MAX(Assumptions!$G$96,R72*Assumptions!$G$89)</f>
        <v>-12000</v>
      </c>
      <c r="T82" s="70" t="n">
        <f aca="false">-MAX(Assumptions!$G$96,S72*Assumptions!$G$89)</f>
        <v>-12000</v>
      </c>
      <c r="U82" s="70" t="n">
        <f aca="false">-MAX(Assumptions!$G$96,T72*Assumptions!$G$89)</f>
        <v>-12000</v>
      </c>
      <c r="V82" s="70" t="n">
        <f aca="false">-MAX(Assumptions!$G$96,U72*Assumptions!$G$89)</f>
        <v>-12000</v>
      </c>
      <c r="W82" s="70" t="n">
        <f aca="false">-MAX(Assumptions!$G$96,V72*Assumptions!$G$89)</f>
        <v>-12000</v>
      </c>
      <c r="X82" s="70" t="n">
        <f aca="false">-MAX(Assumptions!$G$96,W72*Assumptions!$G$89)</f>
        <v>-12000</v>
      </c>
      <c r="Y82" s="70" t="n">
        <f aca="false">-MAX(Assumptions!$G$96,X72*Assumptions!$G$89)</f>
        <v>-12000</v>
      </c>
      <c r="Z82" s="70" t="n">
        <f aca="false">-MAX(Assumptions!$G$96,Y72*Assumptions!$G$89)</f>
        <v>-12000</v>
      </c>
      <c r="AA82" s="70" t="n">
        <f aca="false">-MAX(Assumptions!$G$96,Z72*Assumptions!$G$89)</f>
        <v>-12000</v>
      </c>
      <c r="AB82" s="70" t="n">
        <f aca="false">-MAX(Assumptions!$G$96,AA72*Assumptions!$G$89)</f>
        <v>-12000</v>
      </c>
      <c r="AC82" s="70" t="n">
        <f aca="false">-MAX(Assumptions!$G$96,AB72*Assumptions!$G$89)</f>
        <v>-12000</v>
      </c>
      <c r="AD82" s="70" t="n">
        <f aca="false">-MAX(Assumptions!$G$96,AC72*Assumptions!$G$89)</f>
        <v>-12000</v>
      </c>
      <c r="AE82" s="70" t="n">
        <f aca="false">-MAX(Assumptions!$G$96,AD72*Assumptions!$G$89)</f>
        <v>-12000</v>
      </c>
      <c r="AF82" s="70" t="n">
        <f aca="false">-MAX(Assumptions!$G$96,AE72*Assumptions!$G$89)</f>
        <v>-12000</v>
      </c>
      <c r="AG82" s="70" t="n">
        <f aca="false">-MAX(Assumptions!$G$96,AF72*Assumptions!$G$89)</f>
        <v>-12000</v>
      </c>
      <c r="AH82" s="70" t="n">
        <f aca="false">-MAX(Assumptions!$G$96,AG72*Assumptions!$G$89)</f>
        <v>-12000</v>
      </c>
      <c r="AI82" s="70" t="n">
        <f aca="false">-MAX(Assumptions!$G$96,AH72*Assumptions!$G$89)</f>
        <v>-12000</v>
      </c>
      <c r="AJ82" s="70" t="n">
        <f aca="false">-MAX(Assumptions!$G$96,AI72*Assumptions!$G$89)</f>
        <v>-12000</v>
      </c>
      <c r="AK82" s="70" t="n">
        <f aca="false">-MAX(Assumptions!$G$96,AJ72*Assumptions!$G$89)</f>
        <v>-12000</v>
      </c>
      <c r="AL82" s="70" t="n">
        <f aca="false">-MAX(Assumptions!$G$96,AK72*Assumptions!$G$89)</f>
        <v>-12000</v>
      </c>
      <c r="AM82" s="70" t="n">
        <f aca="false">SUM(C82:AL82)</f>
        <v>-432000</v>
      </c>
    </row>
    <row r="83" customFormat="false" ht="15" hidden="false" customHeight="false" outlineLevel="0" collapsed="false">
      <c r="A83" s="10" t="s">
        <v>799</v>
      </c>
      <c r="B83" s="9" t="s">
        <v>95</v>
      </c>
      <c r="C83" s="70" t="n">
        <f aca="false">-C26</f>
        <v>-8000</v>
      </c>
      <c r="D83" s="70" t="n">
        <f aca="false">-D26</f>
        <v>-30000</v>
      </c>
      <c r="E83" s="70" t="n">
        <f aca="false">-E26</f>
        <v>-30000</v>
      </c>
      <c r="F83" s="70" t="n">
        <f aca="false">-F26</f>
        <v>-30000</v>
      </c>
      <c r="G83" s="70" t="n">
        <f aca="false">-G26</f>
        <v>-30000</v>
      </c>
      <c r="H83" s="70" t="n">
        <f aca="false">-H26</f>
        <v>-30000</v>
      </c>
      <c r="I83" s="70" t="n">
        <f aca="false">-I26</f>
        <v>-30000</v>
      </c>
      <c r="J83" s="70" t="n">
        <f aca="false">-J26</f>
        <v>-30000</v>
      </c>
      <c r="K83" s="70" t="n">
        <f aca="false">-K26</f>
        <v>-30000</v>
      </c>
      <c r="L83" s="70" t="n">
        <f aca="false">-L26</f>
        <v>-30000</v>
      </c>
      <c r="M83" s="70" t="n">
        <f aca="false">-M26</f>
        <v>-30000</v>
      </c>
      <c r="N83" s="70" t="n">
        <f aca="false">-N26</f>
        <v>-30000</v>
      </c>
      <c r="O83" s="70" t="n">
        <f aca="false">-O26</f>
        <v>-30000</v>
      </c>
      <c r="P83" s="70" t="n">
        <f aca="false">-P26</f>
        <v>-30000</v>
      </c>
      <c r="Q83" s="70" t="n">
        <f aca="false">-Q26</f>
        <v>-30000</v>
      </c>
      <c r="R83" s="70" t="n">
        <f aca="false">-R26</f>
        <v>-30000</v>
      </c>
      <c r="S83" s="70" t="n">
        <f aca="false">-S26</f>
        <v>-30000</v>
      </c>
      <c r="T83" s="70" t="n">
        <f aca="false">-T26</f>
        <v>-30000</v>
      </c>
      <c r="U83" s="70" t="n">
        <f aca="false">-U26</f>
        <v>-30000</v>
      </c>
      <c r="V83" s="70" t="n">
        <f aca="false">-V26</f>
        <v>-31418.4363149437</v>
      </c>
      <c r="W83" s="70" t="n">
        <f aca="false">-W26</f>
        <v>-33473.1334338585</v>
      </c>
      <c r="X83" s="70" t="n">
        <f aca="false">-X26</f>
        <v>-35768.3162120958</v>
      </c>
      <c r="Y83" s="70" t="n">
        <f aca="false">-Y26</f>
        <v>-38296.1143989489</v>
      </c>
      <c r="Z83" s="70" t="n">
        <f aca="false">-Z26</f>
        <v>-41073.0220230843</v>
      </c>
      <c r="AA83" s="70" t="n">
        <f aca="false">-AA26</f>
        <v>-44121.4643953032</v>
      </c>
      <c r="AB83" s="70" t="n">
        <f aca="false">-AB26</f>
        <v>-47466.4634592923</v>
      </c>
      <c r="AC83" s="70" t="n">
        <f aca="false">-AC26</f>
        <v>-51064.7526279795</v>
      </c>
      <c r="AD83" s="70" t="n">
        <f aca="false">-AD26</f>
        <v>-54911.2624246507</v>
      </c>
      <c r="AE83" s="70" t="n">
        <f aca="false">-AE26</f>
        <v>-59045.3352730078</v>
      </c>
      <c r="AF83" s="70" t="n">
        <f aca="false">-AF26</f>
        <v>-63493.4025835492</v>
      </c>
      <c r="AG83" s="70" t="n">
        <f aca="false">-AG26</f>
        <v>-68283.5491401043</v>
      </c>
      <c r="AH83" s="70" t="n">
        <f aca="false">-AH26</f>
        <v>-73446.0026067968</v>
      </c>
      <c r="AI83" s="70" t="n">
        <f aca="false">-AI26</f>
        <v>-79013.4379889591</v>
      </c>
      <c r="AJ83" s="70" t="n">
        <f aca="false">-AJ26</f>
        <v>-85021.2109154047</v>
      </c>
      <c r="AK83" s="70" t="n">
        <f aca="false">-AK26</f>
        <v>-91507.6016327116</v>
      </c>
      <c r="AL83" s="70" t="n">
        <f aca="false">-AL26</f>
        <v>-98514.0781974886</v>
      </c>
      <c r="AM83" s="70" t="n">
        <f aca="false">SUM(C83:AL83)</f>
        <v>-1543917.58362818</v>
      </c>
    </row>
    <row r="84" customFormat="false" ht="15" hidden="false" customHeight="false" outlineLevel="0" collapsed="false">
      <c r="A84" s="10" t="s">
        <v>800</v>
      </c>
      <c r="B84" s="9" t="s">
        <v>95</v>
      </c>
      <c r="C84" s="70" t="n">
        <f aca="false">-IF(C$5=Assumptions!$G$6,Assumptions!$G$23,0)</f>
        <v>-0</v>
      </c>
      <c r="D84" s="70" t="n">
        <f aca="false">-IF(D$5=Assumptions!$G$6,Assumptions!$G$23,0)</f>
        <v>-40000</v>
      </c>
      <c r="E84" s="70" t="n">
        <f aca="false">-IF(E$5=Assumptions!$G$6,Assumptions!$G$23,0)</f>
        <v>-0</v>
      </c>
      <c r="F84" s="70" t="n">
        <f aca="false">-IF(F$5=Assumptions!$G$6,Assumptions!$G$23,0)</f>
        <v>-0</v>
      </c>
      <c r="G84" s="70" t="n">
        <f aca="false">-IF(G$5=Assumptions!$G$6,Assumptions!$G$23,0)</f>
        <v>-0</v>
      </c>
      <c r="H84" s="70" t="n">
        <f aca="false">-IF(H$5=Assumptions!$G$6,Assumptions!$G$23,0)</f>
        <v>-0</v>
      </c>
      <c r="I84" s="70" t="n">
        <f aca="false">-IF(I$5=Assumptions!$G$6,Assumptions!$G$23,0)</f>
        <v>-0</v>
      </c>
      <c r="J84" s="70" t="n">
        <f aca="false">-IF(J$5=Assumptions!$G$6,Assumptions!$G$23,0)</f>
        <v>-0</v>
      </c>
      <c r="K84" s="70" t="n">
        <f aca="false">-IF(K$5=Assumptions!$G$6,Assumptions!$G$23,0)</f>
        <v>-0</v>
      </c>
      <c r="L84" s="70" t="n">
        <f aca="false">-IF(L$5=Assumptions!$G$6,Assumptions!$G$23,0)</f>
        <v>-0</v>
      </c>
      <c r="M84" s="70" t="n">
        <f aca="false">-IF(M$5=Assumptions!$G$6,Assumptions!$G$23,0)</f>
        <v>-0</v>
      </c>
      <c r="N84" s="70" t="n">
        <f aca="false">-IF(N$5=Assumptions!$G$6,Assumptions!$G$23,0)</f>
        <v>-0</v>
      </c>
      <c r="O84" s="70" t="n">
        <f aca="false">-IF(O$5=Assumptions!$G$6,Assumptions!$G$23,0)</f>
        <v>-0</v>
      </c>
      <c r="P84" s="70" t="n">
        <f aca="false">-IF(P$5=Assumptions!$G$6,Assumptions!$G$23,0)</f>
        <v>-0</v>
      </c>
      <c r="Q84" s="70" t="n">
        <f aca="false">-IF(Q$5=Assumptions!$G$6,Assumptions!$G$23,0)</f>
        <v>-0</v>
      </c>
      <c r="R84" s="70" t="n">
        <f aca="false">-IF(R$5=Assumptions!$G$6,Assumptions!$G$23,0)</f>
        <v>-0</v>
      </c>
      <c r="S84" s="70" t="n">
        <f aca="false">-IF(S$5=Assumptions!$G$6,Assumptions!$G$23,0)</f>
        <v>-0</v>
      </c>
      <c r="T84" s="70" t="n">
        <f aca="false">-IF(T$5=Assumptions!$G$6,Assumptions!$G$23,0)</f>
        <v>-0</v>
      </c>
      <c r="U84" s="70" t="n">
        <f aca="false">-IF(U$5=Assumptions!$G$6,Assumptions!$G$23,0)</f>
        <v>-0</v>
      </c>
      <c r="V84" s="70" t="n">
        <f aca="false">-IF(V$5=Assumptions!$G$6,Assumptions!$G$23,0)</f>
        <v>-0</v>
      </c>
      <c r="W84" s="70" t="n">
        <f aca="false">-IF(W$5=Assumptions!$G$6,Assumptions!$G$23,0)</f>
        <v>-0</v>
      </c>
      <c r="X84" s="70" t="n">
        <f aca="false">-IF(X$5=Assumptions!$G$6,Assumptions!$G$23,0)</f>
        <v>-0</v>
      </c>
      <c r="Y84" s="70" t="n">
        <f aca="false">-IF(Y$5=Assumptions!$G$6,Assumptions!$G$23,0)</f>
        <v>-0</v>
      </c>
      <c r="Z84" s="70" t="n">
        <f aca="false">-IF(Z$5=Assumptions!$G$6,Assumptions!$G$23,0)</f>
        <v>-0</v>
      </c>
      <c r="AA84" s="70" t="n">
        <f aca="false">-IF(AA$5=Assumptions!$G$6,Assumptions!$G$23,0)</f>
        <v>-0</v>
      </c>
      <c r="AB84" s="70" t="n">
        <f aca="false">-IF(AB$5=Assumptions!$G$6,Assumptions!$G$23,0)</f>
        <v>-0</v>
      </c>
      <c r="AC84" s="70" t="n">
        <f aca="false">-IF(AC$5=Assumptions!$G$6,Assumptions!$G$23,0)</f>
        <v>-0</v>
      </c>
      <c r="AD84" s="70" t="n">
        <f aca="false">-IF(AD$5=Assumptions!$G$6,Assumptions!$G$23,0)</f>
        <v>-0</v>
      </c>
      <c r="AE84" s="70" t="n">
        <f aca="false">-IF(AE$5=Assumptions!$G$6,Assumptions!$G$23,0)</f>
        <v>-0</v>
      </c>
      <c r="AF84" s="70" t="n">
        <f aca="false">-IF(AF$5=Assumptions!$G$6,Assumptions!$G$23,0)</f>
        <v>-0</v>
      </c>
      <c r="AG84" s="70" t="n">
        <f aca="false">-IF(AG$5=Assumptions!$G$6,Assumptions!$G$23,0)</f>
        <v>-0</v>
      </c>
      <c r="AH84" s="70" t="n">
        <f aca="false">-IF(AH$5=Assumptions!$G$6,Assumptions!$G$23,0)</f>
        <v>-0</v>
      </c>
      <c r="AI84" s="70" t="n">
        <f aca="false">-IF(AI$5=Assumptions!$G$6,Assumptions!$G$23,0)</f>
        <v>-0</v>
      </c>
      <c r="AJ84" s="70" t="n">
        <f aca="false">-IF(AJ$5=Assumptions!$G$6,Assumptions!$G$23,0)</f>
        <v>-0</v>
      </c>
      <c r="AK84" s="70" t="n">
        <f aca="false">-IF(AK$5=Assumptions!$G$6,Assumptions!$G$23,0)</f>
        <v>-0</v>
      </c>
      <c r="AL84" s="70" t="n">
        <f aca="false">-IF(AL$5=Assumptions!$G$6,Assumptions!$G$23,0)</f>
        <v>-0</v>
      </c>
      <c r="AM84" s="70" t="n">
        <f aca="false">SUM(C84:AL84)</f>
        <v>-40000</v>
      </c>
    </row>
    <row r="85" customFormat="false" ht="15" hidden="false" customHeight="false" outlineLevel="0" collapsed="false">
      <c r="A85" s="10" t="s">
        <v>801</v>
      </c>
      <c r="B85" s="9" t="s">
        <v>95</v>
      </c>
      <c r="C85" s="70" t="n">
        <f aca="false">-C8*Assumptions!$G$98</f>
        <v>-0</v>
      </c>
      <c r="D85" s="70" t="n">
        <f aca="false">-D8*Assumptions!$G$98</f>
        <v>-0</v>
      </c>
      <c r="E85" s="70" t="n">
        <f aca="false">-E8*Assumptions!$G$98</f>
        <v>-0</v>
      </c>
      <c r="F85" s="70" t="n">
        <f aca="false">-F8*Assumptions!$G$98</f>
        <v>-0</v>
      </c>
      <c r="G85" s="70" t="n">
        <f aca="false">-G8*Assumptions!$G$98</f>
        <v>-0</v>
      </c>
      <c r="H85" s="70" t="n">
        <f aca="false">-H8*Assumptions!$G$98</f>
        <v>-0</v>
      </c>
      <c r="I85" s="70" t="n">
        <f aca="false">-I8*Assumptions!$G$98</f>
        <v>-0</v>
      </c>
      <c r="J85" s="70" t="n">
        <f aca="false">-J8*Assumptions!$G$98</f>
        <v>-0</v>
      </c>
      <c r="K85" s="70" t="n">
        <f aca="false">-K8*Assumptions!$G$98</f>
        <v>-0</v>
      </c>
      <c r="L85" s="70" t="n">
        <f aca="false">-L8*Assumptions!$G$98</f>
        <v>-0</v>
      </c>
      <c r="M85" s="70" t="n">
        <f aca="false">-M8*Assumptions!$G$98</f>
        <v>-0</v>
      </c>
      <c r="N85" s="70" t="n">
        <f aca="false">-N8*Assumptions!$G$98</f>
        <v>-0</v>
      </c>
      <c r="O85" s="70" t="n">
        <f aca="false">-O8*Assumptions!$G$98</f>
        <v>-0</v>
      </c>
      <c r="P85" s="70" t="n">
        <f aca="false">-P8*Assumptions!$G$98</f>
        <v>-0</v>
      </c>
      <c r="Q85" s="70" t="n">
        <f aca="false">-Q8*Assumptions!$G$98</f>
        <v>-0</v>
      </c>
      <c r="R85" s="70" t="n">
        <f aca="false">-R8*Assumptions!$G$98</f>
        <v>-0</v>
      </c>
      <c r="S85" s="70" t="n">
        <f aca="false">-S8*Assumptions!$G$98</f>
        <v>-0</v>
      </c>
      <c r="T85" s="70" t="n">
        <f aca="false">-T8*Assumptions!$G$98</f>
        <v>-0</v>
      </c>
      <c r="U85" s="70" t="n">
        <f aca="false">-U8*Assumptions!$G$98</f>
        <v>-0</v>
      </c>
      <c r="V85" s="70" t="n">
        <f aca="false">-V8*Assumptions!$G$98</f>
        <v>-0</v>
      </c>
      <c r="W85" s="70" t="n">
        <f aca="false">-W8*Assumptions!$G$98</f>
        <v>-0</v>
      </c>
      <c r="X85" s="70" t="n">
        <f aca="false">-X8*Assumptions!$G$98</f>
        <v>-0</v>
      </c>
      <c r="Y85" s="70" t="n">
        <f aca="false">-Y8*Assumptions!$G$98</f>
        <v>-0</v>
      </c>
      <c r="Z85" s="70" t="n">
        <f aca="false">-Z8*Assumptions!$G$98</f>
        <v>-0</v>
      </c>
      <c r="AA85" s="70" t="n">
        <f aca="false">-AA8*Assumptions!$G$98</f>
        <v>-0</v>
      </c>
      <c r="AB85" s="70" t="n">
        <f aca="false">-AB8*Assumptions!$G$98</f>
        <v>-0</v>
      </c>
      <c r="AC85" s="70" t="n">
        <f aca="false">-AC8*Assumptions!$G$98</f>
        <v>-0</v>
      </c>
      <c r="AD85" s="70" t="n">
        <f aca="false">-AD8*Assumptions!$G$98</f>
        <v>-0</v>
      </c>
      <c r="AE85" s="70" t="n">
        <f aca="false">-AE8*Assumptions!$G$98</f>
        <v>-0</v>
      </c>
      <c r="AF85" s="70" t="n">
        <f aca="false">-AF8*Assumptions!$G$98</f>
        <v>-0</v>
      </c>
      <c r="AG85" s="70" t="n">
        <f aca="false">-AG8*Assumptions!$G$98</f>
        <v>-0</v>
      </c>
      <c r="AH85" s="70" t="n">
        <f aca="false">-AH8*Assumptions!$G$98</f>
        <v>-0</v>
      </c>
      <c r="AI85" s="70" t="n">
        <f aca="false">-AI8*Assumptions!$G$98</f>
        <v>-0</v>
      </c>
      <c r="AJ85" s="70" t="n">
        <f aca="false">-AJ8*Assumptions!$G$98</f>
        <v>-0</v>
      </c>
      <c r="AK85" s="70" t="n">
        <f aca="false">-AK8*Assumptions!$G$98</f>
        <v>-0</v>
      </c>
      <c r="AL85" s="70" t="n">
        <f aca="false">-AL8*Assumptions!$G$98</f>
        <v>-0</v>
      </c>
      <c r="AM85" s="70" t="n">
        <f aca="false">SUM(C85:AL85)</f>
        <v>0</v>
      </c>
    </row>
    <row r="86" customFormat="false" ht="15" hidden="false" customHeight="false" outlineLevel="0" collapsed="false">
      <c r="A86" s="10" t="s">
        <v>360</v>
      </c>
      <c r="B86" s="9" t="s">
        <v>95</v>
      </c>
      <c r="C86" s="70" t="n">
        <f aca="false">-C72*Assumptions!$G$99</f>
        <v>-0</v>
      </c>
      <c r="D86" s="70" t="n">
        <f aca="false">-D72*Assumptions!$G$99</f>
        <v>-0</v>
      </c>
      <c r="E86" s="70" t="n">
        <f aca="false">-E72*Assumptions!$G$99</f>
        <v>-0</v>
      </c>
      <c r="F86" s="70" t="n">
        <f aca="false">-F72*Assumptions!$G$99</f>
        <v>-0</v>
      </c>
      <c r="G86" s="70" t="n">
        <f aca="false">-G72*Assumptions!$G$99</f>
        <v>-0</v>
      </c>
      <c r="H86" s="70" t="n">
        <f aca="false">-H72*Assumptions!$G$99</f>
        <v>-0</v>
      </c>
      <c r="I86" s="70" t="n">
        <f aca="false">-I72*Assumptions!$G$99</f>
        <v>-0</v>
      </c>
      <c r="J86" s="70" t="n">
        <f aca="false">-J72*Assumptions!$G$99</f>
        <v>-0</v>
      </c>
      <c r="K86" s="70" t="n">
        <f aca="false">-K72*Assumptions!$G$99</f>
        <v>-0</v>
      </c>
      <c r="L86" s="70" t="n">
        <f aca="false">-L72*Assumptions!$G$99</f>
        <v>-0</v>
      </c>
      <c r="M86" s="70" t="n">
        <f aca="false">-M72*Assumptions!$G$99</f>
        <v>-0</v>
      </c>
      <c r="N86" s="70" t="n">
        <f aca="false">-N72*Assumptions!$G$99</f>
        <v>-0</v>
      </c>
      <c r="O86" s="70" t="n">
        <f aca="false">-O72*Assumptions!$G$99</f>
        <v>-0</v>
      </c>
      <c r="P86" s="70" t="n">
        <f aca="false">-P72*Assumptions!$G$99</f>
        <v>-0</v>
      </c>
      <c r="Q86" s="70" t="n">
        <f aca="false">-Q72*Assumptions!$G$99</f>
        <v>-0</v>
      </c>
      <c r="R86" s="70" t="n">
        <f aca="false">-R72*Assumptions!$G$99</f>
        <v>-0</v>
      </c>
      <c r="S86" s="70" t="n">
        <f aca="false">-S72*Assumptions!$G$99</f>
        <v>-0</v>
      </c>
      <c r="T86" s="70" t="n">
        <f aca="false">-T72*Assumptions!$G$99</f>
        <v>-0</v>
      </c>
      <c r="U86" s="70" t="n">
        <f aca="false">-U72*Assumptions!$G$99</f>
        <v>-0</v>
      </c>
      <c r="V86" s="70" t="n">
        <f aca="false">-V72*Assumptions!$G$99</f>
        <v>-0</v>
      </c>
      <c r="W86" s="70" t="n">
        <f aca="false">-W72*Assumptions!$G$99</f>
        <v>-0</v>
      </c>
      <c r="X86" s="70" t="n">
        <f aca="false">-X72*Assumptions!$G$99</f>
        <v>-0</v>
      </c>
      <c r="Y86" s="70" t="n">
        <f aca="false">-Y72*Assumptions!$G$99</f>
        <v>-0</v>
      </c>
      <c r="Z86" s="70" t="n">
        <f aca="false">-Z72*Assumptions!$G$99</f>
        <v>-0</v>
      </c>
      <c r="AA86" s="70" t="n">
        <f aca="false">-AA72*Assumptions!$G$99</f>
        <v>-0</v>
      </c>
      <c r="AB86" s="70" t="n">
        <f aca="false">-AB72*Assumptions!$G$99</f>
        <v>-0</v>
      </c>
      <c r="AC86" s="70" t="n">
        <f aca="false">-AC72*Assumptions!$G$99</f>
        <v>-0</v>
      </c>
      <c r="AD86" s="70" t="n">
        <f aca="false">-AD72*Assumptions!$G$99</f>
        <v>-0</v>
      </c>
      <c r="AE86" s="70" t="n">
        <f aca="false">-AE72*Assumptions!$G$99</f>
        <v>-0</v>
      </c>
      <c r="AF86" s="70" t="n">
        <f aca="false">-AF72*Assumptions!$G$99</f>
        <v>-0</v>
      </c>
      <c r="AG86" s="70" t="n">
        <f aca="false">-AG72*Assumptions!$G$99</f>
        <v>-0</v>
      </c>
      <c r="AH86" s="70" t="n">
        <f aca="false">-AH72*Assumptions!$G$99</f>
        <v>-0</v>
      </c>
      <c r="AI86" s="70" t="n">
        <f aca="false">-AI72*Assumptions!$G$99</f>
        <v>-0</v>
      </c>
      <c r="AJ86" s="70" t="n">
        <f aca="false">-AJ72*Assumptions!$G$99</f>
        <v>-0</v>
      </c>
      <c r="AK86" s="70" t="n">
        <f aca="false">-AK72*Assumptions!$G$99</f>
        <v>-0</v>
      </c>
      <c r="AL86" s="70" t="n">
        <f aca="false">-AL72*Assumptions!$G$99</f>
        <v>-0</v>
      </c>
      <c r="AM86" s="70" t="n">
        <f aca="false">SUM(C86:AL86)</f>
        <v>0</v>
      </c>
    </row>
    <row r="87" customFormat="false" ht="15" hidden="false" customHeight="false" outlineLevel="0" collapsed="false">
      <c r="A87" s="38" t="s">
        <v>802</v>
      </c>
      <c r="B87" s="9" t="s">
        <v>95</v>
      </c>
      <c r="C87" s="53" t="n">
        <f aca="false">C75+C76+C77+C78+C79+C80+C81+C82+C83+C84+C85+C86</f>
        <v>-66380</v>
      </c>
      <c r="D87" s="53" t="n">
        <f aca="false">D75+D76+D77+D78+D79+D80+D81+D82+D83+D84+D85+D86</f>
        <v>-158880</v>
      </c>
      <c r="E87" s="53" t="n">
        <f aca="false">E75+E76+E77+E78+E79+E80+E81+E82+E83+E84+E85+E86</f>
        <v>-118880</v>
      </c>
      <c r="F87" s="53" t="n">
        <f aca="false">F75+F76+F77+F78+F79+F80+F81+F82+F83+F84+F85+F86</f>
        <v>-118880</v>
      </c>
      <c r="G87" s="53" t="n">
        <f aca="false">G75+G76+G77+G78+G79+G80+G81+G82+G83+G84+G85+G86</f>
        <v>-111880</v>
      </c>
      <c r="H87" s="53" t="n">
        <f aca="false">H75+H76+H77+H78+H79+H80+H81+H82+H83+H84+H85+H86</f>
        <v>-111880</v>
      </c>
      <c r="I87" s="53" t="n">
        <f aca="false">I75+I76+I77+I78+I79+I80+I81+I82+I83+I84+I85+I86</f>
        <v>-111880</v>
      </c>
      <c r="J87" s="53" t="n">
        <f aca="false">J75+J76+J77+J78+J79+J80+J81+J82+J83+J84+J85+J86</f>
        <v>-111880</v>
      </c>
      <c r="K87" s="53" t="n">
        <f aca="false">K75+K76+K77+K78+K79+K80+K81+K82+K83+K84+K85+K86</f>
        <v>-111880</v>
      </c>
      <c r="L87" s="53" t="n">
        <f aca="false">L75+L76+L77+L78+L79+L80+L81+L82+L83+L84+L85+L86</f>
        <v>-111880</v>
      </c>
      <c r="M87" s="53" t="n">
        <f aca="false">M75+M76+M77+M78+M79+M80+M81+M82+M83+M84+M85+M86</f>
        <v>-111880</v>
      </c>
      <c r="N87" s="53" t="n">
        <f aca="false">N75+N76+N77+N78+N79+N80+N81+N82+N83+N84+N85+N86</f>
        <v>-111880</v>
      </c>
      <c r="O87" s="53" t="n">
        <f aca="false">O75+O76+O77+O78+O79+O80+O81+O82+O83+O84+O85+O86</f>
        <v>-128880</v>
      </c>
      <c r="P87" s="53" t="n">
        <f aca="false">P75+P76+P77+P78+P79+P80+P81+P82+P83+P84+P85+P86</f>
        <v>-128880</v>
      </c>
      <c r="Q87" s="53" t="n">
        <f aca="false">Q75+Q76+Q77+Q78+Q79+Q80+Q81+Q82+Q83+Q84+Q85+Q86</f>
        <v>-128880</v>
      </c>
      <c r="R87" s="53" t="n">
        <f aca="false">R75+R76+R77+R78+R79+R80+R81+R82+R83+R84+R85+R86</f>
        <v>-128880</v>
      </c>
      <c r="S87" s="53" t="n">
        <f aca="false">S75+S76+S77+S78+S79+S80+S81+S82+S83+S84+S85+S86</f>
        <v>-128880</v>
      </c>
      <c r="T87" s="53" t="n">
        <f aca="false">T75+T76+T77+T78+T79+T80+T81+T82+T83+T84+T85+T86</f>
        <v>-128880</v>
      </c>
      <c r="U87" s="53" t="n">
        <f aca="false">U75+U76+U77+U78+U79+U80+U81+U82+U83+U84+U85+U86</f>
        <v>-128880</v>
      </c>
      <c r="V87" s="53" t="n">
        <f aca="false">V75+V76+V77+V78+V79+V80+V81+V82+V83+V84+V85+V86</f>
        <v>-130298.436314944</v>
      </c>
      <c r="W87" s="53" t="n">
        <f aca="false">W75+W76+W77+W78+W79+W80+W81+W82+W83+W84+W85+W86</f>
        <v>-132353.133433859</v>
      </c>
      <c r="X87" s="53" t="n">
        <f aca="false">X75+X76+X77+X78+X79+X80+X81+X82+X83+X84+X85+X86</f>
        <v>-134648.316212096</v>
      </c>
      <c r="Y87" s="53" t="n">
        <f aca="false">Y75+Y76+Y77+Y78+Y79+Y80+Y81+Y82+Y83+Y84+Y85+Y86</f>
        <v>-137176.114398949</v>
      </c>
      <c r="Z87" s="53" t="n">
        <f aca="false">Z75+Z76+Z77+Z78+Z79+Z80+Z81+Z82+Z83+Z84+Z85+Z86</f>
        <v>-139953.022023084</v>
      </c>
      <c r="AA87" s="53" t="n">
        <f aca="false">AA75+AA76+AA77+AA78+AA79+AA80+AA81+AA82+AA83+AA84+AA85+AA86</f>
        <v>-173001.464395303</v>
      </c>
      <c r="AB87" s="53" t="n">
        <f aca="false">AB75+AB76+AB77+AB78+AB79+AB80+AB81+AB82+AB83+AB84+AB85+AB86</f>
        <v>-176346.463459292</v>
      </c>
      <c r="AC87" s="53" t="n">
        <f aca="false">AC75+AC76+AC77+AC78+AC79+AC80+AC81+AC82+AC83+AC84+AC85+AC86</f>
        <v>-179944.75262798</v>
      </c>
      <c r="AD87" s="53" t="n">
        <f aca="false">AD75+AD76+AD77+AD78+AD79+AD80+AD81+AD82+AD83+AD84+AD85+AD86</f>
        <v>-183791.262424651</v>
      </c>
      <c r="AE87" s="53" t="n">
        <f aca="false">AE75+AE76+AE77+AE78+AE79+AE80+AE81+AE82+AE83+AE84+AE85+AE86</f>
        <v>-187925.335273008</v>
      </c>
      <c r="AF87" s="53" t="n">
        <f aca="false">AF75+AF76+AF77+AF78+AF79+AF80+AF81+AF82+AF83+AF84+AF85+AF86</f>
        <v>-192373.402583549</v>
      </c>
      <c r="AG87" s="53" t="n">
        <f aca="false">AG75+AG76+AG77+AG78+AG79+AG80+AG81+AG82+AG83+AG84+AG85+AG86</f>
        <v>-197163.549140104</v>
      </c>
      <c r="AH87" s="53" t="n">
        <f aca="false">AH75+AH76+AH77+AH78+AH79+AH80+AH81+AH82+AH83+AH84+AH85+AH86</f>
        <v>-202326.002606797</v>
      </c>
      <c r="AI87" s="53" t="n">
        <f aca="false">AI75+AI76+AI77+AI78+AI79+AI80+AI81+AI82+AI83+AI84+AI85+AI86</f>
        <v>-208027.219255258</v>
      </c>
      <c r="AJ87" s="53" t="n">
        <f aca="false">AJ75+AJ76+AJ77+AJ78+AJ79+AJ80+AJ81+AJ82+AJ83+AJ84+AJ85+AJ86</f>
        <v>-214235.251279252</v>
      </c>
      <c r="AK87" s="53" t="n">
        <f aca="false">AK75+AK76+AK77+AK78+AK79+AK80+AK81+AK82+AK83+AK84+AK85+AK86</f>
        <v>-220937.855020469</v>
      </c>
      <c r="AL87" s="53" t="n">
        <f aca="false">AL75+AL76+AL77+AL78+AL79+AL80+AL81+AL82+AL83+AL84+AL85+AL86</f>
        <v>-228177.880804072</v>
      </c>
      <c r="AM87" s="53" t="n">
        <f aca="false">SUM(C87:AL87)</f>
        <v>-5298899.46125266</v>
      </c>
    </row>
    <row r="88" customFormat="false" ht="15" hidden="false" customHeight="false" outlineLevel="0" collapsed="false">
      <c r="A88" s="38" t="s">
        <v>803</v>
      </c>
      <c r="B88" s="9" t="s">
        <v>95</v>
      </c>
      <c r="C88" s="53" t="n">
        <f aca="false">C73+C87</f>
        <v>-66380</v>
      </c>
      <c r="D88" s="53" t="n">
        <f aca="false">D73+D87</f>
        <v>-149026.890739751</v>
      </c>
      <c r="E88" s="53" t="n">
        <f aca="false">E73+E87</f>
        <v>-104467.903023698</v>
      </c>
      <c r="F88" s="53" t="n">
        <f aca="false">F73+F87</f>
        <v>-100785.710983587</v>
      </c>
      <c r="G88" s="53" t="n">
        <f aca="false">G73+G87</f>
        <v>-90283.3395153297</v>
      </c>
      <c r="H88" s="53" t="n">
        <f aca="false">H73+H87</f>
        <v>-86932.2576327547</v>
      </c>
      <c r="I88" s="53" t="n">
        <f aca="false">I73+I87</f>
        <v>-82476.4065705587</v>
      </c>
      <c r="J88" s="53" t="n">
        <f aca="false">J73+J87</f>
        <v>-78562.8033421622</v>
      </c>
      <c r="K88" s="53" t="n">
        <f aca="false">K73+K87</f>
        <v>-74742.5575152049</v>
      </c>
      <c r="L88" s="53" t="n">
        <f aca="false">L73+L87</f>
        <v>-70991.5339352598</v>
      </c>
      <c r="M88" s="53" t="n">
        <f aca="false">M73+M87</f>
        <v>-67285.7774098624</v>
      </c>
      <c r="N88" s="53" t="n">
        <f aca="false">N73+N87</f>
        <v>-63601.3277037339</v>
      </c>
      <c r="O88" s="53" t="n">
        <f aca="false">O73+O87</f>
        <v>-76914.0337538698</v>
      </c>
      <c r="P88" s="53" t="n">
        <f aca="false">P73+P87</f>
        <v>-73199.3653530022</v>
      </c>
      <c r="Q88" s="53" t="n">
        <f aca="false">Q73+Q87</f>
        <v>-69432.2207263928</v>
      </c>
      <c r="R88" s="53" t="n">
        <f aca="false">R73+R87</f>
        <v>-65586.7284185413</v>
      </c>
      <c r="S88" s="53" t="n">
        <f aca="false">S73+S87</f>
        <v>-61636.0418731846</v>
      </c>
      <c r="T88" s="53" t="n">
        <f aca="false">T73+T87</f>
        <v>-57552.1250438719</v>
      </c>
      <c r="U88" s="53" t="n">
        <f aca="false">U73+U87</f>
        <v>-53305.5273147327</v>
      </c>
      <c r="V88" s="53" t="n">
        <f aca="false">V73+V87</f>
        <v>-49930.0676238944</v>
      </c>
      <c r="W88" s="53" t="n">
        <f aca="false">W73+W87</f>
        <v>-46632.7984150661</v>
      </c>
      <c r="X88" s="53" t="n">
        <f aca="false">X73+X87</f>
        <v>-43040.1276405632</v>
      </c>
      <c r="Y88" s="53" t="n">
        <f aca="false">Y73+Y87</f>
        <v>-39107.2696872553</v>
      </c>
      <c r="Z88" s="53" t="n">
        <f aca="false">Z73+Z87</f>
        <v>-34799.8493278412</v>
      </c>
      <c r="AA88" s="53" t="n">
        <f aca="false">AA73+AA87</f>
        <v>-60083.5535545515</v>
      </c>
      <c r="AB88" s="53" t="n">
        <f aca="false">AB73+AB87</f>
        <v>-55055.4625409846</v>
      </c>
      <c r="AC88" s="53" t="n">
        <f aca="false">AC73+AC87</f>
        <v>-49678.1125973314</v>
      </c>
      <c r="AD88" s="53" t="n">
        <f aca="false">AD73+AD87</f>
        <v>-43865.8534204025</v>
      </c>
      <c r="AE88" s="53" t="n">
        <f aca="false">AE73+AE87</f>
        <v>-37596.7734359404</v>
      </c>
      <c r="AF88" s="53" t="n">
        <f aca="false">AF73+AF87</f>
        <v>-30832.1373020991</v>
      </c>
      <c r="AG88" s="53" t="n">
        <f aca="false">AG73+AG87</f>
        <v>-23529.7746378274</v>
      </c>
      <c r="AH88" s="53" t="n">
        <f aca="false">AH73+AH87</f>
        <v>-15643.8573043977</v>
      </c>
      <c r="AI88" s="53" t="n">
        <f aca="false">AI73+AI87</f>
        <v>-7258.44529800117</v>
      </c>
      <c r="AJ88" s="53" t="n">
        <f aca="false">AJ73+AJ87</f>
        <v>1747.71135293006</v>
      </c>
      <c r="AK88" s="53" t="n">
        <f aca="false">AK73+AK87</f>
        <v>11483.67528098</v>
      </c>
      <c r="AL88" s="53" t="n">
        <f aca="false">AL73+AL87</f>
        <v>22011.5952245765</v>
      </c>
      <c r="AM88" s="53" t="n">
        <f aca="false">SUM(C88:AL88)</f>
        <v>-1994973.65178317</v>
      </c>
    </row>
    <row r="89" customFormat="false" ht="15" hidden="false" customHeight="false" outlineLevel="0" collapsed="false">
      <c r="A89" s="38" t="s">
        <v>804</v>
      </c>
      <c r="B89" s="9" t="s">
        <v>59</v>
      </c>
      <c r="C89" s="52" t="n">
        <f aca="false">IFERROR(C88/C72,0)</f>
        <v>0</v>
      </c>
      <c r="D89" s="52" t="n">
        <f aca="false">IFERROR(D88/D72,0)</f>
        <v>-9.13286019339131</v>
      </c>
      <c r="E89" s="52" t="n">
        <f aca="false">IFERROR(E88/E72,0)</f>
        <v>-4.37694580355401</v>
      </c>
      <c r="F89" s="52" t="n">
        <f aca="false">IFERROR(F88/F72,0)</f>
        <v>-3.36335654335898</v>
      </c>
      <c r="G89" s="52" t="n">
        <f aca="false">IFERROR(G88/G72,0)</f>
        <v>-2.52427392770327</v>
      </c>
      <c r="H89" s="52" t="n">
        <f aca="false">IFERROR(H88/H72,0)</f>
        <v>-2.10409418216252</v>
      </c>
      <c r="I89" s="52" t="n">
        <f aca="false">IFERROR(I88/I72,0)</f>
        <v>-1.6708573740629</v>
      </c>
      <c r="J89" s="52" t="n">
        <f aca="false">IFERROR(J88/J72,0)</f>
        <v>-1.3978987471562</v>
      </c>
      <c r="K89" s="52" t="n">
        <f aca="false">IFERROR(K88/K72,0)</f>
        <v>-1.18852815982084</v>
      </c>
      <c r="L89" s="52" t="n">
        <f aca="false">IFERROR(L88/L72,0)</f>
        <v>-1.0220107593243</v>
      </c>
      <c r="M89" s="52" t="n">
        <f aca="false">IFERROR(M88/M72,0)</f>
        <v>-0.88567602977728</v>
      </c>
      <c r="N89" s="52" t="n">
        <f aca="false">IFERROR(N88/N72,0)</f>
        <v>-0.771347980341964</v>
      </c>
      <c r="O89" s="52" t="n">
        <f aca="false">IFERROR(O88/O72,0)</f>
        <v>-0.864622665983051</v>
      </c>
      <c r="P89" s="52" t="n">
        <f aca="false">IFERROR(P88/P72,0)</f>
        <v>-0.76631762928872</v>
      </c>
      <c r="Q89" s="52" t="n">
        <f aca="false">IFERROR(Q88/Q72,0)</f>
        <v>-0.679427400962044</v>
      </c>
      <c r="R89" s="52" t="n">
        <f aca="false">IFERROR(R88/R72,0)</f>
        <v>-0.601617707515225</v>
      </c>
      <c r="S89" s="52" t="n">
        <f aca="false">IFERROR(S88/S72,0)</f>
        <v>-0.531141971093635</v>
      </c>
      <c r="T89" s="52" t="n">
        <f aca="false">IFERROR(T88/T72,0)</f>
        <v>-0.466673344040201</v>
      </c>
      <c r="U89" s="52" t="n">
        <f aca="false">IFERROR(U88/U72,0)</f>
        <v>-0.407191701945106</v>
      </c>
      <c r="V89" s="52" t="n">
        <f aca="false">IFERROR(V88/V72,0)</f>
        <v>-0.357995054553616</v>
      </c>
      <c r="W89" s="52" t="n">
        <f aca="false">IFERROR(W88/W72,0)</f>
        <v>-0.312899034812019</v>
      </c>
      <c r="X89" s="52" t="n">
        <f aca="false">IFERROR(X88/X72,0)</f>
        <v>-0.269730514331728</v>
      </c>
      <c r="Y89" s="52" t="n">
        <f aca="false">IFERROR(Y88/Y72,0)</f>
        <v>-0.228513614597586</v>
      </c>
      <c r="Z89" s="52" t="n">
        <f aca="false">IFERROR(Z88/Z72,0)</f>
        <v>-0.189294801365907</v>
      </c>
      <c r="AA89" s="52" t="n">
        <f aca="false">IFERROR(AA88/AA72,0)</f>
        <v>-0.30379454887047</v>
      </c>
      <c r="AB89" s="52" t="n">
        <f aca="false">IFERROR(AB88/AB72,0)</f>
        <v>-0.258755997627146</v>
      </c>
      <c r="AC89" s="52" t="n">
        <f aca="false">IFERROR(AC88/AC72,0)</f>
        <v>-0.217127534441954</v>
      </c>
      <c r="AD89" s="52" t="n">
        <f aca="false">IFERROR(AD88/AD72,0)</f>
        <v>-0.178300364833551</v>
      </c>
      <c r="AE89" s="52" t="n">
        <f aca="false">IFERROR(AE88/AE72,0)</f>
        <v>-0.142112806330584</v>
      </c>
      <c r="AF89" s="52" t="n">
        <f aca="false">IFERROR(AF88/AF72,0)</f>
        <v>-0.108367433235215</v>
      </c>
      <c r="AG89" s="52" t="n">
        <f aca="false">IFERROR(AG88/AG72,0)</f>
        <v>-0.0768884038973685</v>
      </c>
      <c r="AH89" s="52" t="n">
        <f aca="false">IFERROR(AH88/AH72,0)</f>
        <v>-0.0475175596533351</v>
      </c>
      <c r="AI89" s="52" t="n">
        <f aca="false">IFERROR(AI88/AI72,0)</f>
        <v>-0.0204893208737474</v>
      </c>
      <c r="AJ89" s="52" t="n">
        <f aca="false">IFERROR(AJ88/AJ72,0)</f>
        <v>0.00458378011464865</v>
      </c>
      <c r="AK89" s="52" t="n">
        <f aca="false">IFERROR(AK88/AK72,0)</f>
        <v>0.0279765300337091</v>
      </c>
      <c r="AL89" s="52" t="n">
        <f aca="false">IFERROR(AL88/AL72,0)</f>
        <v>0.0497973689138484</v>
      </c>
      <c r="AM89" s="52" t="n">
        <f aca="false">AVERAGE(N89:AL89)</f>
        <v>-0.308710788461279</v>
      </c>
    </row>
    <row r="90" customFormat="false" ht="15" hidden="false" customHeight="false" outlineLevel="0" collapsed="false">
      <c r="A90" s="10" t="s">
        <v>805</v>
      </c>
      <c r="B90" s="9" t="s">
        <v>95</v>
      </c>
      <c r="C90" s="70" t="n">
        <f aca="false">-C43*Assumptions!$G$102</f>
        <v>0</v>
      </c>
      <c r="D90" s="70" t="n">
        <f aca="false">-D43*Assumptions!$G$102</f>
        <v>8747.61056474989</v>
      </c>
      <c r="E90" s="70" t="n">
        <f aca="false">-E43*Assumptions!$G$102</f>
        <v>12795.0891886201</v>
      </c>
      <c r="F90" s="70" t="n">
        <f aca="false">-F43*Assumptions!$G$102</f>
        <v>16064.1468171049</v>
      </c>
      <c r="G90" s="70" t="n">
        <f aca="false">-G43*Assumptions!$G$102</f>
        <v>19173.5593739119</v>
      </c>
      <c r="H90" s="70" t="n">
        <f aca="false">-H43*Assumptions!$G$102</f>
        <v>22148.6567269495</v>
      </c>
      <c r="I90" s="70" t="n">
        <f aca="false">-I43*Assumptions!$G$102</f>
        <v>25006.8955755336</v>
      </c>
      <c r="J90" s="70" t="n">
        <f aca="false">-J43*Assumptions!$G$102</f>
        <v>27764.7149536665</v>
      </c>
      <c r="K90" s="70" t="n">
        <f aca="false">-K43*Assumptions!$G$102</f>
        <v>30438.1078957516</v>
      </c>
      <c r="L90" s="70" t="n">
        <f aca="false">-L43*Assumptions!$G$102</f>
        <v>33042.7503679635</v>
      </c>
      <c r="M90" s="70" t="n">
        <f aca="false">-M43*Assumptions!$G$102</f>
        <v>35594.0978414385</v>
      </c>
      <c r="N90" s="70" t="n">
        <f aca="false">-N43*Assumptions!$G$102</f>
        <v>38107.4794354552</v>
      </c>
      <c r="O90" s="70" t="n">
        <f aca="false">-O43*Assumptions!$G$102</f>
        <v>40598.1923117243</v>
      </c>
      <c r="P90" s="70" t="n">
        <f aca="false">-P43*Assumptions!$G$102</f>
        <v>43081.5970543631</v>
      </c>
      <c r="Q90" s="70" t="n">
        <f aca="false">-Q43*Assumptions!$G$102</f>
        <v>45573.2146406649</v>
      </c>
      <c r="R90" s="70" t="n">
        <f aca="false">-R43*Assumptions!$G$102</f>
        <v>48088.825611287</v>
      </c>
      <c r="S90" s="70" t="n">
        <f aca="false">-S43*Assumptions!$G$102</f>
        <v>50644.5720641547</v>
      </c>
      <c r="T90" s="70" t="n">
        <f aca="false">-T43*Assumptions!$G$102</f>
        <v>53257.0631153969</v>
      </c>
      <c r="U90" s="70" t="n">
        <f aca="false">-U43*Assumptions!$G$102</f>
        <v>55943.4844920981</v>
      </c>
      <c r="V90" s="70" t="n">
        <f aca="false">-V43*Assumptions!$G$102</f>
        <v>58990.6917068482</v>
      </c>
      <c r="W90" s="70" t="n">
        <f aca="false">-W43*Assumptions!$G$102</f>
        <v>62386.7552850199</v>
      </c>
      <c r="X90" s="70" t="n">
        <f aca="false">-X43*Assumptions!$G$102</f>
        <v>66100.665993368</v>
      </c>
      <c r="Y90" s="70" t="n">
        <f aca="false">-Y43*Assumptions!$G$102</f>
        <v>70149.7574801352</v>
      </c>
      <c r="Z90" s="70" t="n">
        <f aca="false">-Z43*Assumptions!$G$102</f>
        <v>74561.2619069135</v>
      </c>
      <c r="AA90" s="70" t="n">
        <f aca="false">-AA43*Assumptions!$G$102</f>
        <v>79365.5728993083</v>
      </c>
      <c r="AB90" s="70" t="n">
        <f aca="false">-AB43*Assumptions!$G$102</f>
        <v>84595.7115769663</v>
      </c>
      <c r="AC90" s="70" t="n">
        <f aca="false">-AC43*Assumptions!$G$102</f>
        <v>90275.6505460627</v>
      </c>
      <c r="AD90" s="70" t="n">
        <f aca="false">-AD43*Assumptions!$G$102</f>
        <v>96433.5683161399</v>
      </c>
      <c r="AE90" s="70" t="n">
        <f aca="false">-AE43*Assumptions!$G$102</f>
        <v>103106.789308495</v>
      </c>
      <c r="AF90" s="70" t="n">
        <f aca="false">-AF43*Assumptions!$G$102</f>
        <v>110335.274839325</v>
      </c>
      <c r="AG90" s="70" t="n">
        <f aca="false">-AG43*Assumptions!$G$102</f>
        <v>118162.525050549</v>
      </c>
      <c r="AH90" s="70" t="n">
        <f aca="false">-AH43*Assumptions!$G$102</f>
        <v>126636.051638139</v>
      </c>
      <c r="AI90" s="70" t="n">
        <f aca="false">-AI43*Assumptions!$G$102</f>
        <v>135807.705756445</v>
      </c>
      <c r="AJ90" s="70" t="n">
        <f aca="false">-AJ43*Assumptions!$G$102</f>
        <v>145734.022482637</v>
      </c>
      <c r="AK90" s="70" t="n">
        <f aca="false">-AK43*Assumptions!$G$102</f>
        <v>156476.596510785</v>
      </c>
      <c r="AL90" s="70" t="n">
        <f aca="false">-AL43*Assumptions!$G$102</f>
        <v>168102.493616423</v>
      </c>
      <c r="AM90" s="70" t="n">
        <f aca="false">AL90</f>
        <v>168102.493616423</v>
      </c>
    </row>
    <row r="91" customFormat="false" ht="15" hidden="false" customHeight="false" outlineLevel="0" collapsed="false">
      <c r="A91" s="10" t="s">
        <v>806</v>
      </c>
      <c r="B91" s="9" t="s">
        <v>95</v>
      </c>
      <c r="C91" s="70" t="n">
        <f aca="false">-C90</f>
        <v>-0</v>
      </c>
      <c r="D91" s="70" t="n">
        <f aca="false">-(D90-C90)</f>
        <v>-8747.61056474989</v>
      </c>
      <c r="E91" s="70" t="n">
        <f aca="false">-(E90-D90)</f>
        <v>-4047.47862387017</v>
      </c>
      <c r="F91" s="70" t="n">
        <f aca="false">-(F90-E90)</f>
        <v>-3269.05762848485</v>
      </c>
      <c r="G91" s="70" t="n">
        <f aca="false">-(G90-F90)</f>
        <v>-3109.41255680702</v>
      </c>
      <c r="H91" s="70" t="n">
        <f aca="false">-(H90-G90)</f>
        <v>-2975.09735303753</v>
      </c>
      <c r="I91" s="70" t="n">
        <f aca="false">-(I90-H90)</f>
        <v>-2858.23884858418</v>
      </c>
      <c r="J91" s="70" t="n">
        <f aca="false">-(J90-I90)</f>
        <v>-2757.81937813291</v>
      </c>
      <c r="K91" s="70" t="n">
        <f aca="false">-(K90-J90)</f>
        <v>-2673.39294208506</v>
      </c>
      <c r="L91" s="70" t="n">
        <f aca="false">-(L90-K90)</f>
        <v>-2604.64247221185</v>
      </c>
      <c r="M91" s="70" t="n">
        <f aca="false">-(M90-L90)</f>
        <v>-2551.34747347506</v>
      </c>
      <c r="N91" s="70" t="n">
        <f aca="false">-(N90-M90)</f>
        <v>-2513.38159401668</v>
      </c>
      <c r="O91" s="70" t="n">
        <f aca="false">-(O90-N90)</f>
        <v>-2490.71287626908</v>
      </c>
      <c r="P91" s="70" t="n">
        <f aca="false">-(P90-O90)</f>
        <v>-2483.40474263878</v>
      </c>
      <c r="Q91" s="70" t="n">
        <f aca="false">-(Q90-P90)</f>
        <v>-2491.61758630187</v>
      </c>
      <c r="R91" s="70" t="n">
        <f aca="false">-(R90-Q90)</f>
        <v>-2515.61097062212</v>
      </c>
      <c r="S91" s="70" t="n">
        <f aca="false">-(S90-R90)</f>
        <v>-2555.74645286763</v>
      </c>
      <c r="T91" s="70" t="n">
        <f aca="false">-(T90-S90)</f>
        <v>-2612.49105124227</v>
      </c>
      <c r="U91" s="70" t="n">
        <f aca="false">-(U90-T90)</f>
        <v>-2686.42137670112</v>
      </c>
      <c r="V91" s="70" t="n">
        <f aca="false">-(V90-U90)</f>
        <v>-3047.20721475019</v>
      </c>
      <c r="W91" s="70" t="n">
        <f aca="false">-(W90-V90)</f>
        <v>-3396.06357817166</v>
      </c>
      <c r="X91" s="70" t="n">
        <f aca="false">-(X90-W90)</f>
        <v>-3713.91070834805</v>
      </c>
      <c r="Y91" s="70" t="n">
        <f aca="false">-(Y90-X90)</f>
        <v>-4049.09148676727</v>
      </c>
      <c r="Z91" s="70" t="n">
        <f aca="false">-(Z90-Y90)</f>
        <v>-4411.50442677828</v>
      </c>
      <c r="AA91" s="70" t="n">
        <f aca="false">-(AA90-Z90)</f>
        <v>-4804.31099239484</v>
      </c>
      <c r="AB91" s="70" t="n">
        <f aca="false">-(AB90-AA90)</f>
        <v>-5230.13867765799</v>
      </c>
      <c r="AC91" s="70" t="n">
        <f aca="false">-(AC90-AB90)</f>
        <v>-5679.93896909634</v>
      </c>
      <c r="AD91" s="70" t="n">
        <f aca="false">-(AD90-AC90)</f>
        <v>-6157.9177700772</v>
      </c>
      <c r="AE91" s="70" t="n">
        <f aca="false">-(AE90-AD90)</f>
        <v>-6673.2209923551</v>
      </c>
      <c r="AF91" s="70" t="n">
        <f aca="false">-(AF90-AE90)</f>
        <v>-7228.4855308296</v>
      </c>
      <c r="AG91" s="70" t="n">
        <f aca="false">-(AG90-AF90)</f>
        <v>-7827.25021122395</v>
      </c>
      <c r="AH91" s="70" t="n">
        <f aca="false">-(AH90-AG90)</f>
        <v>-8473.52658759008</v>
      </c>
      <c r="AI91" s="70" t="n">
        <f aca="false">-(AI90-AH90)</f>
        <v>-9171.65411830672</v>
      </c>
      <c r="AJ91" s="70" t="n">
        <f aca="false">-(AJ90-AI90)</f>
        <v>-9926.31672619149</v>
      </c>
      <c r="AK91" s="70" t="n">
        <f aca="false">-(AK90-AJ90)</f>
        <v>-10742.5740281485</v>
      </c>
      <c r="AL91" s="70" t="n">
        <f aca="false">-(AL90-AK90)</f>
        <v>-11625.8971056374</v>
      </c>
      <c r="AM91" s="70" t="n">
        <f aca="false">SUM(C91:AL91)</f>
        <v>-168102.493616423</v>
      </c>
    </row>
    <row r="92" customFormat="false" ht="15" hidden="false" customHeight="false" outlineLevel="0" collapsed="false">
      <c r="A92" s="10" t="s">
        <v>807</v>
      </c>
      <c r="B92" s="9" t="s">
        <v>95</v>
      </c>
      <c r="C92" s="70" t="n">
        <f aca="false">C88+C91</f>
        <v>-66380</v>
      </c>
      <c r="D92" s="70" t="n">
        <f aca="false">D88+D91</f>
        <v>-157774.501304501</v>
      </c>
      <c r="E92" s="70" t="n">
        <f aca="false">E88+E91</f>
        <v>-108515.381647568</v>
      </c>
      <c r="F92" s="70" t="n">
        <f aca="false">F88+F91</f>
        <v>-104054.768612072</v>
      </c>
      <c r="G92" s="70" t="n">
        <f aca="false">G88+G91</f>
        <v>-93392.7520721367</v>
      </c>
      <c r="H92" s="70" t="n">
        <f aca="false">H88+H91</f>
        <v>-89907.3549857922</v>
      </c>
      <c r="I92" s="70" t="n">
        <f aca="false">I88+I91</f>
        <v>-85334.6454191429</v>
      </c>
      <c r="J92" s="70" t="n">
        <f aca="false">J88+J91</f>
        <v>-81320.6227202951</v>
      </c>
      <c r="K92" s="70" t="n">
        <f aca="false">K88+K91</f>
        <v>-77415.95045729</v>
      </c>
      <c r="L92" s="70" t="n">
        <f aca="false">L88+L91</f>
        <v>-73596.1764074717</v>
      </c>
      <c r="M92" s="70" t="n">
        <f aca="false">M88+M91</f>
        <v>-69837.1248833374</v>
      </c>
      <c r="N92" s="70" t="n">
        <f aca="false">N88+N91</f>
        <v>-66114.7092977506</v>
      </c>
      <c r="O92" s="70" t="n">
        <f aca="false">O88+O91</f>
        <v>-79404.7466301388</v>
      </c>
      <c r="P92" s="70" t="n">
        <f aca="false">P88+P91</f>
        <v>-75682.770095641</v>
      </c>
      <c r="Q92" s="70" t="n">
        <f aca="false">Q88+Q91</f>
        <v>-71923.8383126947</v>
      </c>
      <c r="R92" s="70" t="n">
        <f aca="false">R88+R91</f>
        <v>-68102.3393891634</v>
      </c>
      <c r="S92" s="70" t="n">
        <f aca="false">S88+S91</f>
        <v>-64191.7883260522</v>
      </c>
      <c r="T92" s="70" t="n">
        <f aca="false">T88+T91</f>
        <v>-60164.6160951142</v>
      </c>
      <c r="U92" s="70" t="n">
        <f aca="false">U88+U91</f>
        <v>-55991.9486914338</v>
      </c>
      <c r="V92" s="70" t="n">
        <f aca="false">V88+V91</f>
        <v>-52977.2748386445</v>
      </c>
      <c r="W92" s="70" t="n">
        <f aca="false">W88+W91</f>
        <v>-50028.8619932378</v>
      </c>
      <c r="X92" s="70" t="n">
        <f aca="false">X88+X91</f>
        <v>-46754.0383489113</v>
      </c>
      <c r="Y92" s="70" t="n">
        <f aca="false">Y88+Y91</f>
        <v>-43156.3611740226</v>
      </c>
      <c r="Z92" s="70" t="n">
        <f aca="false">Z88+Z91</f>
        <v>-39211.3537546194</v>
      </c>
      <c r="AA92" s="70" t="n">
        <f aca="false">AA88+AA91</f>
        <v>-64887.8645469463</v>
      </c>
      <c r="AB92" s="70" t="n">
        <f aca="false">AB88+AB91</f>
        <v>-60285.6012186426</v>
      </c>
      <c r="AC92" s="70" t="n">
        <f aca="false">AC88+AC91</f>
        <v>-55358.0515664277</v>
      </c>
      <c r="AD92" s="70" t="n">
        <f aca="false">AD88+AD91</f>
        <v>-50023.7711904797</v>
      </c>
      <c r="AE92" s="70" t="n">
        <f aca="false">AE88+AE91</f>
        <v>-44269.9944282955</v>
      </c>
      <c r="AF92" s="70" t="n">
        <f aca="false">AF88+AF91</f>
        <v>-38060.6228329287</v>
      </c>
      <c r="AG92" s="70" t="n">
        <f aca="false">AG88+AG91</f>
        <v>-31357.0248490513</v>
      </c>
      <c r="AH92" s="70" t="n">
        <f aca="false">AH88+AH91</f>
        <v>-24117.3838919878</v>
      </c>
      <c r="AI92" s="70" t="n">
        <f aca="false">AI88+AI91</f>
        <v>-16430.0994163079</v>
      </c>
      <c r="AJ92" s="70" t="n">
        <f aca="false">AJ88+AJ91</f>
        <v>-8178.60537326144</v>
      </c>
      <c r="AK92" s="70" t="n">
        <f aca="false">AK88+AK91</f>
        <v>741.10125283146</v>
      </c>
      <c r="AL92" s="70" t="n">
        <f aca="false">AL88+AL91</f>
        <v>10385.698118939</v>
      </c>
      <c r="AM92" s="70" t="n">
        <f aca="false">SUM(C92:AL92)</f>
        <v>-2163076.14539959</v>
      </c>
    </row>
    <row r="93" customFormat="false" ht="15" hidden="false" customHeight="false" outlineLevel="0" collapsed="false">
      <c r="A93" s="38" t="s">
        <v>808</v>
      </c>
      <c r="B93" s="9" t="s">
        <v>95</v>
      </c>
      <c r="C93" s="53" t="n">
        <f aca="false">C92</f>
        <v>-66380</v>
      </c>
      <c r="D93" s="53" t="n">
        <f aca="false">C93+D92</f>
        <v>-224154.501304501</v>
      </c>
      <c r="E93" s="53" t="n">
        <f aca="false">D93+E92</f>
        <v>-332669.882952069</v>
      </c>
      <c r="F93" s="53" t="n">
        <f aca="false">E93+F92</f>
        <v>-436724.651564142</v>
      </c>
      <c r="G93" s="53" t="n">
        <f aca="false">F93+G92</f>
        <v>-530117.403636278</v>
      </c>
      <c r="H93" s="53" t="n">
        <f aca="false">G93+H92</f>
        <v>-620024.75862207</v>
      </c>
      <c r="I93" s="53" t="n">
        <f aca="false">H93+I92</f>
        <v>-705359.404041213</v>
      </c>
      <c r="J93" s="53" t="n">
        <f aca="false">I93+J92</f>
        <v>-786680.026761508</v>
      </c>
      <c r="K93" s="53" t="n">
        <f aca="false">J93+K92</f>
        <v>-864095.977218798</v>
      </c>
      <c r="L93" s="53" t="n">
        <f aca="false">K93+L92</f>
        <v>-937692.15362627</v>
      </c>
      <c r="M93" s="53" t="n">
        <f aca="false">L93+M92</f>
        <v>-1007529.27850961</v>
      </c>
      <c r="N93" s="53" t="n">
        <f aca="false">M93+N92</f>
        <v>-1073643.98780736</v>
      </c>
      <c r="O93" s="53" t="n">
        <f aca="false">N93+O92</f>
        <v>-1153048.7344375</v>
      </c>
      <c r="P93" s="53" t="n">
        <f aca="false">O93+P92</f>
        <v>-1228731.50453314</v>
      </c>
      <c r="Q93" s="53" t="n">
        <f aca="false">P93+Q92</f>
        <v>-1300655.34284583</v>
      </c>
      <c r="R93" s="53" t="n">
        <f aca="false">Q93+R92</f>
        <v>-1368757.682235</v>
      </c>
      <c r="S93" s="53" t="n">
        <f aca="false">R93+S92</f>
        <v>-1432949.47056105</v>
      </c>
      <c r="T93" s="53" t="n">
        <f aca="false">S93+T92</f>
        <v>-1493114.08665616</v>
      </c>
      <c r="U93" s="53" t="n">
        <f aca="false">T93+U92</f>
        <v>-1549106.0353476</v>
      </c>
      <c r="V93" s="53" t="n">
        <f aca="false">U93+V92</f>
        <v>-1602083.31018624</v>
      </c>
      <c r="W93" s="53" t="n">
        <f aca="false">V93+W92</f>
        <v>-1652112.17217948</v>
      </c>
      <c r="X93" s="53" t="n">
        <f aca="false">W93+X92</f>
        <v>-1698866.21052839</v>
      </c>
      <c r="Y93" s="53" t="n">
        <f aca="false">X93+Y92</f>
        <v>-1742022.57170241</v>
      </c>
      <c r="Z93" s="53" t="n">
        <f aca="false">Y93+Z92</f>
        <v>-1781233.92545703</v>
      </c>
      <c r="AA93" s="53" t="n">
        <f aca="false">Z93+AA92</f>
        <v>-1846121.79000398</v>
      </c>
      <c r="AB93" s="53" t="n">
        <f aca="false">AA93+AB92</f>
        <v>-1906407.39122262</v>
      </c>
      <c r="AC93" s="53" t="n">
        <f aca="false">AB93+AC92</f>
        <v>-1961765.44278905</v>
      </c>
      <c r="AD93" s="53" t="n">
        <f aca="false">AC93+AD92</f>
        <v>-2011789.21397953</v>
      </c>
      <c r="AE93" s="53" t="n">
        <f aca="false">AD93+AE92</f>
        <v>-2056059.20840782</v>
      </c>
      <c r="AF93" s="53" t="n">
        <f aca="false">AE93+AF92</f>
        <v>-2094119.83124075</v>
      </c>
      <c r="AG93" s="53" t="n">
        <f aca="false">AF93+AG92</f>
        <v>-2125476.8560898</v>
      </c>
      <c r="AH93" s="53" t="n">
        <f aca="false">AG93+AH92</f>
        <v>-2149594.23998179</v>
      </c>
      <c r="AI93" s="53" t="n">
        <f aca="false">AH93+AI92</f>
        <v>-2166024.3393981</v>
      </c>
      <c r="AJ93" s="53" t="n">
        <f aca="false">AI93+AJ92</f>
        <v>-2174202.94477136</v>
      </c>
      <c r="AK93" s="53" t="n">
        <f aca="false">AJ93+AK92</f>
        <v>-2173461.84351853</v>
      </c>
      <c r="AL93" s="53" t="n">
        <f aca="false">AK93+AL92</f>
        <v>-2163076.14539959</v>
      </c>
      <c r="AM93" s="53" t="n">
        <f aca="false">AL93</f>
        <v>-2163076.14539959</v>
      </c>
    </row>
    <row r="94" customFormat="false" ht="15" hidden="false" customHeight="false" outlineLevel="0" collapsed="false">
      <c r="A94" s="10" t="s">
        <v>809</v>
      </c>
      <c r="B94" s="9" t="s">
        <v>49</v>
      </c>
      <c r="C94" s="69" t="n">
        <f aca="false">IF(C88&gt;0,C$5,999)</f>
        <v>999</v>
      </c>
      <c r="D94" s="69" t="n">
        <f aca="false">IF(D88&gt;0,D$5,999)</f>
        <v>999</v>
      </c>
      <c r="E94" s="69" t="n">
        <f aca="false">IF(E88&gt;0,E$5,999)</f>
        <v>999</v>
      </c>
      <c r="F94" s="69" t="n">
        <f aca="false">IF(F88&gt;0,F$5,999)</f>
        <v>999</v>
      </c>
      <c r="G94" s="69" t="n">
        <f aca="false">IF(G88&gt;0,G$5,999)</f>
        <v>999</v>
      </c>
      <c r="H94" s="69" t="n">
        <f aca="false">IF(H88&gt;0,H$5,999)</f>
        <v>999</v>
      </c>
      <c r="I94" s="69" t="n">
        <f aca="false">IF(I88&gt;0,I$5,999)</f>
        <v>999</v>
      </c>
      <c r="J94" s="69" t="n">
        <f aca="false">IF(J88&gt;0,J$5,999)</f>
        <v>999</v>
      </c>
      <c r="K94" s="69" t="n">
        <f aca="false">IF(K88&gt;0,K$5,999)</f>
        <v>999</v>
      </c>
      <c r="L94" s="69" t="n">
        <f aca="false">IF(L88&gt;0,L$5,999)</f>
        <v>999</v>
      </c>
      <c r="M94" s="69" t="n">
        <f aca="false">IF(M88&gt;0,M$5,999)</f>
        <v>999</v>
      </c>
      <c r="N94" s="69" t="n">
        <f aca="false">IF(N88&gt;0,N$5,999)</f>
        <v>999</v>
      </c>
      <c r="O94" s="69" t="n">
        <f aca="false">IF(O88&gt;0,O$5,999)</f>
        <v>999</v>
      </c>
      <c r="P94" s="69" t="n">
        <f aca="false">IF(P88&gt;0,P$5,999)</f>
        <v>999</v>
      </c>
      <c r="Q94" s="69" t="n">
        <f aca="false">IF(Q88&gt;0,Q$5,999)</f>
        <v>999</v>
      </c>
      <c r="R94" s="69" t="n">
        <f aca="false">IF(R88&gt;0,R$5,999)</f>
        <v>999</v>
      </c>
      <c r="S94" s="69" t="n">
        <f aca="false">IF(S88&gt;0,S$5,999)</f>
        <v>999</v>
      </c>
      <c r="T94" s="69" t="n">
        <f aca="false">IF(T88&gt;0,T$5,999)</f>
        <v>999</v>
      </c>
      <c r="U94" s="69" t="n">
        <f aca="false">IF(U88&gt;0,U$5,999)</f>
        <v>999</v>
      </c>
      <c r="V94" s="69" t="n">
        <f aca="false">IF(V88&gt;0,V$5,999)</f>
        <v>999</v>
      </c>
      <c r="W94" s="69" t="n">
        <f aca="false">IF(W88&gt;0,W$5,999)</f>
        <v>999</v>
      </c>
      <c r="X94" s="69" t="n">
        <f aca="false">IF(X88&gt;0,X$5,999)</f>
        <v>999</v>
      </c>
      <c r="Y94" s="69" t="n">
        <f aca="false">IF(Y88&gt;0,Y$5,999)</f>
        <v>999</v>
      </c>
      <c r="Z94" s="69" t="n">
        <f aca="false">IF(Z88&gt;0,Z$5,999)</f>
        <v>999</v>
      </c>
      <c r="AA94" s="69" t="n">
        <f aca="false">IF(AA88&gt;0,AA$5,999)</f>
        <v>999</v>
      </c>
      <c r="AB94" s="69" t="n">
        <f aca="false">IF(AB88&gt;0,AB$5,999)</f>
        <v>999</v>
      </c>
      <c r="AC94" s="69" t="n">
        <f aca="false">IF(AC88&gt;0,AC$5,999)</f>
        <v>999</v>
      </c>
      <c r="AD94" s="69" t="n">
        <f aca="false">IF(AD88&gt;0,AD$5,999)</f>
        <v>999</v>
      </c>
      <c r="AE94" s="69" t="n">
        <f aca="false">IF(AE88&gt;0,AE$5,999)</f>
        <v>999</v>
      </c>
      <c r="AF94" s="69" t="n">
        <f aca="false">IF(AF88&gt;0,AF$5,999)</f>
        <v>999</v>
      </c>
      <c r="AG94" s="69" t="n">
        <f aca="false">IF(AG88&gt;0,AG$5,999)</f>
        <v>999</v>
      </c>
      <c r="AH94" s="69" t="n">
        <f aca="false">IF(AH88&gt;0,AH$5,999)</f>
        <v>999</v>
      </c>
      <c r="AI94" s="69" t="n">
        <f aca="false">IF(AI88&gt;0,AI$5,999)</f>
        <v>999</v>
      </c>
      <c r="AJ94" s="69" t="n">
        <f aca="false">IF(AJ88&gt;0,AJ$5,999)</f>
        <v>34</v>
      </c>
      <c r="AK94" s="69" t="n">
        <f aca="false">IF(AK88&gt;0,AK$5,999)</f>
        <v>35</v>
      </c>
      <c r="AL94" s="69" t="n">
        <f aca="false">IF(AL88&gt;0,AL$5,999)</f>
        <v>36</v>
      </c>
      <c r="AM94" s="69"/>
    </row>
    <row r="95" customFormat="false" ht="15" hidden="false" customHeight="false" outlineLevel="0" collapsed="false">
      <c r="A95" s="10" t="s">
        <v>810</v>
      </c>
      <c r="B95" s="9" t="s">
        <v>49</v>
      </c>
      <c r="C95" s="61" t="n">
        <f aca="false">C32+C56</f>
        <v>0</v>
      </c>
      <c r="D95" s="61" t="n">
        <f aca="false">D32+D56</f>
        <v>215.670871911979</v>
      </c>
      <c r="E95" s="61" t="n">
        <f aca="false">E32+E56</f>
        <v>220.996936914685</v>
      </c>
      <c r="F95" s="61" t="n">
        <f aca="false">F32+F56</f>
        <v>224.648693360265</v>
      </c>
      <c r="G95" s="61" t="n">
        <f aca="false">G32+G56</f>
        <v>228.478113667532</v>
      </c>
      <c r="H95" s="61" t="n">
        <f aca="false">H32+H56</f>
        <v>232.641157608761</v>
      </c>
      <c r="I95" s="61" t="n">
        <f aca="false">I32+I56</f>
        <v>243.797407589193</v>
      </c>
      <c r="J95" s="61" t="n">
        <f aca="false">J32+J56</f>
        <v>249.404308108334</v>
      </c>
      <c r="K95" s="61" t="n">
        <f aca="false">K32+K56</f>
        <v>255.501559619242</v>
      </c>
      <c r="L95" s="61" t="n">
        <f aca="false">L32+L56</f>
        <v>262.134511521719</v>
      </c>
      <c r="M95" s="61" t="n">
        <f aca="false">M32+M56</f>
        <v>269.352691328219</v>
      </c>
      <c r="N95" s="61" t="n">
        <f aca="false">N32+N56</f>
        <v>277.210191855082</v>
      </c>
      <c r="O95" s="61" t="n">
        <f aca="false">O32+O56</f>
        <v>285.766089997173</v>
      </c>
      <c r="P95" s="61" t="n">
        <f aca="false">P32+P56</f>
        <v>295.084903160609</v>
      </c>
      <c r="Q95" s="61" t="n">
        <f aca="false">Q32+Q56</f>
        <v>305.237086894421</v>
      </c>
      <c r="R95" s="61" t="n">
        <f aca="false">R32+R56</f>
        <v>316.29957732443</v>
      </c>
      <c r="S95" s="61" t="n">
        <f aca="false">S32+S56</f>
        <v>328.356382255066</v>
      </c>
      <c r="T95" s="61" t="n">
        <f aca="false">T32+T56</f>
        <v>341.499225091552</v>
      </c>
      <c r="U95" s="61" t="n">
        <f aca="false">U32+U56</f>
        <v>355.828246029704</v>
      </c>
      <c r="V95" s="61" t="n">
        <f aca="false">V32+V56</f>
        <v>378.354995470407</v>
      </c>
      <c r="W95" s="61" t="n">
        <f aca="false">W32+W56</f>
        <v>405.455278355223</v>
      </c>
      <c r="X95" s="61" t="n">
        <f aca="false">X32+X56</f>
        <v>435.231087026049</v>
      </c>
      <c r="Y95" s="61" t="n">
        <f aca="false">Y32+Y56</f>
        <v>467.711817565105</v>
      </c>
      <c r="Z95" s="61" t="n">
        <f aca="false">Z32+Z56</f>
        <v>503.097558850281</v>
      </c>
      <c r="AA95" s="61" t="n">
        <f aca="false">AA32+AA56</f>
        <v>541.632834987743</v>
      </c>
      <c r="AB95" s="61" t="n">
        <f aca="false">AB32+AB56</f>
        <v>582.868344812827</v>
      </c>
      <c r="AC95" s="61" t="n">
        <f aca="false">AC32+AC56</f>
        <v>626.880244312308</v>
      </c>
      <c r="AD95" s="61" t="n">
        <f aca="false">AD32+AD56</f>
        <v>674.265210205266</v>
      </c>
      <c r="AE95" s="61" t="n">
        <f aca="false">AE32+AE56</f>
        <v>725.387924487258</v>
      </c>
      <c r="AF95" s="61" t="n">
        <f aca="false">AF32+AF56</f>
        <v>780.578456107403</v>
      </c>
      <c r="AG95" s="61" t="n">
        <f aca="false">AG32+AG56</f>
        <v>840.190298106523</v>
      </c>
      <c r="AH95" s="61" t="n">
        <f aca="false">AH32+AH56</f>
        <v>904.605456510853</v>
      </c>
      <c r="AI95" s="61" t="n">
        <f aca="false">AI32+AI56</f>
        <v>974.237654889295</v>
      </c>
      <c r="AJ95" s="61" t="n">
        <f aca="false">AJ32+AJ56</f>
        <v>1049.53525903942</v>
      </c>
      <c r="AK95" s="61" t="n">
        <f aca="false">AK32+AK56</f>
        <v>1130.98438647349</v>
      </c>
      <c r="AL95" s="61" t="n">
        <f aca="false">AL32+AL56</f>
        <v>1219.11227113133</v>
      </c>
      <c r="AM95" s="61" t="n">
        <f aca="false">SUM(C95:AL95)</f>
        <v>17148.0370325687</v>
      </c>
    </row>
    <row r="96" customFormat="false" ht="15" hidden="false" customHeight="false" outlineLevel="0" collapsed="false">
      <c r="A96" s="38" t="s">
        <v>811</v>
      </c>
      <c r="B96" s="9" t="s">
        <v>95</v>
      </c>
      <c r="C96" s="51" t="n">
        <f aca="false">IFERROR((C26-C82)/C95,0)</f>
        <v>0</v>
      </c>
      <c r="D96" s="51" t="n">
        <f aca="false">IFERROR((D26-D82)/D95,0)</f>
        <v>194.741179593048</v>
      </c>
      <c r="E96" s="51" t="n">
        <f aca="false">IFERROR((E26-E82)/E95,0)</f>
        <v>190.047882954206</v>
      </c>
      <c r="F96" s="51" t="n">
        <f aca="false">IFERROR((F26-F82)/F95,0)</f>
        <v>186.958576841778</v>
      </c>
      <c r="G96" s="51" t="n">
        <f aca="false">IFERROR((G26-G82)/G95,0)</f>
        <v>183.825047072631</v>
      </c>
      <c r="H96" s="51" t="n">
        <f aca="false">IFERROR((H26-H82)/H95,0)</f>
        <v>180.535552830392</v>
      </c>
      <c r="I96" s="51" t="n">
        <f aca="false">IFERROR((I26-I82)/I95,0)</f>
        <v>172.274186240616</v>
      </c>
      <c r="J96" s="51" t="n">
        <f aca="false">IFERROR((J26-J82)/J95,0)</f>
        <v>168.401261063046</v>
      </c>
      <c r="K96" s="51" t="n">
        <f aca="false">IFERROR((K26-K82)/K95,0)</f>
        <v>164.382558222306</v>
      </c>
      <c r="L96" s="51" t="n">
        <f aca="false">IFERROR((L26-L82)/L95,0)</f>
        <v>160.22308453849</v>
      </c>
      <c r="M96" s="51" t="n">
        <f aca="false">IFERROR((M26-M82)/M95,0)</f>
        <v>155.92938683067</v>
      </c>
      <c r="N96" s="51" t="n">
        <f aca="false">IFERROR((N26-N82)/N95,0)</f>
        <v>151.509580939061</v>
      </c>
      <c r="O96" s="51" t="n">
        <f aca="false">IFERROR((O26-O82)/O95,0)</f>
        <v>146.973351528222</v>
      </c>
      <c r="P96" s="51" t="n">
        <f aca="false">IFERROR((P26-P82)/P95,0)</f>
        <v>142.331917187712</v>
      </c>
      <c r="Q96" s="51" t="n">
        <f aca="false">IFERROR((Q26-Q82)/Q95,0)</f>
        <v>137.597958450336</v>
      </c>
      <c r="R96" s="51" t="n">
        <f aca="false">IFERROR((R26-R82)/R95,0)</f>
        <v>132.785507825451</v>
      </c>
      <c r="S96" s="51" t="n">
        <f aca="false">IFERROR((S26-S82)/S95,0)</f>
        <v>127.909802488244</v>
      </c>
      <c r="T96" s="51" t="n">
        <f aca="false">IFERROR((T26-T82)/T95,0)</f>
        <v>122.987101914332</v>
      </c>
      <c r="U96" s="51" t="n">
        <f aca="false">IFERROR((U26-U82)/U95,0)</f>
        <v>118.034474409021</v>
      </c>
      <c r="V96" s="51" t="n">
        <f aca="false">IFERROR((V26-V82)/V95,0)</f>
        <v>114.755816190458</v>
      </c>
      <c r="W96" s="51" t="n">
        <f aca="false">IFERROR((W26-W82)/W95,0)</f>
        <v>112.153265381883</v>
      </c>
      <c r="X96" s="51" t="n">
        <f aca="false">IFERROR((X26-X82)/X95,0)</f>
        <v>109.753916105806</v>
      </c>
      <c r="Y96" s="51" t="n">
        <f aca="false">IFERROR((Y26-Y82)/Y95,0)</f>
        <v>107.536548169317</v>
      </c>
      <c r="Z96" s="51" t="n">
        <f aca="false">IFERROR((Z26-Z82)/Z95,0)</f>
        <v>105.492505557712</v>
      </c>
      <c r="AA96" s="51" t="n">
        <f aca="false">IFERROR((AA26-AA82)/AA95,0)</f>
        <v>103.615329001561</v>
      </c>
      <c r="AB96" s="51" t="n">
        <f aca="false">IFERROR((AB26-AB82)/AB95,0)</f>
        <v>102.023834350428</v>
      </c>
      <c r="AC96" s="51" t="n">
        <f aca="false">IFERROR((AC26-AC82)/AC95,0)</f>
        <v>100.600957200624</v>
      </c>
      <c r="AD96" s="51" t="n">
        <f aca="false">IFERROR((AD26-AD82)/AD95,0)</f>
        <v>99.23582206515</v>
      </c>
      <c r="AE96" s="51" t="n">
        <f aca="false">IFERROR((AE26-AE82)/AE95,0)</f>
        <v>97.9411606875402</v>
      </c>
      <c r="AF96" s="51" t="n">
        <f aca="false">IFERROR((AF26-AF82)/AF95,0)</f>
        <v>96.7146889500647</v>
      </c>
      <c r="AG96" s="51" t="n">
        <f aca="false">IFERROR((AG26-AG82)/AG95,0)</f>
        <v>95.5540064209664</v>
      </c>
      <c r="AH96" s="51" t="n">
        <f aca="false">IFERROR((AH26-AH82)/AH95,0)</f>
        <v>94.4566517831651</v>
      </c>
      <c r="AI96" s="51" t="n">
        <f aca="false">IFERROR((AI26-AI82)/AI95,0)</f>
        <v>93.4201604015205</v>
      </c>
      <c r="AJ96" s="51" t="n">
        <f aca="false">IFERROR((AJ26-AJ82)/AJ95,0)</f>
        <v>92.4420690775099</v>
      </c>
      <c r="AK96" s="51" t="n">
        <f aca="false">IFERROR((AK26-AK82)/AK95,0)</f>
        <v>91.5199209384823</v>
      </c>
      <c r="AL96" s="51" t="n">
        <f aca="false">IFERROR((AL26-AL82)/AL95,0)</f>
        <v>90.6512720891014</v>
      </c>
      <c r="AM96" s="51" t="n">
        <f aca="false">AVERAGE(N96:AL96)</f>
        <v>111.519904764547</v>
      </c>
    </row>
    <row r="97" customFormat="false" ht="15" hidden="false" customHeight="false" outlineLevel="0" collapsed="false">
      <c r="A97" s="10" t="s">
        <v>812</v>
      </c>
      <c r="B97" s="9" t="s">
        <v>95</v>
      </c>
      <c r="C97" s="63" t="n">
        <f aca="false">IFERROR(C18/(C19*Assumptions!$G$49*Assumptions!$G$31*Assumptions!$G$32),0)</f>
        <v>0</v>
      </c>
      <c r="D97" s="63" t="n">
        <f aca="false">IFERROR(D18/(D19*Assumptions!$G$49*Assumptions!$G$31*Assumptions!$G$32),0)</f>
        <v>62.3582766439909</v>
      </c>
      <c r="E97" s="63" t="n">
        <f aca="false">IFERROR(E18/(E19*Assumptions!$G$49*Assumptions!$G$31*Assumptions!$G$32),0)</f>
        <v>62.3582766439909</v>
      </c>
      <c r="F97" s="63" t="n">
        <f aca="false">IFERROR(F18/(F19*Assumptions!$G$49*Assumptions!$G$31*Assumptions!$G$32),0)</f>
        <v>62.3582766439909</v>
      </c>
      <c r="G97" s="63" t="n">
        <f aca="false">IFERROR(G18/(G19*Assumptions!$G$49*Assumptions!$G$31*Assumptions!$G$32),0)</f>
        <v>62.3582766439909</v>
      </c>
      <c r="H97" s="63" t="n">
        <f aca="false">IFERROR(H18/(H19*Assumptions!$G$49*Assumptions!$G$31*Assumptions!$G$32),0)</f>
        <v>62.3582766439909</v>
      </c>
      <c r="I97" s="63" t="n">
        <f aca="false">IFERROR(I18/(I19*Assumptions!$G$49*Assumptions!$G$31*Assumptions!$G$32),0)</f>
        <v>62.3582766439909</v>
      </c>
      <c r="J97" s="63" t="n">
        <f aca="false">IFERROR(J18/(J19*Assumptions!$G$49*Assumptions!$G$31*Assumptions!$G$32),0)</f>
        <v>62.3582766439909</v>
      </c>
      <c r="K97" s="63" t="n">
        <f aca="false">IFERROR(K18/(K19*Assumptions!$G$49*Assumptions!$G$31*Assumptions!$G$32),0)</f>
        <v>62.3582766439909</v>
      </c>
      <c r="L97" s="63" t="n">
        <f aca="false">IFERROR(L18/(L19*Assumptions!$G$49*Assumptions!$G$31*Assumptions!$G$32),0)</f>
        <v>62.3582766439909</v>
      </c>
      <c r="M97" s="63" t="n">
        <f aca="false">IFERROR(M18/(M19*Assumptions!$G$49*Assumptions!$G$31*Assumptions!$G$32),0)</f>
        <v>62.3582766439909</v>
      </c>
      <c r="N97" s="63" t="n">
        <f aca="false">IFERROR(N18/(N19*Assumptions!$G$49*Assumptions!$G$31*Assumptions!$G$32),0)</f>
        <v>62.3582766439909</v>
      </c>
      <c r="O97" s="63" t="n">
        <f aca="false">IFERROR(O18/(O19*Assumptions!$G$49*Assumptions!$G$31*Assumptions!$G$32),0)</f>
        <v>62.3582766439909</v>
      </c>
      <c r="P97" s="63" t="n">
        <f aca="false">IFERROR(P18/(P19*Assumptions!$G$49*Assumptions!$G$31*Assumptions!$G$32),0)</f>
        <v>62.3582766439909</v>
      </c>
      <c r="Q97" s="63" t="n">
        <f aca="false">IFERROR(Q18/(Q19*Assumptions!$G$49*Assumptions!$G$31*Assumptions!$G$32),0)</f>
        <v>62.3582766439909</v>
      </c>
      <c r="R97" s="63" t="n">
        <f aca="false">IFERROR(R18/(R19*Assumptions!$G$49*Assumptions!$G$31*Assumptions!$G$32),0)</f>
        <v>62.3582766439909</v>
      </c>
      <c r="S97" s="63" t="n">
        <f aca="false">IFERROR(S18/(S19*Assumptions!$G$49*Assumptions!$G$31*Assumptions!$G$32),0)</f>
        <v>62.3582766439909</v>
      </c>
      <c r="T97" s="63" t="n">
        <f aca="false">IFERROR(T18/(T19*Assumptions!$G$49*Assumptions!$G$31*Assumptions!$G$32),0)</f>
        <v>62.3582766439909</v>
      </c>
      <c r="U97" s="63" t="n">
        <f aca="false">IFERROR(U18/(U19*Assumptions!$G$49*Assumptions!$G$31*Assumptions!$G$32),0)</f>
        <v>62.3582766439909</v>
      </c>
      <c r="V97" s="63" t="n">
        <f aca="false">IFERROR(V18/(V19*Assumptions!$G$49*Assumptions!$G$31*Assumptions!$G$32),0)</f>
        <v>62.3582766439909</v>
      </c>
      <c r="W97" s="63" t="n">
        <f aca="false">IFERROR(W18/(W19*Assumptions!$G$49*Assumptions!$G$31*Assumptions!$G$32),0)</f>
        <v>62.3582766439909</v>
      </c>
      <c r="X97" s="63" t="n">
        <f aca="false">IFERROR(X18/(X19*Assumptions!$G$49*Assumptions!$G$31*Assumptions!$G$32),0)</f>
        <v>62.3582766439909</v>
      </c>
      <c r="Y97" s="63" t="n">
        <f aca="false">IFERROR(Y18/(Y19*Assumptions!$G$49*Assumptions!$G$31*Assumptions!$G$32),0)</f>
        <v>62.3582766439909</v>
      </c>
      <c r="Z97" s="63" t="n">
        <f aca="false">IFERROR(Z18/(Z19*Assumptions!$G$49*Assumptions!$G$31*Assumptions!$G$32),0)</f>
        <v>62.3582766439909</v>
      </c>
      <c r="AA97" s="63" t="n">
        <f aca="false">IFERROR(AA18/(AA19*Assumptions!$G$49*Assumptions!$G$31*Assumptions!$G$32),0)</f>
        <v>62.3582766439909</v>
      </c>
      <c r="AB97" s="63" t="n">
        <f aca="false">IFERROR(AB18/(AB19*Assumptions!$G$49*Assumptions!$G$31*Assumptions!$G$32),0)</f>
        <v>62.3582766439909</v>
      </c>
      <c r="AC97" s="63" t="n">
        <f aca="false">IFERROR(AC18/(AC19*Assumptions!$G$49*Assumptions!$G$31*Assumptions!$G$32),0)</f>
        <v>62.3582766439909</v>
      </c>
      <c r="AD97" s="63" t="n">
        <f aca="false">IFERROR(AD18/(AD19*Assumptions!$G$49*Assumptions!$G$31*Assumptions!$G$32),0)</f>
        <v>62.358276643991</v>
      </c>
      <c r="AE97" s="63" t="n">
        <f aca="false">IFERROR(AE18/(AE19*Assumptions!$G$49*Assumptions!$G$31*Assumptions!$G$32),0)</f>
        <v>62.3582766439909</v>
      </c>
      <c r="AF97" s="63" t="n">
        <f aca="false">IFERROR(AF18/(AF19*Assumptions!$G$49*Assumptions!$G$31*Assumptions!$G$32),0)</f>
        <v>62.3582766439909</v>
      </c>
      <c r="AG97" s="63" t="n">
        <f aca="false">IFERROR(AG18/(AG19*Assumptions!$G$49*Assumptions!$G$31*Assumptions!$G$32),0)</f>
        <v>62.3582766439909</v>
      </c>
      <c r="AH97" s="63" t="n">
        <f aca="false">IFERROR(AH18/(AH19*Assumptions!$G$49*Assumptions!$G$31*Assumptions!$G$32),0)</f>
        <v>62.3582766439909</v>
      </c>
      <c r="AI97" s="63" t="n">
        <f aca="false">IFERROR(AI18/(AI19*Assumptions!$G$49*Assumptions!$G$31*Assumptions!$G$32),0)</f>
        <v>62.3582766439909</v>
      </c>
      <c r="AJ97" s="63" t="n">
        <f aca="false">IFERROR(AJ18/(AJ19*Assumptions!$G$49*Assumptions!$G$31*Assumptions!$G$32),0)</f>
        <v>62.3582766439909</v>
      </c>
      <c r="AK97" s="63" t="n">
        <f aca="false">IFERROR(AK18/(AK19*Assumptions!$G$49*Assumptions!$G$31*Assumptions!$G$32),0)</f>
        <v>62.3582766439909</v>
      </c>
      <c r="AL97" s="63" t="n">
        <f aca="false">IFERROR(AL18/(AL19*Assumptions!$G$49*Assumptions!$G$31*Assumptions!$G$32),0)</f>
        <v>62.3582766439909</v>
      </c>
      <c r="AM97" s="63" t="n">
        <f aca="false">AVERAGE(N97:AL97)</f>
        <v>62.3582766439909</v>
      </c>
    </row>
    <row r="98" customFormat="false" ht="15" hidden="false" customHeight="false" outlineLevel="0" collapsed="false">
      <c r="A98" s="10" t="s">
        <v>813</v>
      </c>
      <c r="B98" s="9" t="s">
        <v>95</v>
      </c>
      <c r="C98" s="63" t="n">
        <f aca="false">IFERROR(C22/(C23*Assumptions!$G$49*Assumptions!$G$38*Assumptions!$G$39),0)</f>
        <v>0</v>
      </c>
      <c r="D98" s="63" t="n">
        <f aca="false">IFERROR(D22/(D23*Assumptions!$G$49*Assumptions!$G$38*Assumptions!$G$39),0)</f>
        <v>172.619047619048</v>
      </c>
      <c r="E98" s="63" t="n">
        <f aca="false">IFERROR(E22/(E23*Assumptions!$G$49*Assumptions!$G$38*Assumptions!$G$39),0)</f>
        <v>172.619047619048</v>
      </c>
      <c r="F98" s="63" t="n">
        <f aca="false">IFERROR(F22/(F23*Assumptions!$G$49*Assumptions!$G$38*Assumptions!$G$39),0)</f>
        <v>172.619047619048</v>
      </c>
      <c r="G98" s="63" t="n">
        <f aca="false">IFERROR(G22/(G23*Assumptions!$G$49*Assumptions!$G$38*Assumptions!$G$39),0)</f>
        <v>172.619047619048</v>
      </c>
      <c r="H98" s="63" t="n">
        <f aca="false">IFERROR(H22/(H23*Assumptions!$G$49*Assumptions!$G$38*Assumptions!$G$39),0)</f>
        <v>172.619047619048</v>
      </c>
      <c r="I98" s="63" t="n">
        <f aca="false">IFERROR(I22/(I23*Assumptions!$G$49*Assumptions!$G$38*Assumptions!$G$39),0)</f>
        <v>172.619047619048</v>
      </c>
      <c r="J98" s="63" t="n">
        <f aca="false">IFERROR(J22/(J23*Assumptions!$G$49*Assumptions!$G$38*Assumptions!$G$39),0)</f>
        <v>172.619047619048</v>
      </c>
      <c r="K98" s="63" t="n">
        <f aca="false">IFERROR(K22/(K23*Assumptions!$G$49*Assumptions!$G$38*Assumptions!$G$39),0)</f>
        <v>172.619047619048</v>
      </c>
      <c r="L98" s="63" t="n">
        <f aca="false">IFERROR(L22/(L23*Assumptions!$G$49*Assumptions!$G$38*Assumptions!$G$39),0)</f>
        <v>172.619047619048</v>
      </c>
      <c r="M98" s="63" t="n">
        <f aca="false">IFERROR(M22/(M23*Assumptions!$G$49*Assumptions!$G$38*Assumptions!$G$39),0)</f>
        <v>172.619047619048</v>
      </c>
      <c r="N98" s="63" t="n">
        <f aca="false">IFERROR(N22/(N23*Assumptions!$G$49*Assumptions!$G$38*Assumptions!$G$39),0)</f>
        <v>172.619047619048</v>
      </c>
      <c r="O98" s="63" t="n">
        <f aca="false">IFERROR(O22/(O23*Assumptions!$G$49*Assumptions!$G$38*Assumptions!$G$39),0)</f>
        <v>172.619047619048</v>
      </c>
      <c r="P98" s="63" t="n">
        <f aca="false">IFERROR(P22/(P23*Assumptions!$G$49*Assumptions!$G$38*Assumptions!$G$39),0)</f>
        <v>172.619047619048</v>
      </c>
      <c r="Q98" s="63" t="n">
        <f aca="false">IFERROR(Q22/(Q23*Assumptions!$G$49*Assumptions!$G$38*Assumptions!$G$39),0)</f>
        <v>172.619047619048</v>
      </c>
      <c r="R98" s="63" t="n">
        <f aca="false">IFERROR(R22/(R23*Assumptions!$G$49*Assumptions!$G$38*Assumptions!$G$39),0)</f>
        <v>172.619047619048</v>
      </c>
      <c r="S98" s="63" t="n">
        <f aca="false">IFERROR(S22/(S23*Assumptions!$G$49*Assumptions!$G$38*Assumptions!$G$39),0)</f>
        <v>172.619047619048</v>
      </c>
      <c r="T98" s="63" t="n">
        <f aca="false">IFERROR(T22/(T23*Assumptions!$G$49*Assumptions!$G$38*Assumptions!$G$39),0)</f>
        <v>172.619047619048</v>
      </c>
      <c r="U98" s="63" t="n">
        <f aca="false">IFERROR(U22/(U23*Assumptions!$G$49*Assumptions!$G$38*Assumptions!$G$39),0)</f>
        <v>172.619047619048</v>
      </c>
      <c r="V98" s="63" t="n">
        <f aca="false">IFERROR(V22/(V23*Assumptions!$G$49*Assumptions!$G$38*Assumptions!$G$39),0)</f>
        <v>172.619047619048</v>
      </c>
      <c r="W98" s="63" t="n">
        <f aca="false">IFERROR(W22/(W23*Assumptions!$G$49*Assumptions!$G$38*Assumptions!$G$39),0)</f>
        <v>172.619047619048</v>
      </c>
      <c r="X98" s="63" t="n">
        <f aca="false">IFERROR(X22/(X23*Assumptions!$G$49*Assumptions!$G$38*Assumptions!$G$39),0)</f>
        <v>172.619047619048</v>
      </c>
      <c r="Y98" s="63" t="n">
        <f aca="false">IFERROR(Y22/(Y23*Assumptions!$G$49*Assumptions!$G$38*Assumptions!$G$39),0)</f>
        <v>172.619047619048</v>
      </c>
      <c r="Z98" s="63" t="n">
        <f aca="false">IFERROR(Z22/(Z23*Assumptions!$G$49*Assumptions!$G$38*Assumptions!$G$39),0)</f>
        <v>172.619047619048</v>
      </c>
      <c r="AA98" s="63" t="n">
        <f aca="false">IFERROR(AA22/(AA23*Assumptions!$G$49*Assumptions!$G$38*Assumptions!$G$39),0)</f>
        <v>172.619047619048</v>
      </c>
      <c r="AB98" s="63" t="n">
        <f aca="false">IFERROR(AB22/(AB23*Assumptions!$G$49*Assumptions!$G$38*Assumptions!$G$39),0)</f>
        <v>172.619047619048</v>
      </c>
      <c r="AC98" s="63" t="n">
        <f aca="false">IFERROR(AC22/(AC23*Assumptions!$G$49*Assumptions!$G$38*Assumptions!$G$39),0)</f>
        <v>172.619047619048</v>
      </c>
      <c r="AD98" s="63" t="n">
        <f aca="false">IFERROR(AD22/(AD23*Assumptions!$G$49*Assumptions!$G$38*Assumptions!$G$39),0)</f>
        <v>172.619047619048</v>
      </c>
      <c r="AE98" s="63" t="n">
        <f aca="false">IFERROR(AE22/(AE23*Assumptions!$G$49*Assumptions!$G$38*Assumptions!$G$39),0)</f>
        <v>172.619047619048</v>
      </c>
      <c r="AF98" s="63" t="n">
        <f aca="false">IFERROR(AF22/(AF23*Assumptions!$G$49*Assumptions!$G$38*Assumptions!$G$39),0)</f>
        <v>172.619047619048</v>
      </c>
      <c r="AG98" s="63" t="n">
        <f aca="false">IFERROR(AG22/(AG23*Assumptions!$G$49*Assumptions!$G$38*Assumptions!$G$39),0)</f>
        <v>172.619047619048</v>
      </c>
      <c r="AH98" s="63" t="n">
        <f aca="false">IFERROR(AH22/(AH23*Assumptions!$G$49*Assumptions!$G$38*Assumptions!$G$39),0)</f>
        <v>172.619047619048</v>
      </c>
      <c r="AI98" s="63" t="n">
        <f aca="false">IFERROR(AI22/(AI23*Assumptions!$G$49*Assumptions!$G$38*Assumptions!$G$39),0)</f>
        <v>172.619047619048</v>
      </c>
      <c r="AJ98" s="63" t="n">
        <f aca="false">IFERROR(AJ22/(AJ23*Assumptions!$G$49*Assumptions!$G$38*Assumptions!$G$39),0)</f>
        <v>172.619047619048</v>
      </c>
      <c r="AK98" s="63" t="n">
        <f aca="false">IFERROR(AK22/(AK23*Assumptions!$G$49*Assumptions!$G$38*Assumptions!$G$39),0)</f>
        <v>172.619047619048</v>
      </c>
      <c r="AL98" s="63" t="n">
        <f aca="false">IFERROR(AL22/(AL23*Assumptions!$G$49*Assumptions!$G$38*Assumptions!$G$39),0)</f>
        <v>172.619047619048</v>
      </c>
      <c r="AM98" s="63" t="n">
        <f aca="false">AVERAGE(N98:AL98)</f>
        <v>172.619047619048</v>
      </c>
    </row>
    <row r="99" customFormat="false" ht="15" hidden="false" customHeight="false" outlineLevel="0" collapsed="false">
      <c r="A99" s="10" t="s">
        <v>814</v>
      </c>
      <c r="B99" s="9" t="s">
        <v>95</v>
      </c>
      <c r="C99" s="63" t="n">
        <f aca="false">IFERROR(C24/(C25*Assumptions!$G$49*Assumptions!$G$43),0)</f>
        <v>120.623523301893</v>
      </c>
      <c r="D99" s="63" t="n">
        <f aca="false">IFERROR(D24/(D25*Assumptions!$G$49*Assumptions!$G$43),0)</f>
        <v>165.68889906648</v>
      </c>
      <c r="E99" s="63" t="n">
        <f aca="false">IFERROR(E24/(E25*Assumptions!$G$49*Assumptions!$G$43),0)</f>
        <v>163.051929304786</v>
      </c>
      <c r="F99" s="63" t="n">
        <f aca="false">IFERROR(F24/(F25*Assumptions!$G$49*Assumptions!$G$43),0)</f>
        <v>162.768230544979</v>
      </c>
      <c r="G99" s="63" t="n">
        <f aca="false">IFERROR(G24/(G25*Assumptions!$G$49*Assumptions!$G$43),0)</f>
        <v>162.652285649987</v>
      </c>
      <c r="H99" s="63" t="n">
        <f aca="false">IFERROR(H24/(H25*Assumptions!$G$49*Assumptions!$G$43),0)</f>
        <v>162.539664544315</v>
      </c>
      <c r="I99" s="63" t="n">
        <f aca="false">IFERROR(I24/(I25*Assumptions!$G$49*Assumptions!$G$43),0)</f>
        <v>162.41765666832</v>
      </c>
      <c r="J99" s="63" t="n">
        <f aca="false">IFERROR(J24/(J25*Assumptions!$G$49*Assumptions!$G$43),0)</f>
        <v>162.284433110542</v>
      </c>
      <c r="K99" s="63" t="n">
        <f aca="false">IFERROR(K24/(K25*Assumptions!$G$49*Assumptions!$G$43),0)</f>
        <v>162.138857315683</v>
      </c>
      <c r="L99" s="63" t="n">
        <f aca="false">IFERROR(L24/(L25*Assumptions!$G$49*Assumptions!$G$43),0)</f>
        <v>161.979740941316</v>
      </c>
      <c r="M99" s="63" t="n">
        <f aca="false">IFERROR(M24/(M25*Assumptions!$G$49*Assumptions!$G$43),0)</f>
        <v>161.805778844225</v>
      </c>
      <c r="N99" s="63" t="n">
        <f aca="false">IFERROR(N24/(N25*Assumptions!$G$49*Assumptions!$G$43),0)</f>
        <v>161.615531441292</v>
      </c>
      <c r="O99" s="63" t="n">
        <f aca="false">IFERROR(O24/(O25*Assumptions!$G$49*Assumptions!$G$43),0)</f>
        <v>161.407408710135</v>
      </c>
      <c r="P99" s="63" t="n">
        <f aca="false">IFERROR(P24/(P25*Assumptions!$G$49*Assumptions!$G$43),0)</f>
        <v>161.179652238952</v>
      </c>
      <c r="Q99" s="63" t="n">
        <f aca="false">IFERROR(Q24/(Q25*Assumptions!$G$49*Assumptions!$G$43),0)</f>
        <v>160.930314705914</v>
      </c>
      <c r="R99" s="63" t="n">
        <f aca="false">IFERROR(R24/(R25*Assumptions!$G$49*Assumptions!$G$43),0)</f>
        <v>160.657236304181</v>
      </c>
      <c r="S99" s="63" t="n">
        <f aca="false">IFERROR(S24/(S25*Assumptions!$G$49*Assumptions!$G$43),0)</f>
        <v>160.358017540403</v>
      </c>
      <c r="T99" s="63" t="n">
        <f aca="false">IFERROR(T24/(T25*Assumptions!$G$49*Assumptions!$G$43),0)</f>
        <v>160.0299877038</v>
      </c>
      <c r="U99" s="63" t="n">
        <f aca="false">IFERROR(U24/(U25*Assumptions!$G$49*Assumptions!$G$43),0)</f>
        <v>159.670168134712</v>
      </c>
      <c r="V99" s="63" t="n">
        <f aca="false">IFERROR(V24/(V25*Assumptions!$G$49*Assumptions!$G$43),0)</f>
        <v>161.54852800251</v>
      </c>
      <c r="W99" s="63" t="n">
        <f aca="false">IFERROR(W24/(W25*Assumptions!$G$49*Assumptions!$G$43),0)</f>
        <v>164.147084746687</v>
      </c>
      <c r="X99" s="63" t="n">
        <f aca="false">IFERROR(X24/(X25*Assumptions!$G$49*Assumptions!$G$43),0)</f>
        <v>166.869307273781</v>
      </c>
      <c r="Y99" s="63" t="n">
        <f aca="false">IFERROR(Y24/(Y25*Assumptions!$G$49*Assumptions!$G$43),0)</f>
        <v>169.721457290587</v>
      </c>
      <c r="Z99" s="63" t="n">
        <f aca="false">IFERROR(Z24/(Z25*Assumptions!$G$49*Assumptions!$G$43),0)</f>
        <v>172.702823747672</v>
      </c>
      <c r="AA99" s="63" t="n">
        <f aca="false">IFERROR(AA24/(AA25*Assumptions!$G$49*Assumptions!$G$43),0)</f>
        <v>175.813431998656</v>
      </c>
      <c r="AB99" s="63" t="n">
        <f aca="false">IFERROR(AB24/(AB25*Assumptions!$G$49*Assumptions!$G$43),0)</f>
        <v>179.053197486958</v>
      </c>
      <c r="AC99" s="63" t="n">
        <f aca="false">IFERROR(AC24/(AC25*Assumptions!$G$49*Assumptions!$G$43),0)</f>
        <v>182.3449337536</v>
      </c>
      <c r="AD99" s="63" t="n">
        <f aca="false">IFERROR(AD24/(AD25*Assumptions!$G$49*Assumptions!$G$43),0)</f>
        <v>185.669168528181</v>
      </c>
      <c r="AE99" s="63" t="n">
        <f aca="false">IFERROR(AE24/(AE25*Assumptions!$G$49*Assumptions!$G$43),0)</f>
        <v>189.050880649887</v>
      </c>
      <c r="AF99" s="63" t="n">
        <f aca="false">IFERROR(AF24/(AF25*Assumptions!$G$49*Assumptions!$G$43),0)</f>
        <v>192.494514120882</v>
      </c>
      <c r="AG99" s="63" t="n">
        <f aca="false">IFERROR(AG24/(AG25*Assumptions!$G$49*Assumptions!$G$43),0)</f>
        <v>196.00440439311</v>
      </c>
      <c r="AH99" s="63" t="n">
        <f aca="false">IFERROR(AH24/(AH25*Assumptions!$G$49*Assumptions!$G$43),0)</f>
        <v>199.584521078864</v>
      </c>
      <c r="AI99" s="63" t="n">
        <f aca="false">IFERROR(AI24/(AI25*Assumptions!$G$49*Assumptions!$G$43),0)</f>
        <v>203.238551594037</v>
      </c>
      <c r="AJ99" s="63" t="n">
        <f aca="false">IFERROR(AJ24/(AJ25*Assumptions!$G$49*Assumptions!$G$43),0)</f>
        <v>206.96994266206</v>
      </c>
      <c r="AK99" s="63" t="n">
        <f aca="false">IFERROR(AK24/(AK25*Assumptions!$G$49*Assumptions!$G$43),0)</f>
        <v>210.781937325825</v>
      </c>
      <c r="AL99" s="63" t="n">
        <f aca="false">IFERROR(AL24/(AL25*Assumptions!$G$49*Assumptions!$G$43),0)</f>
        <v>214.677607045618</v>
      </c>
      <c r="AM99" s="63" t="n">
        <f aca="false">AVERAGE(N99:AL99)</f>
        <v>178.260824339132</v>
      </c>
    </row>
    <row r="100" customFormat="false" ht="15" hidden="false" customHeight="false" outlineLevel="0" collapsed="false">
      <c r="A100" s="38" t="s">
        <v>815</v>
      </c>
      <c r="B100" s="9" t="s">
        <v>95</v>
      </c>
      <c r="C100" s="51" t="n">
        <f aca="false">IFERROR(C26/((C19*Assumptions!$G$31*Assumptions!$G$32+C23*Assumptions!$G$38*Assumptions!$G$39+C25*Assumptions!$G$43)*Assumptions!$G$49),0)</f>
        <v>120.623523301893</v>
      </c>
      <c r="D100" s="51" t="n">
        <f aca="false">IFERROR(D26/((D19*Assumptions!$G$31*Assumptions!$G$32+D23*Assumptions!$G$38*Assumptions!$G$39+D25*Assumptions!$G$43)*Assumptions!$G$49),0)</f>
        <v>164.745666378982</v>
      </c>
      <c r="E100" s="51" t="n">
        <f aca="false">IFERROR(E26/((E19*Assumptions!$G$31*Assumptions!$G$32+E23*Assumptions!$G$38*Assumptions!$G$39+E25*Assumptions!$G$43)*Assumptions!$G$49),0)</f>
        <v>162.686754911974</v>
      </c>
      <c r="F100" s="51" t="n">
        <f aca="false">IFERROR(F26/((F19*Assumptions!$G$31*Assumptions!$G$32+F23*Assumptions!$G$38*Assumptions!$G$39+F25*Assumptions!$G$43)*Assumptions!$G$49),0)</f>
        <v>162.371225945935</v>
      </c>
      <c r="G100" s="51" t="n">
        <f aca="false">IFERROR(G26/((G19*Assumptions!$G$31*Assumptions!$G$32+G23*Assumptions!$G$38*Assumptions!$G$39+G25*Assumptions!$G$43)*Assumptions!$G$49),0)</f>
        <v>162.160934928617</v>
      </c>
      <c r="H100" s="51" t="n">
        <f aca="false">IFERROR(H26/((H19*Assumptions!$G$31*Assumptions!$G$32+H23*Assumptions!$G$38*Assumptions!$G$39+H25*Assumptions!$G$43)*Assumptions!$G$49),0)</f>
        <v>161.94197377651</v>
      </c>
      <c r="I100" s="51" t="n">
        <f aca="false">IFERROR(I26/((I19*Assumptions!$G$31*Assumptions!$G$32+I23*Assumptions!$G$38*Assumptions!$G$39+I25*Assumptions!$G$43)*Assumptions!$G$49),0)</f>
        <v>161.704885527246</v>
      </c>
      <c r="J100" s="51" t="n">
        <f aca="false">IFERROR(J26/((J19*Assumptions!$G$31*Assumptions!$G$32+J23*Assumptions!$G$38*Assumptions!$G$39+J25*Assumptions!$G$43)*Assumptions!$G$49),0)</f>
        <v>161.447572645893</v>
      </c>
      <c r="K100" s="51" t="n">
        <f aca="false">IFERROR(K26/((K19*Assumptions!$G$31*Assumptions!$G$32+K23*Assumptions!$G$38*Assumptions!$G$39+K25*Assumptions!$G$43)*Assumptions!$G$49),0)</f>
        <v>161.168363827009</v>
      </c>
      <c r="L100" s="51" t="n">
        <f aca="false">IFERROR(L26/((L19*Assumptions!$G$31*Assumptions!$G$32+L23*Assumptions!$G$38*Assumptions!$G$39+L25*Assumptions!$G$43)*Assumptions!$G$49),0)</f>
        <v>160.865513889421</v>
      </c>
      <c r="M100" s="51" t="n">
        <f aca="false">IFERROR(M26/((M19*Assumptions!$G$31*Assumptions!$G$32+M23*Assumptions!$G$38*Assumptions!$G$39+M25*Assumptions!$G$43)*Assumptions!$G$49),0)</f>
        <v>160.537164299169</v>
      </c>
      <c r="N100" s="51" t="n">
        <f aca="false">IFERROR(N26/((N19*Assumptions!$G$31*Assumptions!$G$32+N23*Assumptions!$G$38*Assumptions!$G$39+N25*Assumptions!$G$43)*Assumptions!$G$49),0)</f>
        <v>160.18133722064</v>
      </c>
      <c r="O100" s="51" t="n">
        <f aca="false">IFERROR(O26/((O19*Assumptions!$G$31*Assumptions!$G$32+O23*Assumptions!$G$38*Assumptions!$G$39+O25*Assumptions!$G$43)*Assumptions!$G$49),0)</f>
        <v>159.795932760112</v>
      </c>
      <c r="P100" s="51" t="n">
        <f aca="false">IFERROR(P26/((P19*Assumptions!$G$31*Assumptions!$G$32+P23*Assumptions!$G$38*Assumptions!$G$39+P25*Assumptions!$G$43)*Assumptions!$G$49),0)</f>
        <v>159.378727468872</v>
      </c>
      <c r="Q100" s="51" t="n">
        <f aca="false">IFERROR(Q26/((Q19*Assumptions!$G$31*Assumptions!$G$32+Q23*Assumptions!$G$38*Assumptions!$G$39+Q25*Assumptions!$G$43)*Assumptions!$G$49),0)</f>
        <v>158.927374243139</v>
      </c>
      <c r="R100" s="51" t="n">
        <f aca="false">IFERROR(R26/((R19*Assumptions!$G$31*Assumptions!$G$32+R23*Assumptions!$G$38*Assumptions!$G$39+R25*Assumptions!$G$43)*Assumptions!$G$49),0)</f>
        <v>158.439403952766</v>
      </c>
      <c r="S100" s="51" t="n">
        <f aca="false">IFERROR(S26/((S19*Assumptions!$G$31*Assumptions!$G$32+S23*Assumptions!$G$38*Assumptions!$G$39+S25*Assumptions!$G$43)*Assumptions!$G$49),0)</f>
        <v>157.912229197774</v>
      </c>
      <c r="T100" s="51" t="n">
        <f aca="false">IFERROR(T26/((T19*Assumptions!$G$31*Assumptions!$G$32+T23*Assumptions!$G$38*Assumptions!$G$39+T25*Assumptions!$G$43)*Assumptions!$G$49),0)</f>
        <v>157.343150656461</v>
      </c>
      <c r="U100" s="51" t="n">
        <f aca="false">IFERROR(U26/((U19*Assumptions!$G$31*Assumptions!$G$32+U23*Assumptions!$G$38*Assumptions!$G$39+U25*Assumptions!$G$43)*Assumptions!$G$49),0)</f>
        <v>156.729366561</v>
      </c>
      <c r="V100" s="51" t="n">
        <f aca="false">IFERROR(V26/((V19*Assumptions!$G$31*Assumptions!$G$32+V23*Assumptions!$G$38*Assumptions!$G$39+V25*Assumptions!$G$43)*Assumptions!$G$49),0)</f>
        <v>157.9962789249</v>
      </c>
      <c r="W100" s="51" t="n">
        <f aca="false">IFERROR(W26/((W19*Assumptions!$G$31*Assumptions!$G$32+W23*Assumptions!$G$38*Assumptions!$G$39+W25*Assumptions!$G$43)*Assumptions!$G$49),0)</f>
        <v>159.898276840543</v>
      </c>
      <c r="X100" s="51" t="n">
        <f aca="false">IFERROR(X26/((X19*Assumptions!$G$31*Assumptions!$G$32+X23*Assumptions!$G$38*Assumptions!$G$39+X25*Assumptions!$G$43)*Assumptions!$G$49),0)</f>
        <v>161.897056844046</v>
      </c>
      <c r="Y100" s="51" t="n">
        <f aca="false">IFERROR(Y26/((Y19*Assumptions!$G$31*Assumptions!$G$32+Y23*Assumptions!$G$38*Assumptions!$G$39+Y25*Assumptions!$G$43)*Assumptions!$G$49),0)</f>
        <v>163.982719061764</v>
      </c>
      <c r="Z100" s="51" t="n">
        <f aca="false">IFERROR(Z26/((Z19*Assumptions!$G$31*Assumptions!$G$32+Z23*Assumptions!$G$38*Assumptions!$G$39+Z25*Assumptions!$G$43)*Assumptions!$G$49),0)</f>
        <v>166.152139862051</v>
      </c>
      <c r="AA100" s="51" t="n">
        <f aca="false">IFERROR(AA26/((AA19*Assumptions!$G$31*Assumptions!$G$32+AA23*Assumptions!$G$38*Assumptions!$G$39+AA25*Assumptions!$G$43)*Assumptions!$G$49),0)</f>
        <v>168.404207597723</v>
      </c>
      <c r="AB100" s="51" t="n">
        <f aca="false">IFERROR(AB26/((AB19*Assumptions!$G$31*Assumptions!$G$32+AB23*Assumptions!$G$38*Assumptions!$G$39+AB25*Assumptions!$G$43)*Assumptions!$G$49),0)</f>
        <v>170.737873823847</v>
      </c>
      <c r="AC100" s="51" t="n">
        <f aca="false">IFERROR(AC26/((AC19*Assumptions!$G$31*Assumptions!$G$32+AC23*Assumptions!$G$38*Assumptions!$G$39+AC25*Assumptions!$G$43)*Assumptions!$G$49),0)</f>
        <v>173.083084204654</v>
      </c>
      <c r="AD100" s="51" t="n">
        <f aca="false">IFERROR(AD26/((AD19*Assumptions!$G$31*Assumptions!$G$32+AD23*Assumptions!$G$38*Assumptions!$G$39+AD25*Assumptions!$G$43)*Assumptions!$G$49),0)</f>
        <v>175.420130834011</v>
      </c>
      <c r="AE100" s="51" t="n">
        <f aca="false">IFERROR(AE26/((AE19*Assumptions!$G$31*Assumptions!$G$32+AE23*Assumptions!$G$38*Assumptions!$G$39+AE25*Assumptions!$G$43)*Assumptions!$G$49),0)</f>
        <v>177.769580752733</v>
      </c>
      <c r="AF100" s="51" t="n">
        <f aca="false">IFERROR(AF26/((AF19*Assumptions!$G$31*Assumptions!$G$32+AF23*Assumptions!$G$38*Assumptions!$G$39+AF25*Assumptions!$G$43)*Assumptions!$G$49),0)</f>
        <v>180.133668376873</v>
      </c>
      <c r="AG100" s="51" t="n">
        <f aca="false">IFERROR(AG26/((AG19*Assumptions!$G$31*Assumptions!$G$32+AG23*Assumptions!$G$38*Assumptions!$G$39+AG25*Assumptions!$G$43)*Assumptions!$G$49),0)</f>
        <v>182.514496214985</v>
      </c>
      <c r="AH100" s="51" t="n">
        <f aca="false">IFERROR(AH26/((AH19*Assumptions!$G$31*Assumptions!$G$32+AH23*Assumptions!$G$38*Assumptions!$G$39+AH25*Assumptions!$G$43)*Assumptions!$G$49),0)</f>
        <v>184.913812150752</v>
      </c>
      <c r="AI100" s="51" t="n">
        <f aca="false">IFERROR(AI26/((AI19*Assumptions!$G$31*Assumptions!$G$32+AI23*Assumptions!$G$38*Assumptions!$G$39+AI25*Assumptions!$G$43)*Assumptions!$G$49),0)</f>
        <v>187.333080670429</v>
      </c>
      <c r="AJ100" s="51" t="n">
        <f aca="false">IFERROR(AJ26/((AJ19*Assumptions!$G$31*Assumptions!$G$32+AJ23*Assumptions!$G$38*Assumptions!$G$39+AJ25*Assumptions!$G$43)*Assumptions!$G$49),0)</f>
        <v>189.773516609049</v>
      </c>
      <c r="AK100" s="51" t="n">
        <f aca="false">IFERROR(AK26/((AK19*Assumptions!$G$31*Assumptions!$G$32+AK23*Assumptions!$G$38*Assumptions!$G$39+AK25*Assumptions!$G$43)*Assumptions!$G$49),0)</f>
        <v>192.236115632887</v>
      </c>
      <c r="AL100" s="51" t="n">
        <f aca="false">IFERROR(AL26/((AL19*Assumptions!$G$31*Assumptions!$G$32+AL23*Assumptions!$G$38*Assumptions!$G$39+AL25*Assumptions!$G$43)*Assumptions!$G$49),0)</f>
        <v>194.72168059523</v>
      </c>
      <c r="AM100" s="51" t="n">
        <f aca="false">AVERAGE(N100:AL100)</f>
        <v>170.22700964229</v>
      </c>
    </row>
    <row r="101" customFormat="false" ht="15" hidden="false" customHeight="false" outlineLevel="0" collapsed="false">
      <c r="A101" s="38" t="s">
        <v>816</v>
      </c>
      <c r="B101" s="9" t="s">
        <v>368</v>
      </c>
      <c r="C101" s="72" t="n">
        <f aca="false">IFERROR(C100/C104,0)</f>
        <v>2.64028133216476</v>
      </c>
      <c r="D101" s="72" t="n">
        <f aca="false">IFERROR(D100/D104,0)</f>
        <v>3.60605374133227</v>
      </c>
      <c r="E101" s="72" t="n">
        <f aca="false">IFERROR(E100/E104,0)</f>
        <v>3.56098702994699</v>
      </c>
      <c r="F101" s="72" t="n">
        <f aca="false">IFERROR(F100/F104,0)</f>
        <v>3.55408053927266</v>
      </c>
      <c r="G101" s="72" t="n">
        <f aca="false">IFERROR(G100/G104,0)</f>
        <v>3.54947756107944</v>
      </c>
      <c r="H101" s="72" t="n">
        <f aca="false">IFERROR(H100/H104,0)</f>
        <v>3.54468480568189</v>
      </c>
      <c r="I101" s="72" t="n">
        <f aca="false">IFERROR(I100/I104,0)</f>
        <v>3.53949527331315</v>
      </c>
      <c r="J101" s="72" t="n">
        <f aca="false">IFERROR(J100/J104,0)</f>
        <v>3.53386305184783</v>
      </c>
      <c r="K101" s="72" t="n">
        <f aca="false">IFERROR(K100/K104,0)</f>
        <v>3.52775155873194</v>
      </c>
      <c r="L101" s="72" t="n">
        <f aca="false">IFERROR(L100/L104,0)</f>
        <v>3.52112259437429</v>
      </c>
      <c r="M101" s="72" t="n">
        <f aca="false">IFERROR(M100/M104,0)</f>
        <v>3.51393547804877</v>
      </c>
      <c r="N101" s="72" t="n">
        <f aca="false">IFERROR(N100/N104,0)</f>
        <v>3.50614691768176</v>
      </c>
      <c r="O101" s="72" t="n">
        <f aca="false">IFERROR(O100/O104,0)</f>
        <v>3.49771094951726</v>
      </c>
      <c r="P101" s="72" t="n">
        <f aca="false">IFERROR(P100/P104,0)</f>
        <v>3.48857890535216</v>
      </c>
      <c r="Q101" s="72" t="n">
        <f aca="false">IFERROR(Q100/Q104,0)</f>
        <v>3.47869941034575</v>
      </c>
      <c r="R101" s="72" t="n">
        <f aca="false">IFERROR(R100/R104,0)</f>
        <v>3.46801841866972</v>
      </c>
      <c r="S101" s="72" t="n">
        <f aca="false">IFERROR(S100/S104,0)</f>
        <v>3.45647929573339</v>
      </c>
      <c r="T101" s="72" t="n">
        <f aca="false">IFERROR(T100/T104,0)</f>
        <v>3.44402295713512</v>
      </c>
      <c r="U101" s="72" t="n">
        <f aca="false">IFERROR(U100/U104,0)</f>
        <v>3.43058807606994</v>
      </c>
      <c r="V101" s="72" t="n">
        <f aca="false">IFERROR(V100/V104,0)</f>
        <v>3.45831902748246</v>
      </c>
      <c r="W101" s="72" t="n">
        <f aca="false">IFERROR(W100/W104,0)</f>
        <v>3.49995111924221</v>
      </c>
      <c r="X101" s="72" t="n">
        <f aca="false">IFERROR(X100/X104,0)</f>
        <v>3.54370163643731</v>
      </c>
      <c r="Y101" s="72" t="n">
        <f aca="false">IFERROR(Y100/Y104,0)</f>
        <v>3.58935388458845</v>
      </c>
      <c r="Z101" s="72" t="n">
        <f aca="false">IFERROR(Z100/Z104,0)</f>
        <v>3.63683949173882</v>
      </c>
      <c r="AA101" s="72" t="n">
        <f aca="false">IFERROR(AA100/AA104,0)</f>
        <v>3.68613412547609</v>
      </c>
      <c r="AB101" s="72" t="n">
        <f aca="false">IFERROR(AB100/AB104,0)</f>
        <v>3.73721483679736</v>
      </c>
      <c r="AC101" s="72" t="n">
        <f aca="false">IFERROR(AC100/AC104,0)</f>
        <v>3.78854823362532</v>
      </c>
      <c r="AD101" s="72" t="n">
        <f aca="false">IFERROR(AD100/AD104,0)</f>
        <v>3.83970293727667</v>
      </c>
      <c r="AE101" s="72" t="n">
        <f aca="false">IFERROR(AE100/AE104,0)</f>
        <v>3.89112913169925</v>
      </c>
      <c r="AF101" s="72" t="n">
        <f aca="false">IFERROR(AF100/AF104,0)</f>
        <v>3.94287572515596</v>
      </c>
      <c r="AG101" s="72" t="n">
        <f aca="false">IFERROR(AG100/AG104,0)</f>
        <v>3.99498873863784</v>
      </c>
      <c r="AH101" s="72" t="n">
        <f aca="false">IFERROR(AH100/AH104,0)</f>
        <v>4.04750643089026</v>
      </c>
      <c r="AI101" s="72" t="n">
        <f aca="false">IFERROR(AI100/AI104,0)</f>
        <v>4.10046085748258</v>
      </c>
      <c r="AJ101" s="72" t="n">
        <f aca="false">IFERROR(AJ100/AJ104,0)</f>
        <v>4.15387860946581</v>
      </c>
      <c r="AK101" s="72" t="n">
        <f aca="false">IFERROR(AK100/AK104,0)</f>
        <v>4.2077814805913</v>
      </c>
      <c r="AL101" s="72" t="n">
        <f aca="false">IFERROR(AL100/AL104,0)</f>
        <v>4.26218704420208</v>
      </c>
      <c r="AM101" s="72" t="n">
        <f aca="false">AVERAGE(N101:AL101)</f>
        <v>3.72603272965179</v>
      </c>
    </row>
    <row r="102" customFormat="false" ht="15" hidden="false" customHeight="false" outlineLevel="0" collapsed="false">
      <c r="A102" s="10" t="s">
        <v>817</v>
      </c>
      <c r="B102" s="9" t="s">
        <v>95</v>
      </c>
      <c r="C102" s="63" t="n">
        <f aca="false">Assumptions!$G$70*(1-Assumptions!$G$80)*(1-Assumptions!$G$79)-Assumptions!$G$73-Assumptions!$G$75-Assumptions!$G$76-Assumptions!$G$77</f>
        <v>116.02563</v>
      </c>
      <c r="D102" s="63" t="n">
        <f aca="false">Assumptions!$G$70*(1-Assumptions!$G$80)*(1-Assumptions!$G$79)-Assumptions!$G$73-Assumptions!$G$75-Assumptions!$G$76-Assumptions!$G$77</f>
        <v>116.02563</v>
      </c>
      <c r="E102" s="63" t="n">
        <f aca="false">Assumptions!$G$70*(1-Assumptions!$G$80)*(1-Assumptions!$G$79)-Assumptions!$G$73-Assumptions!$G$75-Assumptions!$G$76-Assumptions!$G$77</f>
        <v>116.02563</v>
      </c>
      <c r="F102" s="63" t="n">
        <f aca="false">Assumptions!$G$70*(1-Assumptions!$G$80)*(1-Assumptions!$G$79)-Assumptions!$G$73-Assumptions!$G$75-Assumptions!$G$76-Assumptions!$G$77</f>
        <v>116.02563</v>
      </c>
      <c r="G102" s="63" t="n">
        <f aca="false">Assumptions!$G$70*(1-Assumptions!$G$80)*(1-Assumptions!$G$79)-Assumptions!$G$73-Assumptions!$G$75-Assumptions!$G$76-Assumptions!$G$77</f>
        <v>116.02563</v>
      </c>
      <c r="H102" s="63" t="n">
        <f aca="false">Assumptions!$G$70*(1-Assumptions!$G$80)*(1-Assumptions!$G$79)-Assumptions!$G$73-Assumptions!$G$75-Assumptions!$G$76-Assumptions!$G$77</f>
        <v>116.02563</v>
      </c>
      <c r="I102" s="63" t="n">
        <f aca="false">Assumptions!$G$70*(1-Assumptions!$G$80)*(1-Assumptions!$G$79)-Assumptions!$G$73-Assumptions!$G$75-Assumptions!$G$76-Assumptions!$G$77</f>
        <v>116.02563</v>
      </c>
      <c r="J102" s="63" t="n">
        <f aca="false">Assumptions!$G$70*(1-Assumptions!$G$80)*(1-Assumptions!$G$79)-Assumptions!$G$73-Assumptions!$G$75-Assumptions!$G$76-Assumptions!$G$77</f>
        <v>116.02563</v>
      </c>
      <c r="K102" s="63" t="n">
        <f aca="false">Assumptions!$G$70*(1-Assumptions!$G$80)*(1-Assumptions!$G$79)-Assumptions!$G$73-Assumptions!$G$75-Assumptions!$G$76-Assumptions!$G$77</f>
        <v>116.02563</v>
      </c>
      <c r="L102" s="63" t="n">
        <f aca="false">Assumptions!$G$70*(1-Assumptions!$G$80)*(1-Assumptions!$G$79)-Assumptions!$G$73-Assumptions!$G$75-Assumptions!$G$76-Assumptions!$G$77</f>
        <v>116.02563</v>
      </c>
      <c r="M102" s="63" t="n">
        <f aca="false">Assumptions!$G$70*(1-Assumptions!$G$80)*(1-Assumptions!$G$79)-Assumptions!$G$73-Assumptions!$G$75-Assumptions!$G$76-Assumptions!$G$77</f>
        <v>116.02563</v>
      </c>
      <c r="N102" s="63" t="n">
        <f aca="false">Assumptions!$G$70*(1-Assumptions!$G$80)*(1-Assumptions!$G$79)-Assumptions!$G$73-Assumptions!$G$75-Assumptions!$G$76-Assumptions!$G$77</f>
        <v>116.02563</v>
      </c>
      <c r="O102" s="63" t="n">
        <f aca="false">Assumptions!$G$70*(1-Assumptions!$G$80)*(1-Assumptions!$G$79)-Assumptions!$G$73-Assumptions!$G$75-Assumptions!$G$76-Assumptions!$G$77</f>
        <v>116.02563</v>
      </c>
      <c r="P102" s="63" t="n">
        <f aca="false">Assumptions!$G$70*(1-Assumptions!$G$80)*(1-Assumptions!$G$79)-Assumptions!$G$73-Assumptions!$G$75-Assumptions!$G$76-Assumptions!$G$77</f>
        <v>116.02563</v>
      </c>
      <c r="Q102" s="63" t="n">
        <f aca="false">Assumptions!$G$70*(1-Assumptions!$G$80)*(1-Assumptions!$G$79)-Assumptions!$G$73-Assumptions!$G$75-Assumptions!$G$76-Assumptions!$G$77</f>
        <v>116.02563</v>
      </c>
      <c r="R102" s="63" t="n">
        <f aca="false">Assumptions!$G$70*(1-Assumptions!$G$80)*(1-Assumptions!$G$79)-Assumptions!$G$73-Assumptions!$G$75-Assumptions!$G$76-Assumptions!$G$77</f>
        <v>116.02563</v>
      </c>
      <c r="S102" s="63" t="n">
        <f aca="false">Assumptions!$G$70*(1-Assumptions!$G$80)*(1-Assumptions!$G$79)-Assumptions!$G$73-Assumptions!$G$75-Assumptions!$G$76-Assumptions!$G$77</f>
        <v>116.02563</v>
      </c>
      <c r="T102" s="63" t="n">
        <f aca="false">Assumptions!$G$70*(1-Assumptions!$G$80)*(1-Assumptions!$G$79)-Assumptions!$G$73-Assumptions!$G$75-Assumptions!$G$76-Assumptions!$G$77</f>
        <v>116.02563</v>
      </c>
      <c r="U102" s="63" t="n">
        <f aca="false">Assumptions!$G$70*(1-Assumptions!$G$80)*(1-Assumptions!$G$79)-Assumptions!$G$73-Assumptions!$G$75-Assumptions!$G$76-Assumptions!$G$77</f>
        <v>116.02563</v>
      </c>
      <c r="V102" s="63" t="n">
        <f aca="false">Assumptions!$G$70*(1-Assumptions!$G$80)*(1-Assumptions!$G$79)-Assumptions!$G$73-Assumptions!$G$75-Assumptions!$G$76-Assumptions!$G$77</f>
        <v>116.02563</v>
      </c>
      <c r="W102" s="63" t="n">
        <f aca="false">Assumptions!$G$70*(1-Assumptions!$G$80)*(1-Assumptions!$G$79)-Assumptions!$G$73-Assumptions!$G$75-Assumptions!$G$76-Assumptions!$G$77</f>
        <v>116.02563</v>
      </c>
      <c r="X102" s="63" t="n">
        <f aca="false">Assumptions!$G$70*(1-Assumptions!$G$80)*(1-Assumptions!$G$79)-Assumptions!$G$73-Assumptions!$G$75-Assumptions!$G$76-Assumptions!$G$77</f>
        <v>116.02563</v>
      </c>
      <c r="Y102" s="63" t="n">
        <f aca="false">Assumptions!$G$70*(1-Assumptions!$G$80)*(1-Assumptions!$G$79)-Assumptions!$G$73-Assumptions!$G$75-Assumptions!$G$76-Assumptions!$G$77</f>
        <v>116.02563</v>
      </c>
      <c r="Z102" s="63" t="n">
        <f aca="false">Assumptions!$G$70*(1-Assumptions!$G$80)*(1-Assumptions!$G$79)-Assumptions!$G$73-Assumptions!$G$75-Assumptions!$G$76-Assumptions!$G$77</f>
        <v>116.02563</v>
      </c>
      <c r="AA102" s="63" t="n">
        <f aca="false">Assumptions!$G$70*(1-Assumptions!$G$80)*(1-Assumptions!$G$79)-Assumptions!$G$73-Assumptions!$G$75-Assumptions!$G$76-Assumptions!$G$77</f>
        <v>116.02563</v>
      </c>
      <c r="AB102" s="63" t="n">
        <f aca="false">Assumptions!$G$70*(1-Assumptions!$G$80)*(1-Assumptions!$G$79)-Assumptions!$G$73-Assumptions!$G$75-Assumptions!$G$76-Assumptions!$G$77</f>
        <v>116.02563</v>
      </c>
      <c r="AC102" s="63" t="n">
        <f aca="false">Assumptions!$G$70*(1-Assumptions!$G$80)*(1-Assumptions!$G$79)-Assumptions!$G$73-Assumptions!$G$75-Assumptions!$G$76-Assumptions!$G$77</f>
        <v>116.02563</v>
      </c>
      <c r="AD102" s="63" t="n">
        <f aca="false">Assumptions!$G$70*(1-Assumptions!$G$80)*(1-Assumptions!$G$79)-Assumptions!$G$73-Assumptions!$G$75-Assumptions!$G$76-Assumptions!$G$77</f>
        <v>116.02563</v>
      </c>
      <c r="AE102" s="63" t="n">
        <f aca="false">Assumptions!$G$70*(1-Assumptions!$G$80)*(1-Assumptions!$G$79)-Assumptions!$G$73-Assumptions!$G$75-Assumptions!$G$76-Assumptions!$G$77</f>
        <v>116.02563</v>
      </c>
      <c r="AF102" s="63" t="n">
        <f aca="false">Assumptions!$G$70*(1-Assumptions!$G$80)*(1-Assumptions!$G$79)-Assumptions!$G$73-Assumptions!$G$75-Assumptions!$G$76-Assumptions!$G$77</f>
        <v>116.02563</v>
      </c>
      <c r="AG102" s="63" t="n">
        <f aca="false">Assumptions!$G$70*(1-Assumptions!$G$80)*(1-Assumptions!$G$79)-Assumptions!$G$73-Assumptions!$G$75-Assumptions!$G$76-Assumptions!$G$77</f>
        <v>116.02563</v>
      </c>
      <c r="AH102" s="63" t="n">
        <f aca="false">Assumptions!$G$70*(1-Assumptions!$G$80)*(1-Assumptions!$G$79)-Assumptions!$G$73-Assumptions!$G$75-Assumptions!$G$76-Assumptions!$G$77</f>
        <v>116.02563</v>
      </c>
      <c r="AI102" s="63" t="n">
        <f aca="false">Assumptions!$G$70*(1-Assumptions!$G$80)*(1-Assumptions!$G$79)-Assumptions!$G$73-Assumptions!$G$75-Assumptions!$G$76-Assumptions!$G$77</f>
        <v>116.02563</v>
      </c>
      <c r="AJ102" s="63" t="n">
        <f aca="false">Assumptions!$G$70*(1-Assumptions!$G$80)*(1-Assumptions!$G$79)-Assumptions!$G$73-Assumptions!$G$75-Assumptions!$G$76-Assumptions!$G$77</f>
        <v>116.02563</v>
      </c>
      <c r="AK102" s="63" t="n">
        <f aca="false">Assumptions!$G$70*(1-Assumptions!$G$80)*(1-Assumptions!$G$79)-Assumptions!$G$73-Assumptions!$G$75-Assumptions!$G$76-Assumptions!$G$77</f>
        <v>116.02563</v>
      </c>
      <c r="AL102" s="63" t="n">
        <f aca="false">Assumptions!$G$70*(1-Assumptions!$G$80)*(1-Assumptions!$G$79)-Assumptions!$G$73-Assumptions!$G$75-Assumptions!$G$76-Assumptions!$G$77</f>
        <v>116.02563</v>
      </c>
      <c r="AM102" s="63" t="n">
        <f aca="false">AVERAGE(N102:AL102)</f>
        <v>116.02563</v>
      </c>
    </row>
    <row r="103" customFormat="false" ht="15" hidden="false" customHeight="false" outlineLevel="0" collapsed="false">
      <c r="A103" s="10" t="s">
        <v>818</v>
      </c>
      <c r="B103" s="9" t="s">
        <v>95</v>
      </c>
      <c r="C103" s="70" t="n">
        <f aca="false">C102/Assumptions!$G$68</f>
        <v>1054.77845454545</v>
      </c>
      <c r="D103" s="70" t="n">
        <f aca="false">D102/Assumptions!$G$68</f>
        <v>1054.77845454545</v>
      </c>
      <c r="E103" s="70" t="n">
        <f aca="false">E102/Assumptions!$G$68</f>
        <v>1054.77845454545</v>
      </c>
      <c r="F103" s="70" t="n">
        <f aca="false">F102/Assumptions!$G$68</f>
        <v>1054.77845454545</v>
      </c>
      <c r="G103" s="70" t="n">
        <f aca="false">G102/Assumptions!$G$68</f>
        <v>1054.77845454545</v>
      </c>
      <c r="H103" s="70" t="n">
        <f aca="false">H102/Assumptions!$G$68</f>
        <v>1054.77845454545</v>
      </c>
      <c r="I103" s="70" t="n">
        <f aca="false">I102/Assumptions!$G$68</f>
        <v>1054.77845454545</v>
      </c>
      <c r="J103" s="70" t="n">
        <f aca="false">J102/Assumptions!$G$68</f>
        <v>1054.77845454545</v>
      </c>
      <c r="K103" s="70" t="n">
        <f aca="false">K102/Assumptions!$G$68</f>
        <v>1054.77845454545</v>
      </c>
      <c r="L103" s="70" t="n">
        <f aca="false">L102/Assumptions!$G$68</f>
        <v>1054.77845454545</v>
      </c>
      <c r="M103" s="70" t="n">
        <f aca="false">M102/Assumptions!$G$68</f>
        <v>1054.77845454545</v>
      </c>
      <c r="N103" s="70" t="n">
        <f aca="false">N102/Assumptions!$G$68</f>
        <v>1054.77845454545</v>
      </c>
      <c r="O103" s="70" t="n">
        <f aca="false">O102/Assumptions!$G$68</f>
        <v>1054.77845454545</v>
      </c>
      <c r="P103" s="70" t="n">
        <f aca="false">P102/Assumptions!$G$68</f>
        <v>1054.77845454545</v>
      </c>
      <c r="Q103" s="70" t="n">
        <f aca="false">Q102/Assumptions!$G$68</f>
        <v>1054.77845454545</v>
      </c>
      <c r="R103" s="70" t="n">
        <f aca="false">R102/Assumptions!$G$68</f>
        <v>1054.77845454545</v>
      </c>
      <c r="S103" s="70" t="n">
        <f aca="false">S102/Assumptions!$G$68</f>
        <v>1054.77845454545</v>
      </c>
      <c r="T103" s="70" t="n">
        <f aca="false">T102/Assumptions!$G$68</f>
        <v>1054.77845454545</v>
      </c>
      <c r="U103" s="70" t="n">
        <f aca="false">U102/Assumptions!$G$68</f>
        <v>1054.77845454545</v>
      </c>
      <c r="V103" s="70" t="n">
        <f aca="false">V102/Assumptions!$G$68</f>
        <v>1054.77845454545</v>
      </c>
      <c r="W103" s="70" t="n">
        <f aca="false">W102/Assumptions!$G$68</f>
        <v>1054.77845454545</v>
      </c>
      <c r="X103" s="70" t="n">
        <f aca="false">X102/Assumptions!$G$68</f>
        <v>1054.77845454545</v>
      </c>
      <c r="Y103" s="70" t="n">
        <f aca="false">Y102/Assumptions!$G$68</f>
        <v>1054.77845454545</v>
      </c>
      <c r="Z103" s="70" t="n">
        <f aca="false">Z102/Assumptions!$G$68</f>
        <v>1054.77845454545</v>
      </c>
      <c r="AA103" s="70" t="n">
        <f aca="false">AA102/Assumptions!$G$68</f>
        <v>1054.77845454545</v>
      </c>
      <c r="AB103" s="70" t="n">
        <f aca="false">AB102/Assumptions!$G$68</f>
        <v>1054.77845454545</v>
      </c>
      <c r="AC103" s="70" t="n">
        <f aca="false">AC102/Assumptions!$G$68</f>
        <v>1054.77845454545</v>
      </c>
      <c r="AD103" s="70" t="n">
        <f aca="false">AD102/Assumptions!$G$68</f>
        <v>1054.77845454545</v>
      </c>
      <c r="AE103" s="70" t="n">
        <f aca="false">AE102/Assumptions!$G$68</f>
        <v>1054.77845454545</v>
      </c>
      <c r="AF103" s="70" t="n">
        <f aca="false">AF102/Assumptions!$G$68</f>
        <v>1054.77845454545</v>
      </c>
      <c r="AG103" s="70" t="n">
        <f aca="false">AG102/Assumptions!$G$68</f>
        <v>1054.77845454545</v>
      </c>
      <c r="AH103" s="70" t="n">
        <f aca="false">AH102/Assumptions!$G$68</f>
        <v>1054.77845454545</v>
      </c>
      <c r="AI103" s="70" t="n">
        <f aca="false">AI102/Assumptions!$G$68</f>
        <v>1054.77845454545</v>
      </c>
      <c r="AJ103" s="70" t="n">
        <f aca="false">AJ102/Assumptions!$G$68</f>
        <v>1054.77845454545</v>
      </c>
      <c r="AK103" s="70" t="n">
        <f aca="false">AK102/Assumptions!$G$68</f>
        <v>1054.77845454545</v>
      </c>
      <c r="AL103" s="70" t="n">
        <f aca="false">AL102/Assumptions!$G$68</f>
        <v>1054.77845454545</v>
      </c>
      <c r="AM103" s="70" t="n">
        <f aca="false">AVERAGE(N103:AL103)</f>
        <v>1054.77845454545</v>
      </c>
    </row>
    <row r="104" customFormat="false" ht="15" hidden="false" customHeight="false" outlineLevel="0" collapsed="false">
      <c r="A104" s="10" t="s">
        <v>397</v>
      </c>
      <c r="B104" s="9" t="s">
        <v>95</v>
      </c>
      <c r="C104" s="63" t="n">
        <f aca="false">Assumptions!$G$50*(1-Assumptions!$G$80)*(1-Assumptions!$G$79)-Assumptions!$G$50*Assumptions!$G$55-Assumptions!$G$56</f>
        <v>45.68586</v>
      </c>
      <c r="D104" s="63" t="n">
        <f aca="false">Assumptions!$G$50*(1-Assumptions!$G$80)*(1-Assumptions!$G$79)-Assumptions!$G$50*Assumptions!$G$55-Assumptions!$G$56</f>
        <v>45.68586</v>
      </c>
      <c r="E104" s="63" t="n">
        <f aca="false">Assumptions!$G$50*(1-Assumptions!$G$80)*(1-Assumptions!$G$79)-Assumptions!$G$50*Assumptions!$G$55-Assumptions!$G$56</f>
        <v>45.68586</v>
      </c>
      <c r="F104" s="63" t="n">
        <f aca="false">Assumptions!$G$50*(1-Assumptions!$G$80)*(1-Assumptions!$G$79)-Assumptions!$G$50*Assumptions!$G$55-Assumptions!$G$56</f>
        <v>45.68586</v>
      </c>
      <c r="G104" s="63" t="n">
        <f aca="false">Assumptions!$G$50*(1-Assumptions!$G$80)*(1-Assumptions!$G$79)-Assumptions!$G$50*Assumptions!$G$55-Assumptions!$G$56</f>
        <v>45.68586</v>
      </c>
      <c r="H104" s="63" t="n">
        <f aca="false">Assumptions!$G$50*(1-Assumptions!$G$80)*(1-Assumptions!$G$79)-Assumptions!$G$50*Assumptions!$G$55-Assumptions!$G$56</f>
        <v>45.68586</v>
      </c>
      <c r="I104" s="63" t="n">
        <f aca="false">Assumptions!$G$50*(1-Assumptions!$G$80)*(1-Assumptions!$G$79)-Assumptions!$G$50*Assumptions!$G$55-Assumptions!$G$56</f>
        <v>45.68586</v>
      </c>
      <c r="J104" s="63" t="n">
        <f aca="false">Assumptions!$G$50*(1-Assumptions!$G$80)*(1-Assumptions!$G$79)-Assumptions!$G$50*Assumptions!$G$55-Assumptions!$G$56</f>
        <v>45.68586</v>
      </c>
      <c r="K104" s="63" t="n">
        <f aca="false">Assumptions!$G$50*(1-Assumptions!$G$80)*(1-Assumptions!$G$79)-Assumptions!$G$50*Assumptions!$G$55-Assumptions!$G$56</f>
        <v>45.68586</v>
      </c>
      <c r="L104" s="63" t="n">
        <f aca="false">Assumptions!$G$50*(1-Assumptions!$G$80)*(1-Assumptions!$G$79)-Assumptions!$G$50*Assumptions!$G$55-Assumptions!$G$56</f>
        <v>45.68586</v>
      </c>
      <c r="M104" s="63" t="n">
        <f aca="false">Assumptions!$G$50*(1-Assumptions!$G$80)*(1-Assumptions!$G$79)-Assumptions!$G$50*Assumptions!$G$55-Assumptions!$G$56</f>
        <v>45.68586</v>
      </c>
      <c r="N104" s="63" t="n">
        <f aca="false">Assumptions!$G$50*(1-Assumptions!$G$80)*(1-Assumptions!$G$79)-Assumptions!$G$50*Assumptions!$G$55-Assumptions!$G$56</f>
        <v>45.68586</v>
      </c>
      <c r="O104" s="63" t="n">
        <f aca="false">Assumptions!$G$50*(1-Assumptions!$G$80)*(1-Assumptions!$G$79)-Assumptions!$G$50*Assumptions!$G$55-Assumptions!$G$56</f>
        <v>45.68586</v>
      </c>
      <c r="P104" s="63" t="n">
        <f aca="false">Assumptions!$G$50*(1-Assumptions!$G$80)*(1-Assumptions!$G$79)-Assumptions!$G$50*Assumptions!$G$55-Assumptions!$G$56</f>
        <v>45.68586</v>
      </c>
      <c r="Q104" s="63" t="n">
        <f aca="false">Assumptions!$G$50*(1-Assumptions!$G$80)*(1-Assumptions!$G$79)-Assumptions!$G$50*Assumptions!$G$55-Assumptions!$G$56</f>
        <v>45.68586</v>
      </c>
      <c r="R104" s="63" t="n">
        <f aca="false">Assumptions!$G$50*(1-Assumptions!$G$80)*(1-Assumptions!$G$79)-Assumptions!$G$50*Assumptions!$G$55-Assumptions!$G$56</f>
        <v>45.68586</v>
      </c>
      <c r="S104" s="63" t="n">
        <f aca="false">Assumptions!$G$50*(1-Assumptions!$G$80)*(1-Assumptions!$G$79)-Assumptions!$G$50*Assumptions!$G$55-Assumptions!$G$56</f>
        <v>45.68586</v>
      </c>
      <c r="T104" s="63" t="n">
        <f aca="false">Assumptions!$G$50*(1-Assumptions!$G$80)*(1-Assumptions!$G$79)-Assumptions!$G$50*Assumptions!$G$55-Assumptions!$G$56</f>
        <v>45.68586</v>
      </c>
      <c r="U104" s="63" t="n">
        <f aca="false">Assumptions!$G$50*(1-Assumptions!$G$80)*(1-Assumptions!$G$79)-Assumptions!$G$50*Assumptions!$G$55-Assumptions!$G$56</f>
        <v>45.68586</v>
      </c>
      <c r="V104" s="63" t="n">
        <f aca="false">Assumptions!$G$50*(1-Assumptions!$G$80)*(1-Assumptions!$G$79)-Assumptions!$G$50*Assumptions!$G$55-Assumptions!$G$56</f>
        <v>45.68586</v>
      </c>
      <c r="W104" s="63" t="n">
        <f aca="false">Assumptions!$G$50*(1-Assumptions!$G$80)*(1-Assumptions!$G$79)-Assumptions!$G$50*Assumptions!$G$55-Assumptions!$G$56</f>
        <v>45.68586</v>
      </c>
      <c r="X104" s="63" t="n">
        <f aca="false">Assumptions!$G$50*(1-Assumptions!$G$80)*(1-Assumptions!$G$79)-Assumptions!$G$50*Assumptions!$G$55-Assumptions!$G$56</f>
        <v>45.68586</v>
      </c>
      <c r="Y104" s="63" t="n">
        <f aca="false">Assumptions!$G$50*(1-Assumptions!$G$80)*(1-Assumptions!$G$79)-Assumptions!$G$50*Assumptions!$G$55-Assumptions!$G$56</f>
        <v>45.68586</v>
      </c>
      <c r="Z104" s="63" t="n">
        <f aca="false">Assumptions!$G$50*(1-Assumptions!$G$80)*(1-Assumptions!$G$79)-Assumptions!$G$50*Assumptions!$G$55-Assumptions!$G$56</f>
        <v>45.68586</v>
      </c>
      <c r="AA104" s="63" t="n">
        <f aca="false">Assumptions!$G$50*(1-Assumptions!$G$80)*(1-Assumptions!$G$79)-Assumptions!$G$50*Assumptions!$G$55-Assumptions!$G$56</f>
        <v>45.68586</v>
      </c>
      <c r="AB104" s="63" t="n">
        <f aca="false">Assumptions!$G$50*(1-Assumptions!$G$80)*(1-Assumptions!$G$79)-Assumptions!$G$50*Assumptions!$G$55-Assumptions!$G$56</f>
        <v>45.68586</v>
      </c>
      <c r="AC104" s="63" t="n">
        <f aca="false">Assumptions!$G$50*(1-Assumptions!$G$80)*(1-Assumptions!$G$79)-Assumptions!$G$50*Assumptions!$G$55-Assumptions!$G$56</f>
        <v>45.68586</v>
      </c>
      <c r="AD104" s="63" t="n">
        <f aca="false">Assumptions!$G$50*(1-Assumptions!$G$80)*(1-Assumptions!$G$79)-Assumptions!$G$50*Assumptions!$G$55-Assumptions!$G$56</f>
        <v>45.68586</v>
      </c>
      <c r="AE104" s="63" t="n">
        <f aca="false">Assumptions!$G$50*(1-Assumptions!$G$80)*(1-Assumptions!$G$79)-Assumptions!$G$50*Assumptions!$G$55-Assumptions!$G$56</f>
        <v>45.68586</v>
      </c>
      <c r="AF104" s="63" t="n">
        <f aca="false">Assumptions!$G$50*(1-Assumptions!$G$80)*(1-Assumptions!$G$79)-Assumptions!$G$50*Assumptions!$G$55-Assumptions!$G$56</f>
        <v>45.68586</v>
      </c>
      <c r="AG104" s="63" t="n">
        <f aca="false">Assumptions!$G$50*(1-Assumptions!$G$80)*(1-Assumptions!$G$79)-Assumptions!$G$50*Assumptions!$G$55-Assumptions!$G$56</f>
        <v>45.68586</v>
      </c>
      <c r="AH104" s="63" t="n">
        <f aca="false">Assumptions!$G$50*(1-Assumptions!$G$80)*(1-Assumptions!$G$79)-Assumptions!$G$50*Assumptions!$G$55-Assumptions!$G$56</f>
        <v>45.68586</v>
      </c>
      <c r="AI104" s="63" t="n">
        <f aca="false">Assumptions!$G$50*(1-Assumptions!$G$80)*(1-Assumptions!$G$79)-Assumptions!$G$50*Assumptions!$G$55-Assumptions!$G$56</f>
        <v>45.68586</v>
      </c>
      <c r="AJ104" s="63" t="n">
        <f aca="false">Assumptions!$G$50*(1-Assumptions!$G$80)*(1-Assumptions!$G$79)-Assumptions!$G$50*Assumptions!$G$55-Assumptions!$G$56</f>
        <v>45.68586</v>
      </c>
      <c r="AK104" s="63" t="n">
        <f aca="false">Assumptions!$G$50*(1-Assumptions!$G$80)*(1-Assumptions!$G$79)-Assumptions!$G$50*Assumptions!$G$55-Assumptions!$G$56</f>
        <v>45.68586</v>
      </c>
      <c r="AL104" s="63" t="n">
        <f aca="false">Assumptions!$G$50*(1-Assumptions!$G$80)*(1-Assumptions!$G$79)-Assumptions!$G$50*Assumptions!$G$55-Assumptions!$G$56</f>
        <v>45.68586</v>
      </c>
      <c r="AM104" s="63" t="n">
        <f aca="false">AVERAGE(N104:AL104)</f>
        <v>45.68586</v>
      </c>
    </row>
    <row r="105" customFormat="false" ht="15" hidden="false" customHeight="false" outlineLevel="0" collapsed="false">
      <c r="A105" s="10" t="s">
        <v>398</v>
      </c>
      <c r="B105" s="9" t="s">
        <v>95</v>
      </c>
      <c r="C105" s="70" t="n">
        <f aca="false">C104/Assumptions!$G$52</f>
        <v>652.655142857143</v>
      </c>
      <c r="D105" s="70" t="n">
        <f aca="false">D104/Assumptions!$G$52</f>
        <v>652.655142857143</v>
      </c>
      <c r="E105" s="70" t="n">
        <f aca="false">E104/Assumptions!$G$52</f>
        <v>652.655142857143</v>
      </c>
      <c r="F105" s="70" t="n">
        <f aca="false">F104/Assumptions!$G$52</f>
        <v>652.655142857143</v>
      </c>
      <c r="G105" s="70" t="n">
        <f aca="false">G104/Assumptions!$G$52</f>
        <v>652.655142857143</v>
      </c>
      <c r="H105" s="70" t="n">
        <f aca="false">H104/Assumptions!$G$52</f>
        <v>652.655142857143</v>
      </c>
      <c r="I105" s="70" t="n">
        <f aca="false">I104/Assumptions!$G$52</f>
        <v>652.655142857143</v>
      </c>
      <c r="J105" s="70" t="n">
        <f aca="false">J104/Assumptions!$G$52</f>
        <v>652.655142857143</v>
      </c>
      <c r="K105" s="70" t="n">
        <f aca="false">K104/Assumptions!$G$52</f>
        <v>652.655142857143</v>
      </c>
      <c r="L105" s="70" t="n">
        <f aca="false">L104/Assumptions!$G$52</f>
        <v>652.655142857143</v>
      </c>
      <c r="M105" s="70" t="n">
        <f aca="false">M104/Assumptions!$G$52</f>
        <v>652.655142857143</v>
      </c>
      <c r="N105" s="70" t="n">
        <f aca="false">N104/Assumptions!$G$52</f>
        <v>652.655142857143</v>
      </c>
      <c r="O105" s="70" t="n">
        <f aca="false">O104/Assumptions!$G$52</f>
        <v>652.655142857143</v>
      </c>
      <c r="P105" s="70" t="n">
        <f aca="false">P104/Assumptions!$G$52</f>
        <v>652.655142857143</v>
      </c>
      <c r="Q105" s="70" t="n">
        <f aca="false">Q104/Assumptions!$G$52</f>
        <v>652.655142857143</v>
      </c>
      <c r="R105" s="70" t="n">
        <f aca="false">R104/Assumptions!$G$52</f>
        <v>652.655142857143</v>
      </c>
      <c r="S105" s="70" t="n">
        <f aca="false">S104/Assumptions!$G$52</f>
        <v>652.655142857143</v>
      </c>
      <c r="T105" s="70" t="n">
        <f aca="false">T104/Assumptions!$G$52</f>
        <v>652.655142857143</v>
      </c>
      <c r="U105" s="70" t="n">
        <f aca="false">U104/Assumptions!$G$52</f>
        <v>652.655142857143</v>
      </c>
      <c r="V105" s="70" t="n">
        <f aca="false">V104/Assumptions!$G$52</f>
        <v>652.655142857143</v>
      </c>
      <c r="W105" s="70" t="n">
        <f aca="false">W104/Assumptions!$G$52</f>
        <v>652.655142857143</v>
      </c>
      <c r="X105" s="70" t="n">
        <f aca="false">X104/Assumptions!$G$52</f>
        <v>652.655142857143</v>
      </c>
      <c r="Y105" s="70" t="n">
        <f aca="false">Y104/Assumptions!$G$52</f>
        <v>652.655142857143</v>
      </c>
      <c r="Z105" s="70" t="n">
        <f aca="false">Z104/Assumptions!$G$52</f>
        <v>652.655142857143</v>
      </c>
      <c r="AA105" s="70" t="n">
        <f aca="false">AA104/Assumptions!$G$52</f>
        <v>652.655142857143</v>
      </c>
      <c r="AB105" s="70" t="n">
        <f aca="false">AB104/Assumptions!$G$52</f>
        <v>652.655142857143</v>
      </c>
      <c r="AC105" s="70" t="n">
        <f aca="false">AC104/Assumptions!$G$52</f>
        <v>652.655142857143</v>
      </c>
      <c r="AD105" s="70" t="n">
        <f aca="false">AD104/Assumptions!$G$52</f>
        <v>652.655142857143</v>
      </c>
      <c r="AE105" s="70" t="n">
        <f aca="false">AE104/Assumptions!$G$52</f>
        <v>652.655142857143</v>
      </c>
      <c r="AF105" s="70" t="n">
        <f aca="false">AF104/Assumptions!$G$52</f>
        <v>652.655142857143</v>
      </c>
      <c r="AG105" s="70" t="n">
        <f aca="false">AG104/Assumptions!$G$52</f>
        <v>652.655142857143</v>
      </c>
      <c r="AH105" s="70" t="n">
        <f aca="false">AH104/Assumptions!$G$52</f>
        <v>652.655142857143</v>
      </c>
      <c r="AI105" s="70" t="n">
        <f aca="false">AI104/Assumptions!$G$52</f>
        <v>652.655142857143</v>
      </c>
      <c r="AJ105" s="70" t="n">
        <f aca="false">AJ104/Assumptions!$G$52</f>
        <v>652.655142857143</v>
      </c>
      <c r="AK105" s="70" t="n">
        <f aca="false">AK104/Assumptions!$G$52</f>
        <v>652.655142857143</v>
      </c>
      <c r="AL105" s="70" t="n">
        <f aca="false">AL104/Assumptions!$G$52</f>
        <v>652.655142857143</v>
      </c>
      <c r="AM105" s="70" t="n">
        <f aca="false">AVERAGE(N105:AL105)</f>
        <v>652.655142857143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2026-09-18T21:25:53Z</dcterms:created>
  <dc:creator>openpyxl</dc:creator>
  <dc:description/>
  <dc:language>en-US</dc:language>
  <cp:lastModifiedBy/>
  <dcterms:modified xsi:type="dcterms:W3CDTF">2026-09-18T21:25:53Z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