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base" sheetId="2" state="visible" r:id="rId4"/>
    <sheet name="Classification Summary" sheetId="3" state="visible" r:id="rId5"/>
    <sheet name="Lessons" sheetId="4" state="visible" r:id="rId6"/>
    <sheet name="Principal Watchlist" sheetId="5" state="visible" r:id="rId7"/>
    <sheet name="Sources" sheetId="6" state="visible" r:id="rId8"/>
  </sheets>
  <definedNames>
    <definedName function="false" hidden="true" localSheetId="1" name="_xlnm._FilterDatabase" vbProcedure="false">Database!$A$1:$S$60</definedName>
    <definedName function="false" hidden="true" localSheetId="3" name="_xlnm._FilterDatabase" vbProcedure="false">Lessons!$A$1:$C$9</definedName>
    <definedName function="false" hidden="true" localSheetId="4" name="_xlnm._FilterDatabase" vbProcedure="false">'Principal Watchlist'!$A$3:$F$62</definedName>
    <definedName function="false" hidden="true" localSheetId="5" name="_xlnm._FilterDatabase" vbProcedure="false">Sources!$A$1:$E$189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<sst xmlns="http://schemas.openxmlformats.org/spreadsheetml/2006/main" count="2421" uniqueCount="1006">
  <si>
    <t xml:space="preserve">04 — Celebrity Founder, Investor and Ambassador Database (prepared 2026-09-02)</t>
  </si>
  <si>
    <t xml:space="preserve">Every relationship is classified as exactly one of: 1 Verified founder or cofounder · 2 Verified equity owner or investor · 3 Executive or board member · 4 Medical advisor · 5 Brand ambassador or spokesperson · 6 Recurring paid influencer · 7 Affiliate · 8 One-time campaign participant · 9 Unverified or rumored association. Appearing in advertising does not make someone a cofounder.</t>
  </si>
  <si>
    <t xml:space="preserve">RESEARCH LIMITATION (material): this audit was performed on 2026-09-02 from a research environment whose egress proxy blocked direct page loads of company websites, regulators, review sites, ad libraries and traffic tools, and whose web-search budget was capped. Facts therefore derive from dated search-result excerpts of the cited pages, labeled Verified fact / Company-reported claim / Third-party estimate / Analyst inference. Traffic estimates, social audience counts and ad-library activity were not retrievable. No screenshots were captured. Nothing was invented; 'unknown' means not found. Follower counts are approximate mid-2025/2026 figures from search excerpts and must be re-verified before external use.</t>
  </si>
  <si>
    <t xml:space="preserve">Sheets: Database (59 records) · Classification Summary (COUNTIF formulas) · Lessons · Principal Watchlist (Scott Disick, Dr. Michael Azziz — proposed, unverified) · Sources. Narrative analysis: research/03_celebrity_database.md.</t>
  </si>
  <si>
    <t xml:space="preserve">Company</t>
  </si>
  <si>
    <t xml:space="preserve">Company URL</t>
  </si>
  <si>
    <t xml:space="preserve">Segment</t>
  </si>
  <si>
    <t xml:space="preserve">Celebrity / public figure</t>
  </si>
  <si>
    <t xml:space="preserve">Relationship class</t>
  </si>
  <si>
    <t xml:space="preserve">Nature of involvement</t>
  </si>
  <si>
    <t xml:space="preserve">Announcement date</t>
  </si>
  <si>
    <t xml:space="preserve">Evidence URLs</t>
  </si>
  <si>
    <t xml:space="preserve">Ownership verified</t>
  </si>
  <si>
    <t xml:space="preserve">Relationship current</t>
  </si>
  <si>
    <t xml:space="preserve">Public role</t>
  </si>
  <si>
    <t xml:space="preserve">Audience fit</t>
  </si>
  <si>
    <t xml:space="preserve">Audience size (approx.)</t>
  </si>
  <si>
    <t xml:space="preserve">Marketing impact observed</t>
  </si>
  <si>
    <t xml:space="preserve">Reputation / concentration risk</t>
  </si>
  <si>
    <t xml:space="preserve">FTC disclosure notes</t>
  </si>
  <si>
    <t xml:space="preserve">Peptide relevance</t>
  </si>
  <si>
    <t xml:space="preserve">Evidence label</t>
  </si>
  <si>
    <t xml:space="preserve">Access date</t>
  </si>
  <si>
    <t xml:space="preserve">BioLongevity Labs</t>
  </si>
  <si>
    <t xml:space="preserve">https://biolongevitylabs.com</t>
  </si>
  <si>
    <t xml:space="preserve">RUO vendor</t>
  </si>
  <si>
    <t xml:space="preserve">Jay Campbell</t>
  </si>
  <si>
    <t xml:space="preserve">1 - Verified founder or cofounder</t>
  </si>
  <si>
    <t xml:space="preserve">Co-founder (with Hunter Williams and Josh Felber) of a US-based research-peptide and bioregulator manufacturer/vendor marketed as 'research use only'. Campbell is a 5x bestselling author on TRT/peptides and previously founded and sold the peptide cosmeceutical company Aseir Custom (2022). He co-authored the widely circulated 'Peptide Cheat Sheet' dosing document.</t>
  </si>
  <si>
    <t xml:space="preserve">2024 (company launch coverage 2024-2025)</t>
  </si>
  <si>
    <t xml:space="preserve">https://www.beautyindependent.com/biolongevity-labs-wants-demystify-peptides/; https://www.lifesciencesreview.com/biolongevity-labs-2026; https://sportsnutrition.biz/biolongevity-labs-co-founder-discusses-peptides-for-fitness-and-sports-nutrition/; https://www.forbes.com/sites/shaheenajanjuhajivrajeurope/2026/07/27/the-founder-asset-how-jay-campbell-scaled-trust-into-longevity/</t>
  </si>
  <si>
    <t xml:space="preserve">yes</t>
  </si>
  <si>
    <t xml:space="preserve">Cofounder / public face, podcaster, author</t>
  </si>
  <si>
    <t xml:space="preserve">High - audience is exactly the biohacker/TRT/peptide-curious male 30-55 buyer</t>
  </si>
  <si>
    <t xml:space="preserve">YouTube + Instagram + podcast; low hundreds of thousands combined (approximate follower figure; analyst estimate as of mid-2025 - not re-verified this session because live fetch was blocked)</t>
  </si>
  <si>
    <t xml:space="preserve">Company-reported: named 'Research Peptides Manufacturing Company of the Year 2026' by Life Sciences Review; Forbes (Jul 2026) profile frames Campbell's audience trust as the core growth asset. No audited sales figures found.</t>
  </si>
  <si>
    <t xml:space="preserve">Very high key-person risk: brand equity sits in Campbell's personal audience. Regulatory risk: RUO-labeled peptides sold to consumers who inject them; FDA warning-letter exposure; 'cheat sheet' dosing content blurs RUO positioning.</t>
  </si>
  <si>
    <t xml:space="preserve">Founder promotion of own company is not an endorsement requiring FTC 'material connection' disclosure per se, but affiliate/influencer promotions of RUO peptides for human use create FTC (deceptive claims) and FDA (unapproved new drug) exposure.</t>
  </si>
  <si>
    <t xml:space="preserve">direct</t>
  </si>
  <si>
    <t xml:space="preserve">Verified fact</t>
  </si>
  <si>
    <t xml:space="preserve">2026-09-02</t>
  </si>
  <si>
    <t xml:space="preserve">Hunter Williams</t>
  </si>
  <si>
    <t xml:space="preserve">Co-founder; peptide-education podcaster and co-author of the 'Peptide Cheat Sheet'. Publicly discloses his own stack (Ipamorelin, Tesamorelin, BPC-157, TB-500, TA-1, microdose tirzepatide).</t>
  </si>
  <si>
    <t xml:space="preserve">2024</t>
  </si>
  <si>
    <t xml:space="preserve">https://www.beautyindependent.com/biolongevity-labs-wants-demystify-peptides/; https://www.peptideschedule.com/protocols/by/hunter-williams; https://www.audible.com/podcast/Shutting-Down-The-Podcast-What-Comes-Next-with-Hunter-Williams/B0DJB1D2Y9</t>
  </si>
  <si>
    <t xml:space="preserve">Cofounder / educator</t>
  </si>
  <si>
    <t xml:space="preserve">High - niche peptide enthusiasts</t>
  </si>
  <si>
    <t xml:space="preserve">Podcast + YouTube; tens of thousands (approximate follower figure; analyst estimate as of mid-2025 - not re-verified this session because live fetch was blocked)</t>
  </si>
  <si>
    <t xml:space="preserve">Not quantified publicly.</t>
  </si>
  <si>
    <t xml:space="preserve">Personal-protocol disclosure of Category-2 peptides (BPC-157, TB-500) invites FDA scrutiny of the RUO label; key-person risk shared with Campbell.</t>
  </si>
  <si>
    <t xml:space="preserve">Same as Campbell record.</t>
  </si>
  <si>
    <t xml:space="preserve">Limitless Life Nootropics / Limitless Biotech</t>
  </si>
  <si>
    <t xml:space="preserve">https://limitlesslifenootropics.com</t>
  </si>
  <si>
    <t xml:space="preserve">7 - Affiliate</t>
  </si>
  <si>
    <t xml:space="preserve">Long-running affiliate/code-holder and public 'backer' of this Florida peptide vendor (founded by Chris Mercer); Campbell's website and podcasts route purchases to Limitless with discount codes. Ben Greenfield also promotes it. Not a founder.</t>
  </si>
  <si>
    <t xml:space="preserve">2019 onward (ongoing)</t>
  </si>
  <si>
    <t xml:space="preserve">https://outliyr.com/best-online-peptide-companies-websites-sources; https://bengreenfieldlife.com/podcast/jay-campbell-limitlesslife/</t>
  </si>
  <si>
    <t xml:space="preserve">no</t>
  </si>
  <si>
    <t xml:space="preserve">unknown</t>
  </si>
  <si>
    <t xml:space="preserve">Affiliate / promoter</t>
  </si>
  <si>
    <t xml:space="preserve">High</t>
  </si>
  <si>
    <t xml:space="preserve">See Campbell record</t>
  </si>
  <si>
    <t xml:space="preserve">Third-party review sites cite Limitless as a 'premier peptide source' backed by '200+ professionals'; no sales data.</t>
  </si>
  <si>
    <t xml:space="preserve">Affiliate-driven RUO sales for human use is the highest-risk model in the category (FTC + FDA).</t>
  </si>
  <si>
    <t xml:space="preserve">Discount-code affiliate relationships require clear and conspicuous disclosure in each promotion under FTC Endorsement Guides (2023 update).</t>
  </si>
  <si>
    <t xml:space="preserve">Company-reported claim</t>
  </si>
  <si>
    <t xml:space="preserve">Ways2Well</t>
  </si>
  <si>
    <t xml:space="preserve">https://ways2well.com</t>
  </si>
  <si>
    <t xml:space="preserve">Telehealth/clinician-led</t>
  </si>
  <si>
    <t xml:space="preserve">Joe Rogan</t>
  </si>
  <si>
    <t xml:space="preserve">9 - Unverified or rumored association</t>
  </si>
  <si>
    <t xml:space="preserve">Listed on Ways2Well's website as a celebrity client; founder Brigham Buhler (ex-pharma rep) has appeared on JRE at least three times (#1873 2022, #2079, #2376 2025). Rogan has said BPC-157 cured his elbow tendonitis 'in two weeks'. No evidence of equity, payment or formal endorsement.</t>
  </si>
  <si>
    <t xml:space="preserve">2022-2025 (podcast appearances)</t>
  </si>
  <si>
    <t xml:space="preserve">https://www.cnn.com/2025/11/15/health/peptides-unregulated-influencers; https://www.usnews.com/news/us/articles/2025-11-14/a-closer-look-at-the-unapproved-peptide-injections-promoted-by-influencers-and-celebrities; https://ways2well.com/jre; https://podcastnotes.org/joe-rogan-experience/brigham-buhler-the-dark-side-of-big-pharma-llms-in-medicine-compounding-peptides-stem-cell-therapy-more-the-joe-rogan-experience-2079/; https://www.houstonchronicle.com/lifestyle/article/houston-longevity-clinics-fountain-life-ways2well-22268415.php</t>
  </si>
  <si>
    <t xml:space="preserve">Client / podcast host (informal)</t>
  </si>
  <si>
    <t xml:space="preserve">Very high - JRE audience is the single largest peptide-curious male audience in the US</t>
  </si>
  <si>
    <t xml:space="preserve">JRE: ~19M YouTube subs, ~19M Instagram; #1 Spotify podcast (approximate follower figure; analyst estimate as of mid-2025 - not re-verified this session because live fetch was blocked)</t>
  </si>
  <si>
    <t xml:space="preserve">Third-party: Psychology Today (Aug 2026) counts BPC-157 mentions in 31+ JRE episodes and credits Rogan with the peptide's mainstream take-off; Ways2Well also credited (AP/CNN Nov 2025) with Jelly Roll (200+ lb) and Russell Crowe (30 lb) transformations. $99 peptide consult then mail-order vials.</t>
  </si>
  <si>
    <t xml:space="preserve">AP/CNN investigation (Nov 2025) framed Ways2Well as emblematic of 'unproven peptides' sold by 'RFK Jr allies'; being a listed client without consent controls is reputational exposure for Rogan; regulatory exposure for the clinic.</t>
  </si>
  <si>
    <t xml:space="preserve">No disclosure needed if unpaid, but website use of Rogan's name as 'client' is a testimonial subject to FTC substantiation rules if used to imply results.</t>
  </si>
  <si>
    <t xml:space="preserve">Third-party estimate</t>
  </si>
  <si>
    <t xml:space="preserve">Onnit (Unilever)</t>
  </si>
  <si>
    <t xml:space="preserve">https://www.onnit.com</t>
  </si>
  <si>
    <t xml:space="preserve">Consumer supplement/cosmetic</t>
  </si>
  <si>
    <t xml:space="preserve">2 - Verified equity owner or investor</t>
  </si>
  <si>
    <t xml:space="preserve">Co-owner / equity partner alongside founder Aubrey Marcus from Alpha Brain's 2010-11 launch; Unilever acquired Onnit April 26, 2021 (terms undisclosed; estimates $100M-$400M). Rogan is not a founder in the operating sense; he was the launch influencer who took equity.</t>
  </si>
  <si>
    <t xml:space="preserve">2011 (partnership); 2021-04-26 (Unilever acquisition)</t>
  </si>
  <si>
    <t xml:space="preserve">https://joshua-schall.medium.com/unilever-adds-onnit-to-growing-supplement-brands-portfolio-a1230dba013a; https://www.capitalism.com/onnit/</t>
  </si>
  <si>
    <t xml:space="preserve">Co-owner / lead promoter (pre-sale)</t>
  </si>
  <si>
    <t xml:space="preserve">Very high</t>
  </si>
  <si>
    <t xml:space="preserve">See Ways2Well record</t>
  </si>
  <si>
    <t xml:space="preserve">Third-party: Alpha Brain sold out three production runs on Rogan promotion alone before the first supplier payment was due; Unilever exit is the clearest 'influencer-equity to 9-figure exit' case in supplements.</t>
  </si>
  <si>
    <t xml:space="preserve">Post-acquisition, Rogan's continued promotion of unapproved peptides (BPC-157) sits awkwardly with a Unilever-owned brand he is associated with.</t>
  </si>
  <si>
    <t xml:space="preserve">Rogan historically read Onnit ads on JRE as an owner; ownership disclosure was generally made ('my company').</t>
  </si>
  <si>
    <t xml:space="preserve">adjacent</t>
  </si>
  <si>
    <t xml:space="preserve">Ro</t>
  </si>
  <si>
    <t xml:space="preserve">https://ro.co</t>
  </si>
  <si>
    <t xml:space="preserve">Serena Williams</t>
  </si>
  <si>
    <t xml:space="preserve">5 - Brand ambassador or spokesperson</t>
  </si>
  <si>
    <t xml:space="preserve">'Celebrity patient ambassador' for GLP-1 weight-loss program; multi-year campaign announced Aug 21, 2025 after Williams disclosed (Vogue) she started GLP-1s Jan 2025 and lost 31 lb on Zepbound obtained via Ro. National digital/broadcast/OOH campaign; starred in Ro's Super Bowl LX 'Healthier on Ro' spot (Feb 2026).</t>
  </si>
  <si>
    <t xml:space="preserve">2025-08-21</t>
  </si>
  <si>
    <t xml:space="preserve">https://www.prnewswire.com/news-releases/serena-williams-joins-ro-as-glp-1-celebrity-ambassador-302535068.html; https://ro.co/press/serena-williams/; https://www.healthcare-brew.com/stories/2025/09/10/serena-williams-ros-celeb-ambassador-pharma-advertising; https://www.mmm-online.com/news/inside-serena-williams-partnership-with-ro-for-glp-1s/; https://www.nbcnews.com/health/health-news/serena-williams-weight-loss-drug-rcna256202; https://www.modernhealthcare.com/health-tech/mh-hims-ro-eli-lilly-super-bowl-lx/</t>
  </si>
  <si>
    <t xml:space="preserve">no (Williams); husband Alexis Ohanian is a Ro investor and board member</t>
  </si>
  <si>
    <t xml:space="preserve">Paid ambassador / patient testimonial</t>
  </si>
  <si>
    <t xml:space="preserve">Very high - women 35-55, athletes, GLP-1 stigma reduction</t>
  </si>
  <si>
    <t xml:space="preserve">Instagram ~18M; X ~10M (approximate follower figure; analyst estimate as of mid-2025 - not re-verified this session because live fetch was blocked)</t>
  </si>
  <si>
    <t xml:space="preserve">Company-reported: Ro's 'largest ad campaign to date'; Healthcare Brew called it 'a big shift' in pharma advertising (first A-list athlete fronting a branded GLP-1 telehealth campaign). Sales lift not disclosed.</t>
  </si>
  <si>
    <t xml:space="preserve">Concentration risk: Ro's brand identity now tied to one athlete; WADA/return-to-tennis storyline (Tennis.com) creates narrative risk. Conflict-of-interest optics because Ohanian sits on Ro's board.</t>
  </si>
  <si>
    <t xml:space="preserve">Sponsored Instagram posts labeled as Ro-sponsored; DTC drug promotion must meet FDA fair-balance rules for branded (Zepbound) references - Ro used 'patient story' framing.</t>
  </si>
  <si>
    <t xml:space="preserve">direct (GLP-1 peptide drug)</t>
  </si>
  <si>
    <t xml:space="preserve">Alexis Ohanian</t>
  </si>
  <si>
    <t xml:space="preserve">Investor (Seven Seven Six) and board member of Ro; disclosed in coverage of wife Serena Williams' ambassador deal.</t>
  </si>
  <si>
    <t xml:space="preserve">Pre-2025 (disclosed Aug 2025)</t>
  </si>
  <si>
    <t xml:space="preserve">https://www.mmm-online.com/news/inside-serena-williams-partnership-with-ro-for-glp-1s/; https://www.healthcare-brew.com/stories/2025/09/10/serena-williams-ros-celeb-ambassador-pharma-advertising</t>
  </si>
  <si>
    <t xml:space="preserve">Investor / board director</t>
  </si>
  <si>
    <t xml:space="preserve">Medium</t>
  </si>
  <si>
    <t xml:space="preserve">Instagram ~1M; X ~1M (approximate follower figure; analyst estimate as of mid-2025 - not re-verified this session because live fetch was blocked)</t>
  </si>
  <si>
    <t xml:space="preserve">Not separately measured.</t>
  </si>
  <si>
    <t xml:space="preserve">Related-party optics on the Williams deal.</t>
  </si>
  <si>
    <t xml:space="preserve">Board/investor status disclosed by press; ambassador materials should disclose the family financial interest.</t>
  </si>
  <si>
    <t xml:space="preserve">Hims &amp; Hers Health</t>
  </si>
  <si>
    <t xml:space="preserve">https://www.hims.com</t>
  </si>
  <si>
    <t xml:space="preserve">Common</t>
  </si>
  <si>
    <t xml:space="preserve">8 - One-time campaign participant</t>
  </si>
  <si>
    <t xml:space="preserve">Voice-over for Super Bowl LX (Feb 2026) spot 'Rich People Live Longer' (longevity/affordability framing; did not name GLP-1s). Follows Hims' 2025 'Sick of the System' compounded-GLP-1 ad, which had no celebrity.</t>
  </si>
  <si>
    <t xml:space="preserve">2026-02</t>
  </si>
  <si>
    <t xml:space="preserve">https://www.mmm-online.com/news/hims-hers-returns-with-another-super-bowl-ad/; https://www.fiercepharma.com/marketing/hims-hers-uses-another-super-bowl-ad-tackle-healthcare-affordability; https://www.fiercehealthcare.com/health-tech/hims-hers-sees-650-spike-traffic-following-super-bowl-ad-clash-over-compounded-glp-1s; https://adage.com/super-bowl/super-bowl-commercial-archive/2025/aa-hims-hers-sick-of-the-system/</t>
  </si>
  <si>
    <t xml:space="preserve">Narrator (one-off)</t>
  </si>
  <si>
    <t xml:space="preserve">Instagram ~5M (approximate follower figure; analyst estimate as of mid-2025 - not re-verified this session because live fetch was blocked)</t>
  </si>
  <si>
    <t xml:space="preserve">Third-party: 2025 (non-celebrity) spot drove a 650% traffic spike in the hours after airing (Fierce Healthcare); shows the category can generate spikes without celebrity. 2026 spot's lift not disclosed.</t>
  </si>
  <si>
    <t xml:space="preserve">Hims' 2025 ad drew senator letters and FDA/critic backlash over compounded semaglutide risk disclosure; celebrity attachment inherits that scrutiny.</t>
  </si>
  <si>
    <t xml:space="preserve">Compounded-drug ads sit outside FDA branded-ad rules; critics flagged missing side-effect disclosure in 2025.</t>
  </si>
  <si>
    <t xml:space="preserve">direct (GLP-1)</t>
  </si>
  <si>
    <t xml:space="preserve">Noom</t>
  </si>
  <si>
    <t xml:space="preserve">https://www.noom.com</t>
  </si>
  <si>
    <t xml:space="preserve">Rebel Wilson</t>
  </si>
  <si>
    <t xml:space="preserve">Named 'Chief Wellness Ambassador' Sept 18, 2025 to front 'Lose for Keeps' campaign promoting microhabits and 'microdose GLP-1s' (compounded). Title is marketing, not an executive role.</t>
  </si>
  <si>
    <t xml:space="preserve">2025-09-18</t>
  </si>
  <si>
    <t xml:space="preserve">https://www.globenewswire.com/news-release/2025/09/18/3152426/0/en/Noom-Welcomes-Rebel-Wilson-as-Chief-Wellness-Ambassador-to-Champion-Microhabits-and-Microdose-GLP-1s.html; https://www.mediapost.com/publications/article/409248/rebel-wilson-touts-micro-habits-microdosed-glp-1s.html; https://www.noom.com/in-the-news/noom-launches-lose-for-keeps-campaign-with-rebel-wilson/</t>
  </si>
  <si>
    <t xml:space="preserve">Paid ambassador with honorific title</t>
  </si>
  <si>
    <t xml:space="preserve">High - women 30-55</t>
  </si>
  <si>
    <t xml:space="preserve">Instagram ~11M (approximate follower figure; analyst estimate as of mid-2025 - not re-verified this session because live fetch was blocked)</t>
  </si>
  <si>
    <t xml:space="preserve">Not disclosed.</t>
  </si>
  <si>
    <t xml:space="preserve">'Microdose GLP-1' is an off-label compounded framing; ambassador-fronted promotion of compounded drugs is a regulatory hot zone.</t>
  </si>
  <si>
    <t xml:space="preserve">TV spot is clearly Noom advertising; social posts need #ad.</t>
  </si>
  <si>
    <t xml:space="preserve">WeightWatchers (WW International)</t>
  </si>
  <si>
    <t xml:space="preserve">https://www.weightwatchers.com</t>
  </si>
  <si>
    <t xml:space="preserve">Oprah Winfrey</t>
  </si>
  <si>
    <t xml:space="preserve">3 - Executive or board member</t>
  </si>
  <si>
    <t xml:space="preserve">Board member and ~10% shareholder from Oct 2015; disclosed GLP-1 use Dec 2023; announced Feb 28, 2024 she would leave the board (May 2024) and donate her stake (~1.3M shares, 1.4%) to NMAAHC. WW has since pivoted to GLP-1 prescribing (Med+, Amazon Pharmacy).</t>
  </si>
  <si>
    <t xml:space="preserve">2015-10 (joined); 2024-02-28 (exit announced)</t>
  </si>
  <si>
    <t xml:space="preserve">https://www.cbsnews.com/news/oprah-winfrey-weight-watchers-ozempic/; https://www.npr.org/2024/03/01/1235100405/after-nearly-a-decade-oprah-winfrey-is-set-to-depart-the-board-of-weightwatchers; https://www.cnn.com/2024/02/29/investing/oprah-winfrey-weightwatchers-stock-plunge/; https://www.marketingdive.com/news/weightwatchers-revamps-brand-identity-to-better-tap-into-glp-1-craze/808075/</t>
  </si>
  <si>
    <t xml:space="preserve">Former director / shareholder / face of brand</t>
  </si>
  <si>
    <t xml:space="preserve">Very high historically</t>
  </si>
  <si>
    <t xml:space="preserve">Instagram ~23M; X ~40M (approximate follower figure; analyst estimate as of mid-2025 - not re-verified this session because live fetch was blocked)</t>
  </si>
  <si>
    <t xml:space="preserve">Verified: WW stock rose ~100%+ on her 2015 entry and fell ~25% in one day on her 2024 exit - the cleanest public-market measurement of celebrity dependence in this category; her stake fell from $43.2M invested to ~$4.1M.</t>
  </si>
  <si>
    <t xml:space="preserve">Textbook brand-dependence and key-person risk; her GLP-1 disclosure undercut the legacy behavioral model before the company pivoted (WW filed Chapter 11 in 2025).</t>
  </si>
  <si>
    <t xml:space="preserve">As a director/shareholder her promotions carried SEC-style disclosure obligations; she disclosed.</t>
  </si>
  <si>
    <t xml:space="preserve">adjacent (GLP-1 pivot)</t>
  </si>
  <si>
    <t xml:space="preserve">Queen Latifah</t>
  </si>
  <si>
    <t xml:space="preserve">Celebrity spokesperson for WW's first dedicated menopause-care program (Sept 2025) amid GLP-1 rebrand.</t>
  </si>
  <si>
    <t xml:space="preserve">2025-09</t>
  </si>
  <si>
    <t xml:space="preserve">https://www.marketingdive.com/news/weightwatchers-revamps-brand-identity-to-better-tap-into-glp-1-craze/808075/</t>
  </si>
  <si>
    <t xml:space="preserve">Spokesperson</t>
  </si>
  <si>
    <t xml:space="preserve">High - women 45+</t>
  </si>
  <si>
    <t xml:space="preserve">Instagram ~7M (approximate follower figure; analyst estimate as of mid-2025 - not re-verified this session because live fetch was blocked)</t>
  </si>
  <si>
    <t xml:space="preserve">Low-moderate.</t>
  </si>
  <si>
    <t xml:space="preserve">Standard ad disclosure.</t>
  </si>
  <si>
    <t xml:space="preserve">adjacent (hormone/menopause)</t>
  </si>
  <si>
    <t xml:space="preserve">Lemme</t>
  </si>
  <si>
    <t xml:space="preserve">https://lemmelive.com</t>
  </si>
  <si>
    <t xml:space="preserve">Kourtney Kardashian Barker</t>
  </si>
  <si>
    <t xml:space="preserve">Co-founder (with Simon Huck; launched Sept 2022). 'Lemme GLP-1 Daily' capsule (Eriomin, Supresa saffron, Morosil) launched Sept 16, 2024 at $90/$72 sub - it contains no GLP-1 peptide; marketed as supporting natural GLP-1. Class actions filed in California and New York (2025) allege unsupported claims.</t>
  </si>
  <si>
    <t xml:space="preserve">2022-09 (brand); 2024-09-16 (GLP-1 Daily)</t>
  </si>
  <si>
    <t xml:space="preserve">https://wwd.com/beauty-industry-news/wellness/kourtney-kardashian-barker-lemme-weight-loss-supplement-glp-1-launch-1236590030/; https://futurism.com/neoscope/kourtney-kardashian-fake-glp-1; https://www.mdlinx.com/article/the-kardashians-are-selling-glp-1-supplements-heres-why-its-a-problem/3jAIliDqjGKGXxB0onb8c9; https://openclassactions.com/lawsuits/false-advertising/lemme-glp-1-daily-supplement-false-advertising-class-action-lawsuit.php; https://www.emarketer.com/content/kourtney-kardashian-s-lemme-brand-launches-all-natural-glp-1-weight-loss-supplement; https://femfounded.org/case-studies/lemme/</t>
  </si>
  <si>
    <t xml:space="preserve">Cofounder / face of brand</t>
  </si>
  <si>
    <t xml:space="preserve">Very high - women 25-45, Target shoppers</t>
  </si>
  <si>
    <t xml:space="preserve">Instagram ~220M (approximate follower figure; analyst estimate as of mid-2025 - not re-verified this session because live fetch was blocked)</t>
  </si>
  <si>
    <t xml:space="preserve">Company-reported/third-party: &gt;$30M cumulative revenue within 16 months of launch; #1 beauty ingestible at Target (2025); $13M in a single month on TikTok Shop (Nov 2025). Sources are case-study sites citing company statements - treat as unaudited.</t>
  </si>
  <si>
    <t xml:space="preserve">High: 'GLP-1' naming on a botanical drew Futurism/MDLinx/Healthline criticism and two class actions; brand is 100% dependent on Kourtney's persona; family history of FTC/SEC endorsement issues (Kim's 2022 SEC case).</t>
  </si>
  <si>
    <t xml:space="preserve">Own-brand promotion by a founder still requires clear disclosure of ownership when posted as 'recommendation'; structure/function claims must not imply drug-like GLP-1 effects (FTC/FDA).</t>
  </si>
  <si>
    <t xml:space="preserve">adjacent (GLP-1 naming; no peptide)</t>
  </si>
  <si>
    <t xml:space="preserve">Rhode (e.l.f. Beauty)</t>
  </si>
  <si>
    <t xml:space="preserve">https://www.rhodeskin.com</t>
  </si>
  <si>
    <t xml:space="preserve">Hailey Bieber</t>
  </si>
  <si>
    <t xml:space="preserve">Founder (June 2022) - launched with three SKUs including the 'Peptide Lip Treatment' and later Peptide Lip Tint/Shape; e.l.f. Beauty acquired Rhode for $1B ($800M upfront + earnout) announced May 28, 2025, closed Aug 5, 2025; Bieber received &gt;$300M at close and became Chief Creative Officer &amp; Head of Innovation plus strategic adviser to e.l.f.</t>
  </si>
  <si>
    <t xml:space="preserve">2022-06 (launch); 2025-05-28 (sale)</t>
  </si>
  <si>
    <t xml:space="preserve">https://wwd.com/beauty-industry-news/beauty-features/hailey-bieber-rhode-elf-media-exposure-1237914479/; https://fortune.com/2025/10/17/celebrity-makeup-billionaire-hailey-bieber-has-shared-what-she-will-do-with-the-fortune-she-made-from-her-rhode-sale-to-e-l-f-beauty-earlier-this-year-wealth-investment-advice/; https://www.fastcompany.com/91502984/rhode-most-innovative-companies-2026-hailey-bieber-glazing-mist-skin-care-products-babygirl-harris-dickinson-sephora-e-l-f-beauty; https://femfounded.org/product-studies/rhode-lip-peptide/</t>
  </si>
  <si>
    <t xml:space="preserve">yes (pre-sale majority; post-sale equity + earnout)</t>
  </si>
  <si>
    <t xml:space="preserve">Founder / CCO</t>
  </si>
  <si>
    <t xml:space="preserve">Very high - Gen Z/millennial women</t>
  </si>
  <si>
    <t xml:space="preserve">Instagram ~55M (approximate follower figure; analyst estimate as of mid-2025 - not re-verified this session because live fetch was blocked)</t>
  </si>
  <si>
    <t xml:space="preserve">Verified/third-party: fastest celebrity beauty brand to $1B valuation; $20M media impact value in 48h post-acquisition (Launchmetrics via WWD); Peptide Lip Treatment reportedly sold out in ~1 hour at launch (FemFounded product study, unverified).</t>
  </si>
  <si>
    <t xml:space="preserve">Key-person risk explicitly priced via earnout; 'peptide' here is a cosmetic positioning term (topical), not therapy - low regulatory risk but the brand rides the peptide-therapy search wave.</t>
  </si>
  <si>
    <t xml:space="preserve">Founder-owned brand; disclosures made in general. e.l.f. is public (NYSE: ELF) so material statements now carry SEC exposure.</t>
  </si>
  <si>
    <t xml:space="preserve">direct (topical peptide positioning is the hero product)</t>
  </si>
  <si>
    <t xml:space="preserve">Function Health</t>
  </si>
  <si>
    <t xml:space="preserve">https://www.functionhealth.com</t>
  </si>
  <si>
    <t xml:space="preserve">Education/testing platform</t>
  </si>
  <si>
    <t xml:space="preserve">Dr. Mark Hyman</t>
  </si>
  <si>
    <t xml:space="preserve">Co-founder and Chief Medical Officer of the $499/yr 100+ biomarker testing membership; company acquired Ezra (full-body MRI) May 2025; raised $53M Series A (a16z Bio+Health, Nov 2024) and $298M Series B at $2.5B (Redpoint, Nov 2025).</t>
  </si>
  <si>
    <t xml:space="preserve">2023-04 (beta); 2024-11 (Series A); 2025-11 (Series B)</t>
  </si>
  <si>
    <t xml:space="preserve">https://www.fiercehealthcare.com/health-tech/startup-pockets-53m-personalized-health-testing-backed-celeb-investors-matt-damon-pedro; https://www.modernhealthcare.com/health-tech/mh-function-health-funding-matt-damon-zac-efron/; https://radiologybusiness.com/topics/healthcare-management/healthcare-economics/whole-body-mri-provider-function-health-raises-298m-reaches-25b-valuation; https://www.modernhealthcare.com/digital-health/function-health-valuation-mark-hyman/</t>
  </si>
  <si>
    <t xml:space="preserve">Cofounder / CMO / podcast host (The Doctor's Farmacy)</t>
  </si>
  <si>
    <t xml:space="preserve">Very high - functional-medicine and longevity audience</t>
  </si>
  <si>
    <t xml:space="preserve">Instagram ~3M; podcast top-50 health (approximate follower figure; analyst estimate as of mid-2025 - not re-verified this session because live fetch was blocked)</t>
  </si>
  <si>
    <t xml:space="preserve">Third-party: valuation stepped from Series A to $2.5B in 12 months; Hyman's audience was the primary early acquisition channel per press.</t>
  </si>
  <si>
    <t xml:space="preserve">Hyman is a functional-medicine figure with a history of criticism from mainstream physicians; founder-market fit is strong but concentration on his credibility is high.</t>
  </si>
  <si>
    <t xml:space="preserve">Founder promotion; testing claims fall under FTC/lab regulation (CLIA) rather than drug rules.</t>
  </si>
  <si>
    <t xml:space="preserve">Matt Damon</t>
  </si>
  <si>
    <t xml:space="preserve"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</si>
  <si>
    <t xml:space="preserve">2024-11 (Series A); 2025-11 (Series B)</t>
  </si>
  <si>
    <t xml:space="preserve">https://www.fiercehealthcare.com/health-tech/startup-pockets-53m-personalized-health-testing-backed-celeb-investors-matt-damon-pedro; https://www.mobihealthnews.com/news/celebrities-back-function-53m-series-funding-round; https://wwd.com/beauty-industry-news/wellness/dr-mark-hyman-function-series-a-zac-efron-matt-damon-1236456498/; https://finance.yahoo.com/news/function-health-acquires-ezra-launches-144622931.html</t>
  </si>
  <si>
    <t xml:space="preserve">yes (investor status); stake size unknown</t>
  </si>
  <si>
    <t xml:space="preserve">Investor (passive; name used in press)</t>
  </si>
  <si>
    <t xml:space="preserve">Medium-high (general adult wellness)</t>
  </si>
  <si>
    <t xml:space="preserve">No personal social media; A-list film audience</t>
  </si>
  <si>
    <t xml:space="preserve">Third-party: press consistently leads with 'backed by Matt Damon, Pedro Pascal and Kevin Hart' - the investor names function as free earned media; no conversion data disclosed.</t>
  </si>
  <si>
    <t xml:space="preserve">Low individually; collectively a 'celebrity cap table' can look promotional if outcomes disappoint (cf. Prenuvo/full-body MRI evidence debate).</t>
  </si>
  <si>
    <t xml:space="preserve">Investors who promote the company on social must disclose the financial interest (FTC material connection).</t>
  </si>
  <si>
    <t xml:space="preserve">Zac Efron</t>
  </si>
  <si>
    <t xml:space="preserve">Instagram ~65M (approximate follower figure; analyst estimate as of mid-2025 - not re-verified this session because live fetch was blocked)</t>
  </si>
  <si>
    <t xml:space="preserve">Kevin Hart</t>
  </si>
  <si>
    <t xml:space="preserve">Instagram ~180M (approximate follower figure; analyst estimate as of mid-2025 - not re-verified this session because live fetch was blocked)</t>
  </si>
  <si>
    <t xml:space="preserve">Pedro Pascal</t>
  </si>
  <si>
    <t xml:space="preserve">Tally Health</t>
  </si>
  <si>
    <t xml:space="preserve">https://www.tallyhealth.com</t>
  </si>
  <si>
    <t xml:space="preserve">Dr. David Sinclair</t>
  </si>
  <si>
    <t xml:space="preserve">Co-founder (with Whitney Casey) of the epigenetic-age-test + supplement subscription company; $10M seed led by Forerunner (2023) with celebrity participation. Consumer complaints on cancellation/billing (Trustpilot 3.6, Feb 2025); Sinclair separately drew scientific criticism over anti-aging claims (2024).</t>
  </si>
  <si>
    <t xml:space="preserve">2023-03 (seed)</t>
  </si>
  <si>
    <t xml:space="preserve">https://www.prnewswire.com/news-releases/consumer-longevity-company-tally-health-announces-10m-seed-round-led-by-forerunner-ventures-with-celebrity-participation-301791242.html; https://longevity.technology/news/tally-health-unveiled-dr-david-sinclairs-consumer-longevity-company-launches/; https://www.rapamycin.news/t/consumer-alert-david-sinclairs-tally-health-deceptive-practices/12122; https://www.generationlab.com/blog/tally-health-reviews-david-sinclair</t>
  </si>
  <si>
    <t xml:space="preserve">Cofounder / scientific face</t>
  </si>
  <si>
    <t xml:space="preserve">High - longevity enthusiasts</t>
  </si>
  <si>
    <t xml:space="preserve">Instagram ~1M; X ~0.5M; Lifespan podcast (approximate follower figure; analyst estimate as of mid-2025 - not re-verified this session because live fetch was blocked)</t>
  </si>
  <si>
    <t xml:space="preserve">High scientist-credibility dependence; Sinclair's resveratrol/NMN commercial ties have been criticized; subscription dark-pattern complaints.</t>
  </si>
  <si>
    <t xml:space="preserve">Scientist-founders must disclose commercial interests when discussing products in media.</t>
  </si>
  <si>
    <t xml:space="preserve">Zac Efron, Pedro Pascal, Kevin Hart, John Legend, Chrissy Teigen, Shonda Rhimes, Rich Roll, Whitney Cummings (group)</t>
  </si>
  <si>
    <t xml:space="preserve">Individual participants in the $10M seed round (PR Newswire, Mar 2023). Several (Efron, Pascal, Hart) later reappear in Function Health's cap table - a recurring celebrity longevity-investor cohort.</t>
  </si>
  <si>
    <t xml:space="preserve">2023-03</t>
  </si>
  <si>
    <t xml:space="preserve">https://www.prnewswire.com/news-releases/consumer-longevity-company-tally-health-announces-10m-seed-round-led-by-forerunner-ventures-with-celebrity-participation-301791242.html</t>
  </si>
  <si>
    <t xml:space="preserve">yes (participation); sizes unknown</t>
  </si>
  <si>
    <t xml:space="preserve">Passive investors</t>
  </si>
  <si>
    <t xml:space="preserve">Combined Instagram &gt;300M (approximate follower figure; analyst estimate as of mid-2025 - not re-verified this session because live fetch was blocked)</t>
  </si>
  <si>
    <t xml:space="preserve">Press framing only.</t>
  </si>
  <si>
    <t xml:space="preserve">Low individually.</t>
  </si>
  <si>
    <t xml:space="preserve">Disclose if promoting.</t>
  </si>
  <si>
    <t xml:space="preserve">Prenuvo</t>
  </si>
  <si>
    <t xml:space="preserve">https://www.prenuvo.com</t>
  </si>
  <si>
    <t xml:space="preserve">Cindy Crawford</t>
  </si>
  <si>
    <t xml:space="preserve">Investor (named in $70M 2022 round alongside Anne Wojcicki); company later raised $120M (Feb 2025). Also an AG1 investor.</t>
  </si>
  <si>
    <t xml:space="preserve">2022-10</t>
  </si>
  <si>
    <t xml:space="preserve">https://www.medicaldevice-network.com/news/celebrity-endorsed-full-body-mri-scan-company-prenuvo-raises-120m/; https://www.ajc.com/pulse/celebrities-are-shelling-out-2500-for-full-body-mri-scans-but-why/JZL6VZOGNVHO3OJEA2DYQEDIIA/; https://news.northeastern.edu/2023/09/21/full-body-mri-celebrity-health/</t>
  </si>
  <si>
    <t xml:space="preserve">Investor / occasional advocate</t>
  </si>
  <si>
    <t xml:space="preserve">High - affluent 40+</t>
  </si>
  <si>
    <t xml:space="preserve">Instagram ~8M (approximate follower figure; analyst estimate as of mid-2025 - not re-verified this session because live fetch was blocked)</t>
  </si>
  <si>
    <t xml:space="preserve">Third-party: Prenuvo is routinely described as 'celebrity-endorsed' in trade press; the Kardashian post (below) is the measured event.</t>
  </si>
  <si>
    <t xml:space="preserve">Full-body MRI in asymptomatic people is contested by ACR/radiologists (overdiagnosis) - investor names lend credibility to a debated service.</t>
  </si>
  <si>
    <t xml:space="preserve">Investor-promoter must disclose stake.</t>
  </si>
  <si>
    <t xml:space="preserve">Kim Kardashian</t>
  </si>
  <si>
    <t xml:space="preserve">August 2023 Instagram post calling Prenuvo a 'life saving machine'; Kardashian stated the post was not paid. Triggered STAT/CBS/Radiology Business debate on unnecessary screening. Not an investor or ambassador.</t>
  </si>
  <si>
    <t xml:space="preserve">2023-08-08</t>
  </si>
  <si>
    <t xml:space="preserve">https://www.statnews.com/2023/08/11/kim-kardashian-full-body-mri-scans/; https://radiologybusiness.com/topics/healthcare-management/healthcare-economics/kim-kardashian-promotes-whole-body-mri-service-prenuvo-drawing-concern-some; https://www.cbsnews.com/sanfrancisco/news/prenuvo-full-body-mri-scans-growing-popularity-social-media-influencers/; https://www.forbes.com/sites/lilianraji/2025/08/25/unexpected-celebrity-endorsements-have-earned-these-3-brands-millions/</t>
  </si>
  <si>
    <t xml:space="preserve">Unpaid (self-declared) one-off post</t>
  </si>
  <si>
    <t xml:space="preserve">Instagram ~360M (approximate follower figure; analyst estimate as of mid-2025 - not re-verified this session because live fetch was blocked)</t>
  </si>
  <si>
    <t xml:space="preserve">Third-party: Forbes (Aug 2025) lists Prenuvo among brands that 'earned millions' from unexpected celebrity endorsements; Prenuvo reported a demand surge and used the moment in its $120M raise narrative. Exact bookings uplift not disclosed.</t>
  </si>
  <si>
    <t xml:space="preserve">Classic 'trust transfer' with medical backlash: physicians publicly challenged the claim, making the endorsement a case study in unearned clinical credibility.</t>
  </si>
  <si>
    <t xml:space="preserve">She stated 'not an ad'; if any consideration (free scan) was provided, FTC would treat it as a material connection requiring disclosure.</t>
  </si>
  <si>
    <t xml:space="preserve">Fountain Life</t>
  </si>
  <si>
    <t xml:space="preserve">https://www.fountainlife.com</t>
  </si>
  <si>
    <t xml:space="preserve">Longevity/hormone clinic</t>
  </si>
  <si>
    <t xml:space="preserve">Tony Robbins</t>
  </si>
  <si>
    <t xml:space="preserve">Co-founder (with Peter Diamandis, Dr. William Kapp, Dr. Robert Hariri); formed Oct 2020 by merging Fountain Therapeutics with Kapp's Longevity Performance Center. Raised $18M (Aug 2025). Memberships $10.5K-$85K/yr; explicitly offers peptide therapy and NAD+ infusions.</t>
  </si>
  <si>
    <t xml:space="preserve">2020-10 (formation); 2025-08-13 (raise)</t>
  </si>
  <si>
    <t xml:space="preserve">https://techcrunch.com/2025/08/13/tony-robbins-and-peter-diamandis-longevity-company-fountain-life-raises-18m; https://finance.yahoo.com/news/tony-robbins-peter-diamandis-longevity-150000785.html; https://www.fountainlife.com/about; https://keep.health/fountain-life-a-revolution-in-preventative-and-precision-healthcare/; https://www.houstonchronicle.com/lifestyle/article/houston-longevity-clinics-fountain-life-ways2well-22268415.php</t>
  </si>
  <si>
    <t xml:space="preserve">Cofounder / evangelist (book 'Life Force' co-authored with Diamandis &amp; Hariri)</t>
  </si>
  <si>
    <t xml:space="preserve">High - affluent 45+ self-improvement audience</t>
  </si>
  <si>
    <t xml:space="preserve">Instagram ~7M; Facebook ~6M (approximate follower figure; analyst estimate as of mid-2025 - not re-verified this session because live fetch was blocked)</t>
  </si>
  <si>
    <t xml:space="preserve">Company-reported: 'Life Force' (2022) functioned as a book-length funnel; membership counts not disclosed.</t>
  </si>
  <si>
    <t xml:space="preserve">High-ticket clinic tied to two celebrity founders; Robbins has prior consumer-protection litigation history; peptide therapy offering sits directly in FDA's 2025-26 compounding-category debate.</t>
  </si>
  <si>
    <t xml:space="preserve">Founder promotion; clinic must avoid unapproved-drug efficacy claims for Category-2 peptides.</t>
  </si>
  <si>
    <t xml:space="preserve">direct (offers peptide therapy)</t>
  </si>
  <si>
    <t xml:space="preserve">Dr. Peter Diamandis</t>
  </si>
  <si>
    <t xml:space="preserve">Co-founder and public face; also founder of XPRIZE, Abundance360 and co-founder of Celularity (with Hariri). Hosts longevity summits used as member-acquisition channels.</t>
  </si>
  <si>
    <t xml:space="preserve">2020-10</t>
  </si>
  <si>
    <t xml:space="preserve">https://www.fountainlife.com/peter; https://thehumanwareproject.com/fountain-life-founder-peter-h-diamandis-on-anti-ageing-the-data-driven-approach-to-living-longer/; https://techcrunch.com/2025/08/13/tony-robbins-and-peter-diamandis-longevity-company-fountain-life-raises-18m</t>
  </si>
  <si>
    <t xml:space="preserve">Cofounder / chairman-type evangelist</t>
  </si>
  <si>
    <t xml:space="preserve">High - tech/entrepreneur longevity audience</t>
  </si>
  <si>
    <t xml:space="preserve">Instagram ~0.5M; X ~0.3M; newsletter/summit reach larger (approximate follower figure; analyst estimate as of mid-2025 - not re-verified this session because live fetch was blocked)</t>
  </si>
  <si>
    <t xml:space="preserve">Moderate.</t>
  </si>
  <si>
    <t xml:space="preserve">Founder promotion.</t>
  </si>
  <si>
    <t xml:space="preserve">10X Health System</t>
  </si>
  <si>
    <t xml:space="preserve">https://10xhealthsystem.com</t>
  </si>
  <si>
    <t xml:space="preserve">Gary Brecka</t>
  </si>
  <si>
    <t xml:space="preserve">Co-founder and public face (with Grant &amp; Elena Cardone, Sage Workinger); offered gene/methylation testing, IV therapy, peptides via clinic consults. Fired by Cardone Nov 5, 2024; dueling suits (Brecka $100M defamation; Cardone alleging $13M diverted revenue) settled by April 2025. Brecka now runs 'The Ultimate Human'.</t>
  </si>
  <si>
    <t xml:space="preserve">2022 (launch); 2024-11-05 (termination); 2025-04 (settlement)</t>
  </si>
  <si>
    <t xml:space="preserve">https://www.prnewswire.com/news-releases/cardone-ventures--10x-health-ventures-file-two-additional-lawsuits-in-florida-and-delaware-state-courts-against-gary-brecka-sage-workinger-and-their-affiliated-companies-302404632.html; https://insurancenewsnet.com/innarticle/gary-brecka-cardones-file-dueling-lawsuits-in-battle-of-social-media-stars; https://www.mcgill.ca/oss/article/critical-thinking-health-and-nutrition-pseudoscience/hydrogen-rich-gary-brecka-floating-air; https://thepeptidelist.substack.com/p/who-actually-matches-your-dna-to</t>
  </si>
  <si>
    <t xml:space="preserve">yes (former)</t>
  </si>
  <si>
    <t xml:space="preserve">Former cofounder / face</t>
  </si>
  <si>
    <t xml:space="preserve">Very high - men 30-55, MAHA-aligned</t>
  </si>
  <si>
    <t xml:space="preserve">Instagram ~4M; podcast top-20 health (approximate follower figure; analyst estimate as of mid-2025 - not re-verified this session because live fetch was blocked)</t>
  </si>
  <si>
    <t xml:space="preserve">Third-party: 10X Health's growth was driven by Brecka's viral 'methylation reveal' clips and the Dana White transformation; separation immediately spawned litigation over who owned the audience-derived revenue - the sharpest key-person-risk example in the set.</t>
  </si>
  <si>
    <t xml:space="preserve">McGill OSS characterized Brecka's claims as 'unproven to pseudoscientific' (MTHFR); credentials questioned; brand split with founder.</t>
  </si>
  <si>
    <t xml:space="preserve">Post-split, Brecka's promotions of his own products need ownership disclosure; MAHA advisory role adds conflict-of-interest optics.</t>
  </si>
  <si>
    <t xml:space="preserve">direct (peptides offered via clinic)</t>
  </si>
  <si>
    <t xml:space="preserve">Grant Cardone</t>
  </si>
  <si>
    <t xml:space="preserve">Co-owner via Cardone Ventures / 10X Health Ventures; retained the brand after ousting Brecka.</t>
  </si>
  <si>
    <t xml:space="preserve">2022</t>
  </si>
  <si>
    <t xml:space="preserve">https://www.prnewswire.com/news-releases/cardone-ventures--10x-health-ventures-file-two-additional-lawsuits-in-florida-and-delaware-state-courts-against-gary-brecka-sage-workinger-and-their-affiliated-companies-302404632.html</t>
  </si>
  <si>
    <t xml:space="preserve">Owner / promoter</t>
  </si>
  <si>
    <t xml:space="preserve">High - sales/entrepreneur audience</t>
  </si>
  <si>
    <t xml:space="preserve">Litigation history; brand now lacks its clinical face.</t>
  </si>
  <si>
    <t xml:space="preserve">Owner promotion.</t>
  </si>
  <si>
    <t xml:space="preserve">The Ultimate Human (Gary Brecka) / 10X Health</t>
  </si>
  <si>
    <t xml:space="preserve">https://www.theultimatehuman.com</t>
  </si>
  <si>
    <t xml:space="preserve">Dana White</t>
  </si>
  <si>
    <t xml:space="preserve">UFC CEO was Brecka's first podcast guest (Oct 2023) and publicly credited Brecka's protocol (bloodwork/DNA, supplements, 'common peptides' for hormone balance) with reversing metabolic syndrome and 30+ lb weight loss. No evidence of equity, board role or paid endorsement; no peptide/longevity venture of his own found.</t>
  </si>
  <si>
    <t xml:space="preserve">2023-10</t>
  </si>
  <si>
    <t xml:space="preserve">https://podcasts.apple.com/gb/podcast/01-dana-white-overcoming-the-leading-killer-metabolic/id1709740887?i=1000631581845; https://pod.wave.co/podcast/bussin-with-the-boys-f815d6e4-bfb8-4c05-9c89-481ed501bcde/how-ultimate-human-founder-gary-brecka-transformed-jelly-roll-dana-white-maha-role-bussin; https://www.dralo.net/podcasts/dr-alo-show/episodes/2148276444</t>
  </si>
  <si>
    <t xml:space="preserve">Testimonial / friend</t>
  </si>
  <si>
    <t xml:space="preserve">Very high - male sports audience</t>
  </si>
  <si>
    <t xml:space="preserve">Instagram ~10M; X ~7M (approximate follower figure; analyst estimate as of mid-2025 - not re-verified this session because live fetch was blocked)</t>
  </si>
  <si>
    <t xml:space="preserve">Third-party: Brecka's own account is that the Dana White transformation 'propelled him into internet fame' - a testimonial, not an owned campaign, that launched a brand.</t>
  </si>
  <si>
    <t xml:space="preserve">White's endorsement was of a person, not a company; when 10X and Brecka split, the testimonial followed Brecka - illustrating that testimonial equity attaches to the individual.</t>
  </si>
  <si>
    <t xml:space="preserve">Unpaid testimonial; no disclosure issue identified.</t>
  </si>
  <si>
    <t xml:space="preserve">direct (peptides referenced in protocol)</t>
  </si>
  <si>
    <t xml:space="preserve">Momentous</t>
  </si>
  <si>
    <t xml:space="preserve">https://www.livemomentous.com</t>
  </si>
  <si>
    <t xml:space="preserve">Dr. Andrew Huberman</t>
  </si>
  <si>
    <t xml:space="preserve">4 - Medical advisor</t>
  </si>
  <si>
    <t xml:space="preserve">Scientific Advisory Board member + multi-year Huberman Lab podcast sponsorship (announced April 2022); co-develops products/protocols. Also scientific advisor to AG1 (Mar 2022) with reported equity, and equity in Mateina and David protein bars.</t>
  </si>
  <si>
    <t xml:space="preserve">2022-04-27</t>
  </si>
  <si>
    <t xml:space="preserve">https://www.prnewswire.com/news-releases/momentous-announces-a-multi-year-partnership-with-the-huberman-lab-podcast-and-dr-andrew-huberman-as-a-scientific-advisor-301532106.html; https://www.businesswire.com/news/home/20220318005080/en/Athletic-Greens-Announces-Dr.-Andrew-Huberman-as-Scientific-Advisor; https://fastlifehacks.com/andrew-huberman-supplements-list/</t>
  </si>
  <si>
    <t xml:space="preserve">unknown (advisory; equity not confirmed for Momentous)</t>
  </si>
  <si>
    <t xml:space="preserve">Scientific advisor / sponsor host</t>
  </si>
  <si>
    <t xml:space="preserve">Very high - protocol-following men 25-45</t>
  </si>
  <si>
    <t xml:space="preserve">YouTube ~7M; Instagram ~7M; podcast top-10 US (approximate follower figure; analyst estimate as of mid-2025 - not re-verified this session because live fetch was blocked)</t>
  </si>
  <si>
    <t xml:space="preserve">Third-party: Momentous became the default 'Huberman stack' brand; Humble Growth strategic investment (Feb 2024) followed the partnership. No sales figures disclosed.</t>
  </si>
  <si>
    <t xml:space="preserve">Huberman's 2024 New York magazine profile and criticism of supplement-heavy advice create halo risk; advisor-plus-sponsor dual role is a recognized conflict.</t>
  </si>
  <si>
    <t xml:space="preserve">Podcast reads disclose sponsorship; advisory equity should be disclosed when recommending products (FTC).</t>
  </si>
  <si>
    <t xml:space="preserve">AG1 (Athletic Greens)</t>
  </si>
  <si>
    <t xml:space="preserve">https://drinkag1.com</t>
  </si>
  <si>
    <t xml:space="preserve">Hugh Jackman, Cindy Crawford, Lewis Hamilton, Steve Aoki, Tim Ferriss, Dr. Peter Attia, Dr. Andrew Huberman (investor/advisor cohort)</t>
  </si>
  <si>
    <t xml:space="preserve">Named celebrity/expert investors in AG1's $115M round at $1.2B valuation (Jan 2022, Alpha Wave); Huberman and Attia also act as scientific/medical voices. Individual stakes described as single-digit percentages by third-party analysts (unverified).</t>
  </si>
  <si>
    <t xml:space="preserve">2022-01-25</t>
  </si>
  <si>
    <t xml:space="preserve">https://techcrunch.com/2022/01/25/athletic-greens-valued-at-1-2b-nutrition-drink/; https://beautymatter.com/articles/athletic-greens-lands-115-million-at-12-billion-valuation; https://en.wikipedia.org/wiki/AG1_(company); https://businessmodelcanvastemplate.com/blogs/owners/athletic-greens-who-owns</t>
  </si>
  <si>
    <t xml:space="preserve">yes (investor status); stakes unverified</t>
  </si>
  <si>
    <t xml:space="preserve">Investors / podcast sponsors' hosts</t>
  </si>
  <si>
    <t xml:space="preserve">Combined Instagram &gt;90M (Jackman ~31M, Hamilton ~40M, Crawford ~8M) (approximate follower figure; analyst estimate as of mid-2025 - not re-verified this session because live fetch was blocked)</t>
  </si>
  <si>
    <t xml:space="preserve">Third-party: AG1 reached unicorn status largely on podcast-host-investor distribution (Rogan, Huberman, Ferriss, Attia) - investor-as-channel model; 2024-25 AG1 faced criticism over cost/evidence but retained scale.</t>
  </si>
  <si>
    <t xml:space="preserve">Investor-hosts reading ads for a company they own is the central FTC concern in this cohort; disclosure practices vary.</t>
  </si>
  <si>
    <t xml:space="preserve">FTC Endorsement Guides: hosts must disclose equity when recommending; several do verbally.</t>
  </si>
  <si>
    <t xml:space="preserve">Blueprint (Bryan Johnson)</t>
  </si>
  <si>
    <t xml:space="preserve">https://blueprint.bryanjohnson.com</t>
  </si>
  <si>
    <t xml:space="preserve">Bryan Johnson</t>
  </si>
  <si>
    <t xml:space="preserve">Founder/owner of the 'Don't Die' supplement, food and topical brand (incl. Blueprint Peptide Serum for scalp/hair). NYT (Mar 2025) reported Blueprint missing monthly break-even by &gt;$1M and internal NDAs/culture issues; Johnson told Wired he was 'so close to either shutting it down or selling it' and called it a 'pain-in-the-ass company' hurting his credibility.</t>
  </si>
  <si>
    <t xml:space="preserve">2023 (brand); 2025-03 (NYT); 2025 (sale talk)</t>
  </si>
  <si>
    <t xml:space="preserve">https://www.mensfitness.com/news/longevity-enthusiast-bryan-johnson-just-made-his-most-shocking-announcement-yet; https://perfecthairhealth.com/blueprint-haircare-stack-product-review/; https://fastlifehacks.com/bryan-johnson-peptide-list/; https://www.fortune.com/2025/12/17/bryan-johnson-humans-immortal-by-2039-cancer</t>
  </si>
  <si>
    <t xml:space="preserve">yes (as of last report)</t>
  </si>
  <si>
    <t xml:space="preserve">Founder / sole face</t>
  </si>
  <si>
    <t xml:space="preserve">High - male biohackers 25-45</t>
  </si>
  <si>
    <t xml:space="preserve">Instagram ~2.5M; X ~1.5M; YouTube ~2M (approximate follower figure; analyst estimate as of mid-2025 - not re-verified this session because live fetch was blocked)</t>
  </si>
  <si>
    <t xml:space="preserve">Third-party: Netflix 'Don't Die' (Jan 2025) drove mainstream awareness; NYT reporting indicates awareness did not translate into profitability - a case of fame without unit economics.</t>
  </si>
  <si>
    <t xml:space="preserve">Extreme key-person and credibility coupling: Johnson himself says the commercial arm damages the mission; multiple product lines (peptide serum) lack finished-product trials.</t>
  </si>
  <si>
    <t xml:space="preserve">Founder-owned; claims scrutiny by press rather than regulators so far.</t>
  </si>
  <si>
    <t xml:space="preserve">direct (topical peptide serum) / adjacent overall</t>
  </si>
  <si>
    <t xml:space="preserve">Early Medical / Biograph</t>
  </si>
  <si>
    <t xml:space="preserve">https://earlymedical.com</t>
  </si>
  <si>
    <t xml:space="preserve">Dr. Peter Attia</t>
  </si>
  <si>
    <t xml:space="preserve">Founder of Early Medical (concierge 'Medicine 3.0' practice) and co-founder of Biograph (diagnostics clinic with Isaiah Kacyvenski, 2024). Host of The Drive; AG1 investor. Has published a skeptical evaluation framework for 'gray-market peptides' (AMA #83; ep. #403) rather than promoting them.</t>
  </si>
  <si>
    <t xml:space="preserve">2024 (Biograph)</t>
  </si>
  <si>
    <t xml:space="preserve">https://peterattiamd.com/; https://peterattiamd.com/peptides/; https://peterattiamd.com/ama83/</t>
  </si>
  <si>
    <t xml:space="preserve">Founder / physician-host</t>
  </si>
  <si>
    <t xml:space="preserve">Very high - affluent longevity audience</t>
  </si>
  <si>
    <t xml:space="preserve">Instagram ~1.5M; podcast top-10 health; 'Outlive' #1 NYT bestseller (approximate follower figure; analyst estimate as of mid-2025 - not re-verified this session because live fetch was blocked)</t>
  </si>
  <si>
    <t xml:space="preserve">Not disclosed; Biograph is invitation/waitlist priced (&gt;$7.5K).</t>
  </si>
  <si>
    <t xml:space="preserve">Low - Attia positions as peptide skeptic; risk is reverse: his credibility is borrowed by vendors who quote him.</t>
  </si>
  <si>
    <t xml:space="preserve">Physician founder; AG1 sponsorship/investment disclosed on podcast.</t>
  </si>
  <si>
    <t xml:space="preserve">direct (clinical peptide commentary) / adjacent</t>
  </si>
  <si>
    <t xml:space="preserve">Superpower</t>
  </si>
  <si>
    <t xml:space="preserve">https://superpower.com</t>
  </si>
  <si>
    <t xml:space="preserve">Logan Paul, Steve Aoki, Vanessa Hudgens, Giannis Antetokounmpo</t>
  </si>
  <si>
    <t xml:space="preserve">Celebrity participants in $30M Series A led by Forerunner (April 2025; &gt;$300M post-money) for a $499/yr 100+ biomarker 'health super-app' with clinician follow-up.</t>
  </si>
  <si>
    <t xml:space="preserve">2025-04-22</t>
  </si>
  <si>
    <t xml:space="preserve">https://www.forbes.com/sites/dariashunina/2025/04/22/superpower-raises-30m-to-launch-worlds-first-health-super-app/; https://www.fiercehealthcare.com/health-tech/new-startup-superpower-scores-30m-launch-personalized-health-testing; https://longevity.technology/investment/superpower-unleashed-with-30m-for-ai-powered-preventive-health/</t>
  </si>
  <si>
    <t xml:space="preserve">Medium-high (Gen Z/millennial)</t>
  </si>
  <si>
    <t xml:space="preserve">Combined Instagram &gt;60M (Logan Paul ~28M, Giannis ~17M, Hudgens ~50M) (approximate follower figure; analyst estimate as of mid-2025 - not re-verified this session because live fetch was blocked)</t>
  </si>
  <si>
    <t xml:space="preserve">Press framing only; no conversion data.</t>
  </si>
  <si>
    <t xml:space="preserve">Low.</t>
  </si>
  <si>
    <t xml:space="preserve">Neko Health</t>
  </si>
  <si>
    <t xml:space="preserve">https://www.nekohealth.com</t>
  </si>
  <si>
    <t xml:space="preserve">Daniel Ek</t>
  </si>
  <si>
    <t xml:space="preserve">Co-founder (2018, with Hjalmar Nilsonne) of the body-scan + bloodwork clinic chain; $260M Series B (Jan 2025, $1.8B) and $700M Series C (Jul 2026) ahead of US launch.</t>
  </si>
  <si>
    <t xml:space="preserve">2018 (founding); 2025-01-23; 2026-07-15</t>
  </si>
  <si>
    <t xml:space="preserve">https://techcrunch.com/2026/07/15/daniel-eks-body-scanning-startup-neko-health-raises-another-700m/; https://www.bloomberg.com/news/articles/2025-01-23/daniel-ek-s-neko-health-raises-260-million-for-us-expansion; https://www.nekohealth.com/se/en/press/neko-health-raises-260m-series-b</t>
  </si>
  <si>
    <t xml:space="preserve">Cofounder (Spotify founder)</t>
  </si>
  <si>
    <t xml:space="preserve">Medium (tech-affluent)</t>
  </si>
  <si>
    <t xml:space="preserve">X ~0.5M (approximate follower figure; analyst estimate as of mid-2025 - not re-verified this session because live fetch was blocked)</t>
  </si>
  <si>
    <t xml:space="preserve">Third-party: 100K-person waitlist reported at $299/scan (Fortune, Jan 2025).</t>
  </si>
  <si>
    <t xml:space="preserve">Founder fame is tech, not health - low medical-credibility transfer; screening-evidence debate applies.</t>
  </si>
  <si>
    <t xml:space="preserve">n/a</t>
  </si>
  <si>
    <t xml:space="preserve">Claudia Schiffer, Maria Sharapova, Thierry Henry, Jimmy Iovine, Mark Zuckerberg &amp; Priscilla Chan</t>
  </si>
  <si>
    <t xml:space="preserve">Named individual investors in the $700M Series C (Jul 2026) co-led by OG Venture Partners and Lightspeed.</t>
  </si>
  <si>
    <t xml:space="preserve">2026-07-15</t>
  </si>
  <si>
    <t xml:space="preserve">https://www.craincurrency.com/investing/daniel-eks-neko-health-raises-700-million-billionaires-celebs; https://www.fiercehealthcare.com/health-tech/full-body-scan-startup-neko-health-scores-700m-break-us-market; https://techfundingnews.com/neko-health-700m-series-c-daniel-ek-body-scans/</t>
  </si>
  <si>
    <t xml:space="preserve">yes (participation)</t>
  </si>
  <si>
    <t xml:space="preserve">Medium (global affluent)</t>
  </si>
  <si>
    <t xml:space="preserve">Combined Instagram ~10M (approximate follower figure; analyst estimate as of mid-2025 - not re-verified this session because live fetch was blocked)</t>
  </si>
  <si>
    <t xml:space="preserve">Press framing.</t>
  </si>
  <si>
    <t xml:space="preserve">Respin Health</t>
  </si>
  <si>
    <t xml:space="preserve">https://respin.com</t>
  </si>
  <si>
    <t xml:space="preserve">Halle Berry</t>
  </si>
  <si>
    <t xml:space="preserve">Founder; relaunched Respin (a 2020 wellness site) as a menopause/midlife care company (announced HLTH Oct 2024; relaunch Feb 2025; telehealth visits from July 2025). &lt;$5M raised incl. Khosla Ventures. Berry has campaigned for federal menopause legislation.</t>
  </si>
  <si>
    <t xml:space="preserve">2024-10-15 (HLTH); 2025-02 (relaunch); 2025-07 (telehealth)</t>
  </si>
  <si>
    <t xml:space="preserve">https://wwd.com/beauty-industry-news/wellness/halle-berry-respin-health-menopause-1236947001/; https://fortune.com/2024/10/15/halle-berry-menopause-midlife-wellness-platform-respin; https://www.forbes.com/sites/maggiemcgrath/2025/07/30/how-halle-berry-became-the-new-face-of-menopause/; https://www.fiercehealthcare.com/health-tech/hlth24-day-2-google-cloud-recursion-expand-tech-partnership-healthex-raises-14m</t>
  </si>
  <si>
    <t xml:space="preserve">Founder / advocate</t>
  </si>
  <si>
    <t xml:space="preserve">Very high - women 45-60</t>
  </si>
  <si>
    <t xml:space="preserve">Instagram ~9M (approximate follower figure; analyst estimate as of mid-2025 - not re-verified this session because live fetch was blocked)</t>
  </si>
  <si>
    <t xml:space="preserve">Third-party: Forbes titled her 'the new face of menopause' (Jul 2025); business metrics not disclosed.</t>
  </si>
  <si>
    <t xml:space="preserve">Strong founder-market fit (lived experience + advocacy); small capitalization means the brand is almost entirely Berry's persona.</t>
  </si>
  <si>
    <t xml:space="preserve">Founder promotion; HRT claims regulated as drug advertising when prescribing.</t>
  </si>
  <si>
    <t xml:space="preserve">adjacent (hormone therapy telehealth)</t>
  </si>
  <si>
    <t xml:space="preserve">Midi Health</t>
  </si>
  <si>
    <t xml:space="preserve">https://www.joinmidi.com</t>
  </si>
  <si>
    <t xml:space="preserve">Amy Schumer</t>
  </si>
  <si>
    <t xml:space="preserve">Schumer said (2025) she invested in Midi Health after using its menopause/perimenopause telehealth; she has publicly described using Wegovy/Ozempic (quit due to nausea) and later Mounjaro alongside HRT. No formal GLP-1 ad spokesperson deal found.</t>
  </si>
  <si>
    <t xml:space="preserve">2025</t>
  </si>
  <si>
    <t xml:space="preserve">https://www.noom.com/blog/weight-management/amy-schumer-mounjaro-hrt-weight-loss-news/; https://www.yahoo.com/entertainment/celebrity/articles/everything-amy-schumer-said-her-213949235.html; https://www.healthline.com/health-news/amy-schumer-mounjaro-weight-loss-perimenopause</t>
  </si>
  <si>
    <t xml:space="preserve">unknown (self-reported)</t>
  </si>
  <si>
    <t xml:space="preserve">Investor / organic advocate</t>
  </si>
  <si>
    <t xml:space="preserve">High - women 40-55</t>
  </si>
  <si>
    <t xml:space="preserve">Instagram ~13M (approximate follower figure; analyst estimate as of mid-2025 - not re-verified this session because live fetch was blocked)</t>
  </si>
  <si>
    <t xml:space="preserve">Not quantified.</t>
  </si>
  <si>
    <t xml:space="preserve">Investor status should be disclosed when she promotes Midi.</t>
  </si>
  <si>
    <t xml:space="preserve">adjacent (hormone + GLP-1 narrative)</t>
  </si>
  <si>
    <t xml:space="preserve">Vital Proteins (Nestle Health Science)</t>
  </si>
  <si>
    <t xml:space="preserve">https://www.vitalproteins.com</t>
  </si>
  <si>
    <t xml:space="preserve">Jennifer Aniston</t>
  </si>
  <si>
    <t xml:space="preserve">Chief Creative Officer and 'global partner' since Nov 2020 (post-Nestle majority acquisition, June 2020); fronts 'Every Moment is Vital' campaigns, co-developed protein/collagen bars. Product is collagen peptides. AP (Nov 2025) noted she has discussed weekly peptide injections for skin and is a paid spokesperson for a company selling peptide-enriched supplements. A 2023 recall (plastic shards) hit a product she promoted.</t>
  </si>
  <si>
    <t xml:space="preserve">2020-11</t>
  </si>
  <si>
    <t xml:space="preserve">https://wwd.com/fashion-news/fashion-scoops/jennifer-aniston-vital-proteins-chief-creative-officer-campaign-1234657650/; https://www.prnewswire.com/news-releases/vital-proteins-and-jennifer-aniston-announce-every-moment-is-vital-global-brand-campaign-and-new-protein-and-collagen-bars-301542700.html; https://www.nbcnews.com/news/us-news/collagen-supplement-promoted-jennifer-aniston-recalled-rcna89340; https://www.usnews.com/news/us/articles/2025-11-14/a-closer-look-at-the-unapproved-peptide-injections-promoted-by-influencers-and-celebrities; https://www.nestle.com.au/en/media/news/vital-proteins-and-jennifer-aniston</t>
  </si>
  <si>
    <t xml:space="preserve">no (title without disclosed equity)</t>
  </si>
  <si>
    <t xml:space="preserve">Paid executive-titled ambassador</t>
  </si>
  <si>
    <t xml:space="preserve">Very high - women 35-60</t>
  </si>
  <si>
    <t xml:space="preserve">Instagram ~45M (approximate follower figure; analyst estimate as of mid-2025 - not re-verified this session because live fetch was blocked)</t>
  </si>
  <si>
    <t xml:space="preserve">Third-party: constant Amazon Prime Day/E! 'Jennifer Aniston-approved' coverage functions as evergreen earned media; Nestle expanded her to Australia. Sales lift not disclosed.</t>
  </si>
  <si>
    <t xml:space="preserve">Title inflation ('CCO') is a pattern to watch; her personal injectable-peptide comments could be conflated with the collagen product.</t>
  </si>
  <si>
    <t xml:space="preserve">Paid relationship disclosed via title/press; social posts carry #ad/partner tags.</t>
  </si>
  <si>
    <t xml:space="preserve">adjacent (collagen peptides) with direct spillover (injectable peptide comments)</t>
  </si>
  <si>
    <t xml:space="preserve">Goop</t>
  </si>
  <si>
    <t xml:space="preserve">https://goop.com</t>
  </si>
  <si>
    <t xml:space="preserve">Gwyneth Paltrow</t>
  </si>
  <si>
    <t xml:space="preserve">Founder/CEO. Goop's top-selling product is the Youth-Boost Peptide Serum (developed with plastic surgeon Dr. Julius Few); also NAD+ Peptide Rich Cream ($105). Sept 2018: paid $145,000 to settle California DA claims over jade/quartz egg and flower-essence health claims and was enjoined from unsubstantiated efficacy claims.</t>
  </si>
  <si>
    <t xml:space="preserve">2008 (founding); 2018-09-04 (settlement); 2024-25 (peptide push)</t>
  </si>
  <si>
    <t xml:space="preserve">https://goop.com/beauty/skin/gwyneth-paltrow-and-plastic-surgeon-julius-few-new-peptide-serum; https://puck.news/goop-struggles-can-peptides-save-paltrows-pet-project/; https://www.mecca.com/en-au/mecca-memo/skin/gwyneth-paltrow-goop-interview/; https://da.sonomacounty.ca.gov/jill-ravitch-announces-consumer-protection-settlement; https://qz.com/quartzy/1379586/goop-settles-145000-lawsuit-over-vaginal-egg-claims</t>
  </si>
  <si>
    <t xml:space="preserve">Founder / CEO / face</t>
  </si>
  <si>
    <t xml:space="preserve">High - affluent women 35-55</t>
  </si>
  <si>
    <t xml:space="preserve">Third-party: Puck (2025) reports Goop is leaning on the peptide franchise to stabilize a struggling business - peptide skincare as the hero SKU.</t>
  </si>
  <si>
    <t xml:space="preserve">The 2018 settlement is the reference case for celebrity-wellness claim enforcement; the injunction still binds Goop's claim substantiation.</t>
  </si>
  <si>
    <t xml:space="preserve">Founder-owned; injunction requires 'competent and reliable scientific evidence' for any efficacy claim.</t>
  </si>
  <si>
    <t xml:space="preserve">direct (topical peptide hero product)</t>
  </si>
  <si>
    <t xml:space="preserve">SKKN by Kim / Skims Beauty</t>
  </si>
  <si>
    <t xml:space="preserve">https://skims.com</t>
  </si>
  <si>
    <t xml:space="preserve">Founder of SKKN by Kim (June 2022, with Coty) whose eye cream was a 3-peptide formula; Skims bought back SKKN from Coty (Mar 2025) and SKKN ceased operations June 2025; Skims Beauty relaunch announced for 2026. Also the SEC 2022 EthereumMax case ($1.26M; failure to disclose $250K payment) is the key disclosure precedent for celebrity endorsements.</t>
  </si>
  <si>
    <t xml:space="preserve">2022-06 (SKKN); 2025-03 (Skims buyback); 2026 (relaunch)</t>
  </si>
  <si>
    <t xml:space="preserve">https://www.hollywoodreporter.com/lifestyle/shopping/skims-acquires-skkn-by-kim-shop-skkn-while-supplies-lasts-1236170345/; https://www.forbes.com/sites/rachelburchfield/2025/03/21/kim-kardashians-skims-will-expand-to-skincare-cosmetics-and-fragrance-following-skkn-by-kim-acquisition/; https://hypebae.com/2025/10/kim-kardashian-skims-beauty-kkw-skkn-call-her-daddy-announcement; https://www.sec.gov/newsroom/press-releases/2022-183</t>
  </si>
  <si>
    <t xml:space="preserve">yes (via Skims)</t>
  </si>
  <si>
    <t xml:space="preserve">Founder</t>
  </si>
  <si>
    <t xml:space="preserve">Third-party: despite the largest audience in the set, SKKN did not achieve Rhode-level outcomes and was folded - audience size is not a sufficient condition.</t>
  </si>
  <si>
    <t xml:space="preserve">SEC precedent: celebrity failed to disclose paid promotion; applies by analogy to any paid peptide/GLP-1 endorsement.</t>
  </si>
  <si>
    <t xml:space="preserve">SEC 17(b) case (Oct 2022): $1M penalty + $260K disgorgement/interest; 3-year crypto-promotion ban.</t>
  </si>
  <si>
    <t xml:space="preserve">adjacent (peptide-formulated skincare, not central)</t>
  </si>
  <si>
    <t xml:space="preserve">Ancestral Supplements / The Fittest</t>
  </si>
  <si>
    <t xml:space="preserve">https://ancestralsupplements.com</t>
  </si>
  <si>
    <t xml:space="preserve">Brian 'Liver King' Johnson</t>
  </si>
  <si>
    <t xml:space="preserve">Founder/owner; built organ-meat supplement business on an 'ancestral' physique narrative; leaked emails (Nov 2022) revealed ~$11K/month steroid/HGH regimen; $25M class action (NY, Jan 2023) dismissed March 2023. Case is the reference example of hidden-PED risk in influencer-founded supplement brands.</t>
  </si>
  <si>
    <t xml:space="preserve">2022-12 (confession); 2023-01 (suit); 2023-03 (dismissal)</t>
  </si>
  <si>
    <t xml:space="preserve">https://www.supplysidesj.com/supplement-regulations/-liver-king-saga-how-eating-meat-touting-supplements-led-to-25m-lawsuit; https://www.classaction.org/news/liver-king-secretly-used-steroids-to-promote-supplement-companies-class-action-says; https://www.forbes.com/sites/monicamercuri/2025/05/14/where-is-the-liver-king-now-inside-brian-johnsons-life-after-the-steroid-scandal/</t>
  </si>
  <si>
    <t xml:space="preserve">Founder / persona</t>
  </si>
  <si>
    <t xml:space="preserve">High - young men</t>
  </si>
  <si>
    <t xml:space="preserve">Instagram ~2M; TikTok ~4M (approximate follower figure; analyst estimate as of mid-2025 - not re-verified this session because live fetch was blocked)</t>
  </si>
  <si>
    <t xml:space="preserve">Company-reported: reportedly &gt;$100M annual revenue at peak across brands (claimed by Johnson; unaudited).</t>
  </si>
  <si>
    <t xml:space="preserve">Persona-based trust collapsed on disclosure of undisclosed hormone/peptide-class drug use - directly relevant to peptide brands whose founders' physiques are the ad.</t>
  </si>
  <si>
    <t xml:space="preserve">Non-disclosure of PED use was framed as deceptive advertising (implied results claim).</t>
  </si>
  <si>
    <t xml:space="preserve">adjacent (HGH/steroid disclosure issue)</t>
  </si>
  <si>
    <t xml:space="preserve">Love.Life</t>
  </si>
  <si>
    <t xml:space="preserve">https://love.life</t>
  </si>
  <si>
    <t xml:space="preserve">John Mackey</t>
  </si>
  <si>
    <t xml:space="preserve">Co-founder (with Walter Robb and Betsy Foster, ex-Whole Foods) of an LA 'longevity medical club' (opened 2023); site announces a forthcoming peptide program 'guided by Dr. Rice' for metabolic health, recovery, longevity, immune support.</t>
  </si>
  <si>
    <t xml:space="preserve">2023-07 (launch)</t>
  </si>
  <si>
    <t xml:space="preserve">https://www.prnewswire.com/news-releases/whole-foods-market-co-founder-john-mackey-launches-health-and-wellness-company-lovelife-301885839.html; https://love.life/about/story; https://athletechnews.com/former-whole-foods-execs-open-love-life/</t>
  </si>
  <si>
    <t xml:space="preserve">Cofounder / CEO</t>
  </si>
  <si>
    <t xml:space="preserve">Medium (LA affluent wellness)</t>
  </si>
  <si>
    <t xml:space="preserve">LinkedIn/business audience; small social footprint (approximate follower figure; analyst estimate as of mid-2025 - not re-verified this session because live fetch was blocked)</t>
  </si>
  <si>
    <t xml:space="preserve">Low-moderate; Mackey's fame is retail, not medicine.</t>
  </si>
  <si>
    <t xml:space="preserve">direct (peptide program)</t>
  </si>
  <si>
    <t xml:space="preserve">iHerb</t>
  </si>
  <si>
    <t xml:space="preserve">https://www.iherb.com</t>
  </si>
  <si>
    <t xml:space="preserve">Dr. Mehmet Oz</t>
  </si>
  <si>
    <t xml:space="preserve">'Global advisor and stakeholder' from Oct 2023 with up to ~$25M in iHerb stock; posted product videos without in-video disclosure (Warren letter, Mar 2025); pledged to resign and divest within 90 days of CMS confirmation (confirmed Apr 2025). As CMS Administrator he now sits inside the HHS that is loosening peptide compounding rules.</t>
  </si>
  <si>
    <t xml:space="preserve">2023-10 (advisor); 2025-03/04 (divestiture pledge)</t>
  </si>
  <si>
    <t xml:space="preserve">https://www.warren.senate.gov/wp-content/uploads/media/doc/letter_to_droz.pdf; https://rollcall.com/2025/03/13/ozs-ties-to-insurers-may-loom-over-his-cms-confirmation-hearing/; https://uk.news.yahoo.com/dr-oz-videos-hocked-supplements-201417239.html; https://www.nbcnews.com/health/health-news/dr-mehmet-oz-health-claims-controversial-medicare-trump-rcna181085</t>
  </si>
  <si>
    <t xml:space="preserve">yes (RSUs; divested per pledge)</t>
  </si>
  <si>
    <t xml:space="preserve">Former paid advisor / stakeholder</t>
  </si>
  <si>
    <t xml:space="preserve">High - older TV audience</t>
  </si>
  <si>
    <t xml:space="preserve">Instagram ~4M; X ~4M (approximate follower figure; analyst estimate as of mid-2025 - not re-verified this session because live fetch was blocked)</t>
  </si>
  <si>
    <t xml:space="preserve">Government conflict-of-interest scrutiny; long history of FTC/Senate criticism of his supplement claims (green coffee, HCG).</t>
  </si>
  <si>
    <t xml:space="preserve">Warren letter alleged FTC-required disclosure was missing from in-video promotions (only on profile bio).</t>
  </si>
  <si>
    <t xml:space="preserve">HHS / FDA peptide compounding policy (not a company)</t>
  </si>
  <si>
    <t xml:space="preserve">https://www.fda.gov</t>
  </si>
  <si>
    <t xml:space="preserve">Adjacent wellness</t>
  </si>
  <si>
    <t xml:space="preserve">Robert F. Kennedy Jr.</t>
  </si>
  <si>
    <t xml:space="preserve">Policy actor, not a company relationship: on Feb 27, 2026 announced ~14 of 19 Category-2 peptides would move back toward Category 1 (effective Apr 23, 2026) with PCAC review July 23-24, 2026; press links the push to MAHA influencers (Brecka, Means brothers, Rogan). Included because it is the demand-side catalyst behind every 2026 peptide-brand launch.</t>
  </si>
  <si>
    <t xml:space="preserve">2026-02-27; 2026-04-15 (FDA meeting notice)</t>
  </si>
  <si>
    <t xml:space="preserve">https://www.pbs.org/newshour/health/fda-to-weigh-easing-limits-on-unproven-peptides-favored-by-rfk-jr-and-maha-supporters; https://www.pharmacytimes.com/view/the-peptide-reclassification-everyone-s-talking-about-a-pharmacist-s-take-on-what-rfk-jr-s-announcement-actually-means; https://foreignpolicy.com/2026/06/08/peptides-fda-maha-rfk-trump-pharma-us-china-competition/; https://www.forbes.com/sites/joshuacohen/2026/06/13/influencers-peptide-boom-healthcare/</t>
  </si>
  <si>
    <t xml:space="preserve">HHS Secretary</t>
  </si>
  <si>
    <t xml:space="preserve">Third-party: Forbes (Jun 2026) 'America's peptide boom reveals the growing power of health influencers'.</t>
  </si>
  <si>
    <t xml:space="preserve">Policy reversal risk: if PCAC declines to add peptides to the 503A bulks list, brands built on the announcement face whiplash; China-sourcing (Foreign Policy) is a supply-chain and political risk.</t>
  </si>
  <si>
    <t xml:space="preserve">Performance Inspired Nutrition</t>
  </si>
  <si>
    <t xml:space="preserve">https://pi-nutrition.com</t>
  </si>
  <si>
    <t xml:space="preserve">Mark Wahlberg</t>
  </si>
  <si>
    <t xml:space="preserve">Co-founder (2016) with ex-GNC executive Tom Dowd; also Chief Brand Officer of F45 with Dowd as CEO. Clean-label sports nutrition; no peptide products.</t>
  </si>
  <si>
    <t xml:space="preserve">2016</t>
  </si>
  <si>
    <t xml:space="preserve">https://pi-nutrition.com/mark-wahlberg-and-tom-dowd-introduce-their-new-supplement-line-performance-inspired/; https://www.mensjournal.com/health-fitness/tom-dowd-mark-wahlberg-performance-inspired-mens-fitness; https://blog.priceplow.com/supplement-news/performance-inspired-mark-wahlberg</t>
  </si>
  <si>
    <t xml:space="preserve">Cofounder</t>
  </si>
  <si>
    <t xml:space="preserve">High - men 25-50</t>
  </si>
  <si>
    <t xml:space="preserve">Instagram ~22M (approximate follower figure; analyst estimate as of mid-2025 - not re-verified this session because live fetch was blocked)</t>
  </si>
  <si>
    <t xml:space="preserve">Not disclosed (Walmart/GNC distribution).</t>
  </si>
  <si>
    <t xml:space="preserve">Centr (HighPost Capital)</t>
  </si>
  <si>
    <t xml:space="preserve">https://centr.com</t>
  </si>
  <si>
    <t xml:space="preserve">Chris Hemsworth</t>
  </si>
  <si>
    <t xml:space="preserve">Founder (2019); HighPost Capital (Mark Bezos) acquired Centr + Inspire Fitness (Mar 30, 2022; reported ~$200M); Hemsworth remains second-largest shareholder and face of the app/supplement line.</t>
  </si>
  <si>
    <t xml:space="preserve">2019 (launch); 2022-03-30 (sale)</t>
  </si>
  <si>
    <t xml:space="preserve">https://www.businesswire.com/news/home/20220330005951/en/HighPost-Capital-Acquires-Chris-Hemsworth%E2%80%99s-Centr-and-Inspire-Fitness-to-Create-Leading-Personal-Fitness-Nutrition-and-Wellness-Platform; https://news.bloomberglaw.com/mergers-and-acquisitions/mark-bezoss-highpost-buys-chris-hemsworths-centr-fitness-app</t>
  </si>
  <si>
    <t xml:space="preserve">Founder / shareholder / face</t>
  </si>
  <si>
    <t xml:space="preserve">Instagram ~58M (approximate follower figure; analyst estimate as of mid-2025 - not re-verified this session because live fetch was blocked)</t>
  </si>
  <si>
    <t xml:space="preserve">Third-party: ~$200M exit is a benchmark for celebrity-founder fitness apps.</t>
  </si>
  <si>
    <t xml:space="preserve">Moderate key-person dependence.</t>
  </si>
  <si>
    <t xml:space="preserve">TB12 / TBRx</t>
  </si>
  <si>
    <t xml:space="preserve">https://tb12sports.com</t>
  </si>
  <si>
    <t xml:space="preserve">Tom Brady</t>
  </si>
  <si>
    <t xml:space="preserve">Co-founder (2013) with Alex Guerrero; 2025 reports say Brady and Guerrero dissolved the partnership, the Foxborough store closed and the business rebrands as TBRx with Brady listed only as a client. Guerrero has prior FTC history over supplement claims.</t>
  </si>
  <si>
    <t xml:space="preserve">2013 (founding); 2025 (dissolution reported)</t>
  </si>
  <si>
    <t xml:space="preserve">https://www.nbcsportsboston.com/nfl/new-england-patriots/report-tom-brady-and-alex-guerrero-split-as-business-partners-tb12-to-rebrand/558475/; https://www.cbssports.com/nfl/news/tom-brady-alex-guerrero-dissolve-business-partnership-as-tb12-store-in-foxborough-shuts-down-per-report</t>
  </si>
  <si>
    <t xml:space="preserve">Former cofounder; now client</t>
  </si>
  <si>
    <t xml:space="preserve">Instagram ~15M (approximate follower figure; analyst estimate as of mid-2025 - not re-verified this session because live fetch was blocked)</t>
  </si>
  <si>
    <t xml:space="preserve">Illustrates brand collapse when the celebrity exits: TB12 could not survive as 'TB' without TB.</t>
  </si>
  <si>
    <t xml:space="preserve">Guerrero's earlier FTC actions (Supreme Greens) are a due-diligence flag.</t>
  </si>
  <si>
    <t xml:space="preserve">Ladder (Openfit/Beachbody)</t>
  </si>
  <si>
    <t xml:space="preserve">https://www.ladder.sport</t>
  </si>
  <si>
    <t xml:space="preserve">LeBron James &amp; Arnold Schwarzenegger</t>
  </si>
  <si>
    <t xml:space="preserve">Co-founders (2018, with Cindy Crawford and Lindsey Vonn); Openfit bought a majority stake Dec 2, 2020 (Ladder tracking ~$4M 2020 sales); founders stayed as minority holders with marketing roles.</t>
  </si>
  <si>
    <t xml:space="preserve">2018 (founding); 2020-12-02 (sale)</t>
  </si>
  <si>
    <t xml:space="preserve">https://www.cnbc.com/2020/12/02/lebron-james-arnold-schwarzeneggers-sell-nutrition-company-to-openfit.html; https://www.businesswire.com/news/home/20201202005635/en/Leading-Digital-Fitness-and-Nutrition-Platform-Openfit-Acquires-LeBron-James-and-Arnold-Schwarzeneggers-Sports-Nutrition-Company-Ladder</t>
  </si>
  <si>
    <t xml:space="preserve">yes (minority post-sale)</t>
  </si>
  <si>
    <t xml:space="preserve">Cofounders / marketers</t>
  </si>
  <si>
    <t xml:space="preserve">LeBron Instagram ~160M; Schwarzenegger ~27M (approximate follower figure; analyst estimate as of mid-2025 - not re-verified this session because live fetch was blocked)</t>
  </si>
  <si>
    <t xml:space="preserve">Verified: only ~$4M revenue after two years despite two of the largest audiences on earth - the clearest 'cosmetic involvement' data point.</t>
  </si>
  <si>
    <t xml:space="preserve">Shows audience size does not convert without founder engagement and product differentiation.</t>
  </si>
  <si>
    <t xml:space="preserve">Kin Euphorics</t>
  </si>
  <si>
    <t xml:space="preserve">https://www.kineuphorics.com</t>
  </si>
  <si>
    <t xml:space="preserve">Bella Hadid</t>
  </si>
  <si>
    <t xml:space="preserve">Joined as 'co-founder and partner' Sept 2021 (brand founded 2018 by Jen Batchelor &amp; Matthew Cauble); not involved day-to-day but fronts campaigns. Brand ran a 2025 retail crowdfunding (DealMaker) - a sign of capital constraint.</t>
  </si>
  <si>
    <t xml:space="preserve">2021-09-01</t>
  </si>
  <si>
    <t xml:space="preserve">https://www.prnewswire.com/news-releases/bella-hadid-joins-kin-euphorics-as-co-founder-and-business-partner-301367431.html; https://wwd.com/eye/lifestyle/bella-hadid-interview-business-era-dry-january-kin-euphorics-1236145453/; https://kingscrowd.com/kin-euphorics-on-dealmaker-securities-2025/</t>
  </si>
  <si>
    <t xml:space="preserve">yes (partner; % undisclosed)</t>
  </si>
  <si>
    <t xml:space="preserve">Late-joining 'co-founder' / face</t>
  </si>
  <si>
    <t xml:space="preserve">Very high - Gen Z women</t>
  </si>
  <si>
    <t xml:space="preserve">Instagram ~60M (approximate follower figure; analyst estimate as of mid-2025 - not re-verified this session because live fetch was blocked)</t>
  </si>
  <si>
    <t xml:space="preserve">Not disclosed; 2025 crowdfunding suggests modest scale.</t>
  </si>
  <si>
    <t xml:space="preserve">Example of retroactive 'co-founder' titling for an equity ambassador.</t>
  </si>
  <si>
    <t xml:space="preserve">Equity relationship disclosed via press.</t>
  </si>
  <si>
    <t xml:space="preserve">INBLOOM</t>
  </si>
  <si>
    <t xml:space="preserve">https://tobeinbloom.com</t>
  </si>
  <si>
    <t xml:space="preserve">Kate Hudson</t>
  </si>
  <si>
    <t xml:space="preserve">Co-founder (2020) with CEO Tushar Adya; Whole Foods retail launch; company claimed 4x sales growth and 25% repeat rate (Apr 2021).</t>
  </si>
  <si>
    <t xml:space="preserve">2020-09</t>
  </si>
  <si>
    <t xml:space="preserve">https://www.modernretail.co/operations/kate-hudson-shares-how-her-supplement-brand-inbloom-prepared-for-its-first-retail-launch-in-whole-foods/; https://wwd.com/feature/kate-hudson-supplement-inbloom-omnidegradable-refillables-1234811617/</t>
  </si>
  <si>
    <t xml:space="preserve">Cofounder / face</t>
  </si>
  <si>
    <t xml:space="preserve">High - women 30-50</t>
  </si>
  <si>
    <t xml:space="preserve">Instagram ~17M (approximate follower figure; analyst estimate as of mid-2025 - not re-verified this session because live fetch was blocked)</t>
  </si>
  <si>
    <t xml:space="preserve">Company-reported growth claims only.</t>
  </si>
  <si>
    <t xml:space="preserve">Seed Health</t>
  </si>
  <si>
    <t xml:space="preserve">https://seed.com</t>
  </si>
  <si>
    <t xml:space="preserve">Cameron Diaz, Gwyneth Paltrow, Karlie Kloss, Jessica Biel</t>
  </si>
  <si>
    <t xml:space="preserve">Named individual investors in Seed (probiotics); $40M Series A (2021, The Craftory). Seed co-founder Ara Katz in turn invests in Function Health - the cap tables interlock.</t>
  </si>
  <si>
    <t xml:space="preserve">2021</t>
  </si>
  <si>
    <t xml:space="preserve">https://www.forbes.com/sites/cereal-entrepreneurs/2023/10/24/seed-health-co-founder-ara-katz-on-the-gut-boom-pitching-bros-and-mike-ovitz/; https://www.cbinsights.com/company/seed-health</t>
  </si>
  <si>
    <t xml:space="preserve">Combined Instagram &gt;30M (approximate follower figure; analyst estimate as of mid-2025 - not re-verified this session because live fetch was blocked)</t>
  </si>
  <si>
    <t xml:space="preserve">Verified: Seed became Target's fastest-growing probiotic brand (US Chamber) - attributed to science-first influencer program ('Seed University'), not celebrity investors.</t>
  </si>
  <si>
    <t xml:space="preserve">ZOA Energy (Molson Coors majority)</t>
  </si>
  <si>
    <t xml:space="preserve">https://zoaenergy.com</t>
  </si>
  <si>
    <t xml:space="preserve">Dwayne Johnson</t>
  </si>
  <si>
    <t xml:space="preserve">Co-founder (2021, with Dany Garcia, Dave Rienzi, John Shulman); Molson Coors took a majority stake Nov 2024 after distribution (2021) and minority investment.</t>
  </si>
  <si>
    <t xml:space="preserve">2021-03 (launch); 2024-11 (majority sale)</t>
  </si>
  <si>
    <t xml:space="preserve">https://www.fooddive.com/news/molson-coors-buys-majority-stake-in-zoa-energy-drinks/732274/; https://www.brewbound.com/news/molson-coors-takes-majority-stake-in-zoa-energy/</t>
  </si>
  <si>
    <t xml:space="preserve">Instagram ~395M (approximate follower figure; analyst estimate as of mid-2025 - not re-verified this session because live fetch was blocked)</t>
  </si>
  <si>
    <t xml:space="preserve">Third-party: strategic exit to Molson Coors within ~3.5 years.</t>
  </si>
  <si>
    <t xml:space="preserve">Longevity by Brooke Burke Body</t>
  </si>
  <si>
    <t xml:space="preserve">https://longevitybybrookeburkebody.com</t>
  </si>
  <si>
    <t xml:space="preserve">Brooke Burke</t>
  </si>
  <si>
    <t xml:space="preserve">Founder/CEO of Brooke Burke Body; 'Longevity' superfood powders launched Sept 22, 2022 with Forever Brands (Seattle) as manufacturing partner. Name-only overlap with longevity medicine; no peptides.</t>
  </si>
  <si>
    <t xml:space="preserve">2022-09-22</t>
  </si>
  <si>
    <t xml:space="preserve">https://www.prnewswire.com/news-releases/forever-brands-launches-superfood-powder-longevity-by-brooke-burke-body-301630072.html; https://longevitybybrookeburkebody.com/pages/brookes-story</t>
  </si>
  <si>
    <t xml:space="preserve">Medium - women 40-60</t>
  </si>
  <si>
    <t xml:space="preserve">Instagram ~1M (approximate follower figure; analyst estimate as of mid-2025 - not re-verified this session because live fetch was blocked)</t>
  </si>
  <si>
    <t xml:space="preserve">Bulletproof / Danger Coffee / Upgrade Labs</t>
  </si>
  <si>
    <t xml:space="preserve">https://daveasprey.com</t>
  </si>
  <si>
    <t xml:space="preserve">Dave Asprey</t>
  </si>
  <si>
    <t xml:space="preserve">Founder of Bulletproof (stepped down as CEO 2019; brand rebranded 2025 away from mold/toxicity messaging); founded Danger Coffee (2022), Upgrade Labs franchise and the Biohacking Conference. Longtime promoter of peptides on his podcast; no owned peptide vendor identified.</t>
  </si>
  <si>
    <t xml:space="preserve">2013 (Bulletproof); 2019 (CEO exit); 2022 (Danger Coffee)</t>
  </si>
  <si>
    <t xml:space="preserve">https://www.seattletimes.com/business/founder-of-bulletproof-coffee-steps-aside-as-ceo/; https://dailycoffeenews.com/2025/06/03/bulletproof-rebrands-without-focusing-on-mold-and-toxicity/; https://daveasprey.com/about/</t>
  </si>
  <si>
    <t xml:space="preserve">yes (Danger/Upgrade); Bulletproof stake unknown</t>
  </si>
  <si>
    <t xml:space="preserve">partial</t>
  </si>
  <si>
    <t xml:space="preserve">Founder / podcaster</t>
  </si>
  <si>
    <t xml:space="preserve">High - biohackers</t>
  </si>
  <si>
    <t xml:space="preserve">Instagram ~1M; podcast top-100 (approximate follower figure; analyst estimate as of mid-2025 - not re-verified this session because live fetch was blocked)</t>
  </si>
  <si>
    <t xml:space="preserve">Third-party: Bulletproof's post-founder rebrand shows a brand deliberately decoupling from founder claims.</t>
  </si>
  <si>
    <t xml:space="preserve">Founder-claim liability (mold/toxin messaging) was shed by new management.</t>
  </si>
  <si>
    <t xml:space="preserve">Founder promotion; affiliate codes on his site require disclosure.</t>
  </si>
  <si>
    <t xml:space="preserve">Kion</t>
  </si>
  <si>
    <t xml:space="preserve">https://getkion.com</t>
  </si>
  <si>
    <t xml:space="preserve">Ben Greenfield</t>
  </si>
  <si>
    <t xml:space="preserve">Co-founder (2017, with Angelo Keely); Greenfield separately hosts multiple peptide-vendor episodes (Limitless Life, PeptidePower) and carries affiliate codes.</t>
  </si>
  <si>
    <t xml:space="preserve">2017</t>
  </si>
  <si>
    <t xml:space="preserve">https://bengreenfieldlife.com/ben-recommends/kion/; https://bengreenfieldlife.com/podcast/best-of-peptides/; https://bengreenfieldlife.com/podcast/kyal-van-der-leest-peptidepower/</t>
  </si>
  <si>
    <t xml:space="preserve">Cofounder / podcaster</t>
  </si>
  <si>
    <t xml:space="preserve">Instagram ~0.4M; podcast (approximate follower figure; analyst estimate as of mid-2025 - not re-verified this session because live fetch was blocked)</t>
  </si>
  <si>
    <t xml:space="preserve">Peptide-vendor affiliate content adjacent to owned supplement brand.</t>
  </si>
  <si>
    <t xml:space="preserve">Affiliate disclosure required per episode/page.</t>
  </si>
  <si>
    <t xml:space="preserve">adjacent (Kion) / direct (peptide affiliate content)</t>
  </si>
  <si>
    <t xml:space="preserve">Humanrace</t>
  </si>
  <si>
    <t xml:space="preserve">https://humanrace.com</t>
  </si>
  <si>
    <t xml:space="preserve">Pharrell Williams</t>
  </si>
  <si>
    <t xml:space="preserve">Founder (2020) with dermatologist Dr. Elena Jones; moisturizers feature peptides + snow mushroom for barrier/firmness. Peptides are an ingredient, not the brand thesis.</t>
  </si>
  <si>
    <t xml:space="preserve">https://humanrace.com/; https://www.gearpatrol.com/style/grooming/a38870630/pharrell-williams-skincare-humanrace/</t>
  </si>
  <si>
    <t xml:space="preserve">adjacent (peptide ingredient)</t>
  </si>
  <si>
    <t xml:space="preserve">Beau Domaine (formerly Le Domaine)</t>
  </si>
  <si>
    <t xml:space="preserve">https://us.beau-domaine.com</t>
  </si>
  <si>
    <t xml:space="preserve">Brad Pitt</t>
  </si>
  <si>
    <t xml:space="preserve">Co-founder (2022) with the Perrin family (Miraval); patented grape-derived actives (GSM10, ProGR3); peptides appear in some formulas but are secondary. Included as a minor peptide-adjacent celebrity skincare case; The Outset (Scarlett Johansson) was reviewed and excluded - no material peptide positioning.</t>
  </si>
  <si>
    <t xml:space="preserve">2022-09</t>
  </si>
  <si>
    <t xml:space="preserve">https://www.gcimagazine.com/brands-products/skin-care/news/22458417/brad-pitt-launches-le-domaine-skin-care-brand; https://variety.com/2025/shopping/news/brad-pitt-skincare-brand-beau-domaine-buy-online-1236444176/</t>
  </si>
  <si>
    <t xml:space="preserve">No personal social media</t>
  </si>
  <si>
    <t xml:space="preserve">None identified (personal GLP-1 disclosure; Talentless apparel is unrelated)</t>
  </si>
  <si>
    <t xml:space="preserve">Scott Disick</t>
  </si>
  <si>
    <t xml:space="preserve">No peptide, GLP-1, longevity or supplement company founded, invested in, or formally endorsed was found. On The Kardashians (Hulu, Feb 27, 2025) Mounjaro was shown in his fridge; he said 'I'm not embarrassed that I took it' and attributed ~30-40 lb loss to a weekly shot plus lifestyle changes. Prior brand work is apparel (Talentless) and paid Instagram posts.</t>
  </si>
  <si>
    <t xml:space="preserve">2025-02-27</t>
  </si>
  <si>
    <t xml:space="preserve">https://www.eonline.com/news/1413959/scott-disick-breaks-silence-on-using-weight-loss-drug-mounjaro-with-nsfw-clapback; https://www.yahoo.com/lifestyle/scott-disick-taking-mounjaro-weight-143939042.html</t>
  </si>
  <si>
    <t xml:space="preserve">Public GLP-1 user (organic)</t>
  </si>
  <si>
    <t xml:space="preserve">High - reality/celebrity audience; overlaps Lemme's buyers via Kourtney</t>
  </si>
  <si>
    <t xml:space="preserve">Instagram ~26M (approximate follower figure; analyst estimate as of mid-2025 - not re-verified this session because live fetch was blocked)</t>
  </si>
  <si>
    <t xml:space="preserve">Third-party: Mounjaro disclosure generated wide tabloid coverage; no brand monetized it.</t>
  </si>
  <si>
    <t xml:space="preserve">Any future Disick GLP-1/peptide deal would inherit Kardashian-family disclosure history (SEC 2022; Lemme suits) and his own past FTC-flagged sponsored posts.</t>
  </si>
  <si>
    <t xml:space="preserve">Historic: Disick's Instagram was cited in 2016 for posting a sponsor's caption instructions verbatim - a well-known disclosure-failure meme.</t>
  </si>
  <si>
    <t xml:space="preserve">None identified</t>
  </si>
  <si>
    <t xml:space="preserve">Dana White (own venture check)</t>
  </si>
  <si>
    <t xml:space="preserve">No Dana White-founded or -invested peptide/longevity company found in 2025-26 coverage; his involvement is limited to the Brecka testimonial (see 10X/Ultimate Human record) and UFC's own sponsorship deals.</t>
  </si>
  <si>
    <t xml:space="preserve">https://www.tiktok.com/discover/What-peptide-does-dana-white-use; https://honehealth.com/edge/longevity-trends/</t>
  </si>
  <si>
    <t xml:space="preserve">Analyst inference</t>
  </si>
  <si>
    <t xml:space="preserve">None (deepfake scam ads only)</t>
  </si>
  <si>
    <t xml:space="preserve">Kelly Clarkson</t>
  </si>
  <si>
    <t xml:space="preserve">Publicist: she 'does not have any affiliation as a spokesperson' for any weight-loss product; she disclosed (May 2024) using a prescription weight-loss medication ('not Ozempic'). Her likeness is heavily used in deepfake 'weight-loss gummy' scam ads - a category-wide risk for legitimate GLP-1/peptide brands.</t>
  </si>
  <si>
    <t xml:space="preserve">2024-05</t>
  </si>
  <si>
    <t xml:space="preserve">https://www.rappler.com/newsbreak/fact-check/singer-kelly-clarkson-does-not-endorse-weight-loss-pill/; https://www.today.com/health/kelly-clarkson-weight-loss-rcna131969</t>
  </si>
  <si>
    <t xml:space="preserve">None</t>
  </si>
  <si>
    <t xml:space="preserve">Deepfake endorsement fraud erodes trust in all celebrity GLP-1 marketing.</t>
  </si>
  <si>
    <t xml:space="preserve">FTC has flagged fake-celebrity weight-loss ads as an enforcement priority.</t>
  </si>
  <si>
    <t xml:space="preserve">Relationship class counts (formulas reference the Database sheet)</t>
  </si>
  <si>
    <t xml:space="preserve">Class</t>
  </si>
  <si>
    <t xml:space="preserve">Count</t>
  </si>
  <si>
    <t xml:space="preserve">6 - Recurring paid influencer</t>
  </si>
  <si>
    <t xml:space="preserve">Total</t>
  </si>
  <si>
    <t xml:space="preserve">Peptide-direct records</t>
  </si>
  <si>
    <t xml:space="preserve">Adjacent records</t>
  </si>
  <si>
    <t xml:space="preserve">Theme</t>
  </si>
  <si>
    <t xml:space="preserve">Evidence (see Database and Sources)</t>
  </si>
  <si>
    <t xml:space="preserve">Implication for AminoLord [SR]</t>
  </si>
  <si>
    <t xml:space="preserve">Measurable advantage</t>
  </si>
  <si>
    <t xml:space="preserve">Founder-owned, product-led, peptide-positioned (Rhode: peptide lip SKU launch hero; $1B e.l.f. sale May 2025; $20M media impact value in 48h); investor-as-distribution (AG1 $1.2B valuation with podcast-host cap table; Onnit/Rogan → Unilever 2021); cap-table halo (Function Health: Damon, Efron, Hart, Pascal; $2.5B Nov 2025); trust transfer (Prenuvo/Kim Kardashian unpaid post cited in $120M raise narrative); public-market proof (Oprah/WW: stock roughly doubled on 2015 entry, fell ~25% on Feb 2024 exit).</t>
  </si>
  <si>
    <t xml:space="preserve">Celebrity works when the celebrity owns equity, engages repeatedly in trusted long-form formats, and the product has a hero SKU aligned with a term the audience already searches.</t>
  </si>
  <si>
    <t xml:space="preserve">Cosmetic involvement</t>
  </si>
  <si>
    <t xml:space="preserve">Ladder (LeBron James et al.): ~$4M revenue after two years despite &gt;180M combined followers; SKKN by Kim folded June 2025; Kin Euphorics cofounder title granted years after founding; investor cohorts (Superpower, Neko, Tally) with no continuing marketing activity.</t>
  </si>
  <si>
    <t xml:space="preserve">Audience size without founder engagement or product differentiation does not convert.</t>
  </si>
  <si>
    <t xml:space="preserve">Founder-market fit</t>
  </si>
  <si>
    <t xml:space="preserve">Strong: Halle Berry (menopause), Mark Hyman (practitioner), Peter Attia (physician), Jay Campbell/Hunter Williams (peptide audience). Weak/borrowed: 'GLP-1' naming on a botanical (Lemme); tech fame without health credibility (Neko/Ek).</t>
  </si>
  <si>
    <t xml:space="preserve">Test: does the person already talk about the compound class unpaid? Scott Disick's Feb 2025 Mounjaro disclosure is an organic GLP-1 signal, not a peptide-therapy signal.</t>
  </si>
  <si>
    <t xml:space="preserve">Trust transfer &amp; conversion</t>
  </si>
  <si>
    <t xml:space="preserve">Medical-credibility transfer converts fastest and breaks hardest (Prenuvo/Kardashian; 10X/Brecka drew physician and McGill OSS rebuttals). Repeated podcast recommendations convert (AG1, Onnit, Momentous); a single Super Bowl spot converted to traffic (Hims +650%) not durable trust.</t>
  </si>
  <si>
    <t xml:space="preserve">Pair any celebrity with named clinicians and standards content; use repeated long-form formats over one-off spectacles.</t>
  </si>
  <si>
    <t xml:space="preserve">Reputation &amp; regulatory risk</t>
  </si>
  <si>
    <t xml:space="preserve">Goop 2018 $145K settlement and substantiation injunction; Kim Kardashian SEC $1.26M (2022) for undisclosed payment despite #AD; Lemme GLP-1 Daily class actions (CA and NY, 2025) and rebrand to 'Lemme Reset'; Liver King deceptive-advertising suit; Hims 2025 senator letters; Dr. Oz/iHerb disclosure letter; deepfake celebrity GLP-1 ads.</t>
  </si>
  <si>
    <t xml:space="preserve">Disclosure of ownership and compensation in every endorsement; competent and reliable scientific evidence for every claim; no drug-like claims for non-drugs.</t>
  </si>
  <si>
    <t xml:space="preserve">Key-person risk &amp; brand dependence</t>
  </si>
  <si>
    <t xml:space="preserve">TB12 rebranded to TBRx after Brady–Guerrero split; 10X Health litigation after Brecka exit ($100M vs $13M suits, settled 2025); Blueprint inseparable from Bryan Johnson; WW priced Oprah's exit at ~25% of market cap; Bulletproof managed decoupling.</t>
  </si>
  <si>
    <t xml:space="preserve">Contract for key-person events (earnouts, morals and PED-disclosure clauses, testimonial ownership); build brand equity in clinicians and standards, not only the celebrity.</t>
  </si>
  <si>
    <t xml:space="preserve">Regulatory scrutiny specific to peptides</t>
  </si>
  <si>
    <t xml:space="preserve">HHS/FDA 2026 reclassification (Feb 27 announcement; Apr 15 503A update; Jul 23–24 PCAC) is explicitly linked in press to influencer demand (Rogan, Brecka, Means, Buhler); any celebrity peptide launch will be read as MAHA-adjacent; RUO vendors remain exposed.</t>
  </si>
  <si>
    <t xml:space="preserve">Decide product category (compounded Rx via physician vs cosmetic/collagen 'peptide' vs never RUO) before any celebrity announcement.</t>
  </si>
  <si>
    <t xml:space="preserve">Scott Disick specifics (proposed, unverified)</t>
  </si>
  <si>
    <t xml:space="preserve">On FTC's Sept 2017 21-person influencer warning-letter list; 2016 Bootea caption incident; TINA.org database; confirmed Mounjaro use (Feb 2025); reported promotional GLP-1 post (brand/disclosure unverified — potential category exclusivity); documented addiction history; ~27M Instagram followers (search excerpt). No public link to AminoLord or any peptide company found.</t>
  </si>
  <si>
    <t xml:space="preserve">Disclosure-perfect execution, morality/exclusivity terms, and a medical-substance-first brand are preconditions; his audience is a launch-awareness asset, not a trust asset.</t>
  </si>
  <si>
    <t xml:space="preserve">Scott Disick and Dr. Michael Azziz are PROPOSED principals; no public confirmation of any relationship to AminoLord was found. 'search snippet' = seen only in a search-result excerpt; 'blocked' = source unreachable from the research environment. Full narrative: research/04_principal_verification.md.</t>
  </si>
  <si>
    <t xml:space="preserve">Topic</t>
  </si>
  <si>
    <t xml:space="preserve">Claim</t>
  </si>
  <si>
    <t xml:space="preserve">URL</t>
  </si>
  <si>
    <t xml:space="preserve">Label</t>
  </si>
  <si>
    <t xml:space="preserve">Confidence (0-1)</t>
  </si>
  <si>
    <t xml:space="preserve">Scott Disick - identity</t>
  </si>
  <si>
    <t xml:space="preserve">Born May 26, 1983, Eastport, Long Island, NY; attended The Ross School; grandfather David Disick was a real-estate developer.</t>
  </si>
  <si>
    <t xml:space="preserve">https://www.biography.com/movies-tv/scott-disick</t>
  </si>
  <si>
    <t xml:space="preserve">search snippet</t>
  </si>
  <si>
    <t xml:space="preserve">Cast member of Keeping Up with the Kardashians and The Kardashians (Hulu); star of Flip It Like Disick (E!, 2019).</t>
  </si>
  <si>
    <t xml:space="preserve">https://en.wikipedia.org/wiki/Scott_Disick</t>
  </si>
  <si>
    <t xml:space="preserve">Scott Disick - Hulu</t>
  </si>
  <si>
    <t xml:space="preserve">The Kardashians received a two-season renewal in July 2024; Season 7 premiered Oct 23, 2025; Season 8 in production through H1 2026; Disick appears in S7.</t>
  </si>
  <si>
    <t xml:space="preserve">https://en.wikipedia.org/wiki/The_Kardashians</t>
  </si>
  <si>
    <t xml:space="preserve">Hulu acquired rights to all seasons of KUWTK from Versant, consolidating the Kardashian catalog.</t>
  </si>
  <si>
    <t xml:space="preserve">https://press.hulu.com/pressrelease/hulu-acquires-rights-to-all-seasons-of-keeping-up-with-the-kardashians/</t>
  </si>
  <si>
    <t xml:space="preserve">Scott Disick - Talentless</t>
  </si>
  <si>
    <t xml:space="preserve">Talentless apparel brand founded in 2018; reported 298% year-over-year revenue lift (year unspecified).</t>
  </si>
  <si>
    <t xml:space="preserve">https://www.yahoo.com/entertainment/scott-disick-far-talentless-makes-114212821.html</t>
  </si>
  <si>
    <t xml:space="preserve">Scott Disick - net worth</t>
  </si>
  <si>
    <t xml:space="preserve">Estimated net worth ~$45M (2026), income from Talentless and Instagram advertising.</t>
  </si>
  <si>
    <t xml:space="preserve">https://parade.com/1363926/hannah-southwick/scott-disick-net-worth/</t>
  </si>
  <si>
    <t xml:space="preserve">Scott Disick - ventures</t>
  </si>
  <si>
    <t xml:space="preserve">Joined haircare brand IN COMMON Beauty as a partner (July 2021).</t>
  </si>
  <si>
    <t xml:space="preserve">https://www.hola.com/us/celebrities/20210701g02gwpeld7/scott-disick-is-venturing-into-the-beauty-industry/</t>
  </si>
  <si>
    <t xml:space="preserve">Wikipedia states he invested in nightclubs and ran multiple vitamin companies; specific company names not surfaced.</t>
  </si>
  <si>
    <t xml:space="preserve">Scott Disick - Mounjaro</t>
  </si>
  <si>
    <t xml:space="preserve">Mounjaro boxes were spotted in his refrigerator on a February 2025 episode of The Kardashians; Khloe and Kendall raised it with him.</t>
  </si>
  <si>
    <t xml:space="preserve">https://www.eonline.com/news/1413959/scott-disick-breaks-silence-on-using-weight-loss-drug-mounjaro-with-nsfw-clapback</t>
  </si>
  <si>
    <t xml:space="preserve">Disick said 'By the way, I'm not embarrassed I took it'; reported ~30 lb lost over ~6 months; cited back pain from a 2022 car crash and poor diet.</t>
  </si>
  <si>
    <t xml:space="preserve">https://toofab.com/2025/02/27/scott-disick-mounjaro-weight-loss-kardashians/</t>
  </si>
  <si>
    <t xml:space="preserve">Confirmed Mounjaro use (Feb 27, 2025 coverage).</t>
  </si>
  <si>
    <t xml:space="preserve">https://www.justjared.com/2025/02/27/scott-disick-confirms-he-used-mounjaro-to-lose-weight/</t>
  </si>
  <si>
    <t xml:space="preserve">Scott Disick - GLP-1 promotion</t>
  </si>
  <si>
    <t xml:space="preserve">Yahoo headline: 'Scott Disick Shows Off Weight Loss While Promoting GLP-1 Medication, Khloe Kardashian Sends Support' - indicates a promotional post for a GLP-1 product/provider; brand and paid status unverified.</t>
  </si>
  <si>
    <t xml:space="preserve">https://www.yahoo.com/entertainment/celebrity/articles/scott-disick-shows-off-weight-203659262.html</t>
  </si>
  <si>
    <t xml:space="preserve">third-party report</t>
  </si>
  <si>
    <t xml:space="preserve">Scott Disick - peptides</t>
  </si>
  <si>
    <t xml:space="preserve">No public statement by Disick about peptides, peptide clinics, TRT, or longevity clinics found.</t>
  </si>
  <si>
    <t xml:space="preserve">not found</t>
  </si>
  <si>
    <t xml:space="preserve">Scott Disick - FTC</t>
  </si>
  <si>
    <t xml:space="preserve">May 2016: sponsored Bootea Instagram post accidentally included the brand's posting instructions ('Here you go, at 4pm est, write the below...').</t>
  </si>
  <si>
    <t xml:space="preserve">https://www.refinery29.com/en-gb/2016/05/111459/scott-disick-bootea-instagram</t>
  </si>
  <si>
    <t xml:space="preserve">April 19, 2017: FTC staff sent ~90 educational letters to influencers and marketers after a Public Citizen petition.</t>
  </si>
  <si>
    <t xml:space="preserve">https://www.ftc.gov/news-events/news/press-releases/2017/04/ftc-staff-reminds-influencers-brands-clearly-disclose-relationship</t>
  </si>
  <si>
    <t xml:space="preserve">September 6, 2017: FTC sent warning letters to 21 influencers including Scott Disick, requiring responses by Sept 30 on material connections.</t>
  </si>
  <si>
    <t xml:space="preserve">https://www.thefashionlaw.com/ftc-settles-case-with-youtube-users-sends-stronger-letters-to-21-influencers/</t>
  </si>
  <si>
    <t xml:space="preserve">Disick's flagged posts reportedly involved Jet Lux, Wheels Up, Polaroid, and Stadium Goods.</t>
  </si>
  <si>
    <t xml:space="preserve">Truth in Advertising (TINA.org) maintains a Scott Disick Instagram database of undisclosed ads.</t>
  </si>
  <si>
    <t xml:space="preserve">https://truthinadvertising.org/evidence/scott-disick-instagram-database/</t>
  </si>
  <si>
    <t xml:space="preserve">No FTC enforcement action or consent order against Disick located; 2017 letters were warnings.</t>
  </si>
  <si>
    <t xml:space="preserve">Scott Disick - endorsements</t>
  </si>
  <si>
    <t xml:space="preserve">No specific Disick deals with SugarBearHair, Flat Tummy, Boohoo/boohooMAN, Lemme, Kylie, or Rejuvenation were surfaced (search budget limited; not proof of absence).</t>
  </si>
  <si>
    <t xml:space="preserve">Scott Disick - reputation</t>
  </si>
  <si>
    <t xml:space="preserve">Arrested at 18 after car crash and failed sobriety test (Riverdale, NY); outpatient program 2010; inpatient rehab 2014.</t>
  </si>
  <si>
    <t xml:space="preserve">https://www.thethings.com/celebrity/Scott-Disick/</t>
  </si>
  <si>
    <t xml:space="preserve">Scott Disick - audience</t>
  </si>
  <si>
    <t xml:space="preserve">Instagram @letthelordbewithyou ~27M followers (2026).</t>
  </si>
  <si>
    <t xml:space="preserve">https://www.instagram.com/letthelordbewithyou/?hl=en</t>
  </si>
  <si>
    <t xml:space="preserve">X @ScottDisick ~5.7M followers.</t>
  </si>
  <si>
    <t xml:space="preserve">https://x.com/ScottDisick?lang=en</t>
  </si>
  <si>
    <t xml:space="preserve">TikTok @letthelordbewithyou.sd ~17.9K followers (unusually small; verify official handle).</t>
  </si>
  <si>
    <t xml:space="preserve">https://www.tiktok.com/@letthelordbewithyou.sd</t>
  </si>
  <si>
    <t xml:space="preserve">No audience-demographic breakdown located.</t>
  </si>
  <si>
    <t xml:space="preserve">Scott Disick - rights</t>
  </si>
  <si>
    <t xml:space="preserve">Talent agency not identified.</t>
  </si>
  <si>
    <t xml:space="preserve">Scott Disick - trademarks</t>
  </si>
  <si>
    <t xml:space="preserve">USPTO search for SCOTT DISICK / TALENTLESS / LORD DISICK could not be performed (TSDR, TMSearch, Justia, Trademarkia blocked).</t>
  </si>
  <si>
    <t xml:space="preserve">https://tsdr.uspto.gov/</t>
  </si>
  <si>
    <t xml:space="preserve">blocked</t>
  </si>
  <si>
    <t xml:space="preserve">Scott Disick - AminoLord link</t>
  </si>
  <si>
    <t xml:space="preserve">No press, social, or corporate record links Scott Disick to AminoLord or any peptide company.</t>
  </si>
  <si>
    <t xml:space="preserve">Dr. Michael Azziz - Candidate A</t>
  </si>
  <si>
    <t xml:space="preserve">Michael (H.) Aziz, MD is a board-certified internist in New York, NY; MD University of Alexandria; residency Long Island Jewish Medical Center; ~38 years' experience.</t>
  </si>
  <si>
    <t xml:space="preserve">https://www.zocdoc.com/doctor/michael-aziz-md-7129</t>
  </si>
  <si>
    <t xml:space="preserve">US News lists him as Michael H. Aziz, MD, internist, New York.</t>
  </si>
  <si>
    <t xml:space="preserve">https://health.usnews.com/doctors/michael-aziz-46630</t>
  </si>
  <si>
    <t xml:space="preserve">Healthgrades labels him 'Family Medicine Physician' - discrepancy vs. internal medicine.</t>
  </si>
  <si>
    <t xml:space="preserve">https://www.healthgrades.com/physician/dr-michael-aziz-yb8ps</t>
  </si>
  <si>
    <t xml:space="preserve">Attending physician at Lenox Hill Hospital; practice 'Michael Aziz, MD and Associates' at 515 Madison Ave, New York.</t>
  </si>
  <si>
    <t xml:space="preserve">https://www.yelp.com/biz/michael-aziz-md-new-york-2</t>
  </si>
  <si>
    <t xml:space="preserve">Practice focus: primary care, functional medicine, peptides, anti-aging, bioidentical hormones, testosterone replacement.</t>
  </si>
  <si>
    <t xml:space="preserve">https://www.michaelazizmd.com/</t>
  </si>
  <si>
    <t xml:space="preserve">company-reported</t>
  </si>
  <si>
    <t xml:space="preserve">Markets himself as 'a leading expert on peptides in New York City, the Hamptons, and Miami' and as teaching other doctors about peptides.</t>
  </si>
  <si>
    <t xml:space="preserve">https://www.michaelazizmd.com/services/peptide-therapy</t>
  </si>
  <si>
    <t xml:space="preserve">Author of The Perfect 10 Diet (claimed Amazon #1 for 12 weeks in 2011) and The Ageless Revolution (2025).</t>
  </si>
  <si>
    <t xml:space="preserve">https://www.simonandschuster.com/books/The-Ageless-Revolution/Michael-Aziz/9780757325144</t>
  </si>
  <si>
    <t xml:space="preserve">Claims TV appearances on The View, The Doctors, Fox &amp; Friends, Dr. Oz.</t>
  </si>
  <si>
    <t xml:space="preserve">https://www.linkedin.com/in/michael-aziz-01945817/</t>
  </si>
  <si>
    <t xml:space="preserve">Listed as a hormone/peptide therapy clinic in New York.</t>
  </si>
  <si>
    <t xml:space="preserve">https://www.mypeptidematch.com/clinic/aziz-michael-md-new-york-ny</t>
  </si>
  <si>
    <t xml:space="preserve">No disciplinary history located; NYSED lookup blocked; no peer-reviewed publications surfaced; PubMed blocked.</t>
  </si>
  <si>
    <t xml:space="preserve">https://www.op.nysed.gov/</t>
  </si>
  <si>
    <t xml:space="preserve">No connection to Scott Disick, the Kardashians, or AminoLord found.</t>
  </si>
  <si>
    <t xml:space="preserve">Assessed as the most plausible intended 'Dr. Michael Azziz' given peptide/longevity focus and Miami/Hamptons marketing; spelling differs (Aziz vs Azziz).</t>
  </si>
  <si>
    <t xml:space="preserve">inference</t>
  </si>
  <si>
    <t xml:space="preserve">Dr. Michael Azziz - Candidate B</t>
  </si>
  <si>
    <t xml:space="preserve">Michael M. Aziz is listed at Allegheny Health Network (Pittsburgh); distinct person; specialty not visible.</t>
  </si>
  <si>
    <t xml:space="preserve">https://findcare.ahn.org/Michael-M-Aziz</t>
  </si>
  <si>
    <t xml:space="preserve">Dr. Michael Azziz - Candidate C</t>
  </si>
  <si>
    <t xml:space="preserve">Ricardo Azziz is a reproductive endocrinologist (PCOS); different first name; excluded.</t>
  </si>
  <si>
    <t xml:space="preserve">verified</t>
  </si>
  <si>
    <t xml:space="preserve">Dr. Michael Azziz - Candidate D</t>
  </si>
  <si>
    <t xml:space="preserve">No physician found under exact spelling 'Michael Azziz'/'Mike Azziz'; NPI Registry queries blocked; exact-spelling web search lost to budget.</t>
  </si>
  <si>
    <t xml:space="preserve">https://npiregistry.cms.hhs.gov/</t>
  </si>
  <si>
    <t xml:space="preserve">AminoLord - domain</t>
  </si>
  <si>
    <t xml:space="preserve">aminolord.com resolves to 3.33.130.190 and 15.197.148.33.</t>
  </si>
  <si>
    <t xml:space="preserve">https://aminolord.com</t>
  </si>
  <si>
    <t xml:space="preserve">Those IPs are the Squarespace Domains (ex-Google Domains) parking/forwarding anycast endpoints, implying the domain is registered and parked or forwarding rather than hosting a bespoke store.</t>
  </si>
  <si>
    <t xml:space="preserve">HTTP content, WHOIS/RDAP (registrar, creation date, registrant), and Wayback history could not be retrieved (egress blocked).</t>
  </si>
  <si>
    <t xml:space="preserve">AminoLord - trademark</t>
  </si>
  <si>
    <t xml:space="preserve">USPTO TSDR/TMSearch and third-party trademark databases unreachable; no web-search evidence of any AMINOLORD / AMINO LORD filing.</t>
  </si>
  <si>
    <t xml:space="preserve">https://tmsearch.uspto.gov/</t>
  </si>
  <si>
    <t xml:space="preserve">'AMINO' is a crowded/descriptive element in Class 5 (e.g., Amino Supply, Amino Science Labs, Aminos Peptides research-peptide vendors); 'LORD' overlaps Disick's 'Lord Disick' persona; clearance in Classes 5/35/44/25 needed.</t>
  </si>
  <si>
    <t xml:space="preserve">https://aminosupply.com/</t>
  </si>
  <si>
    <t xml:space="preserve">AminoLord - entity</t>
  </si>
  <si>
    <t xml:space="preserve">No company named AminoLord found via web search; OpenCorporates blocked.</t>
  </si>
  <si>
    <t xml:space="preserve">https://opencorporates.com/companies?q=aminolord</t>
  </si>
  <si>
    <t xml:space="preserve">GitHub has no repository or user named 'aminolord'; only code hit is an unrelated MyAnimeList username in a crawler dataset.</t>
  </si>
  <si>
    <t xml:space="preserve">https://api.github.com/search/repositories?q=aminolord</t>
  </si>
  <si>
    <t xml:space="preserve">AminoLord - social</t>
  </si>
  <si>
    <t xml:space="preserve">Existence of @aminolord on Instagram, TikTok, X could not be determined (hosts blocked); zero indexed web results for 'aminolord'.</t>
  </si>
  <si>
    <t xml:space="preserve">https://www.instagram.com/aminolord/</t>
  </si>
  <si>
    <t xml:space="preserve">AminoLord - press</t>
  </si>
  <si>
    <t xml:space="preserve">No press or social mention linking AminoLord to Scott Disick or Dr. Azziz/Aziz.</t>
  </si>
  <si>
    <t xml:space="preserve">AminoLord - status</t>
  </si>
  <si>
    <t xml:space="preserve">Overall signals (no search footprint, no press, no GitHub, parking IPs) indicate a pre-launch/stealth brand.</t>
  </si>
  <si>
    <t xml:space="preserve">Ecosystem - Lemme</t>
  </si>
  <si>
    <t xml:space="preserve">Lemme GLP-1 Daily launched Sept 16, 2024 as a 'natural GLP-1' supplement (orange/eriocitrin, saffron, lemon extracts); founders Kourtney Kardashian Barker and Simon Huck.</t>
  </si>
  <si>
    <t xml:space="preserve">https://www.inc.com/victoria-salves/kourtney-kardashian-brand-lemme-hit-with-class-action-lawsuit-weight-loss-claims/91373803</t>
  </si>
  <si>
    <t xml:space="preserve">False-advertising class actions filed Feb 19, 2025 (California state court), Mar 9, 2025 (New York federal court), and July 13, 2025 (California); product rebranded 'Lemme Reset'; no class certified, no settlement as of latest sources.</t>
  </si>
  <si>
    <t xml:space="preserve">https://openclassactions.com/lawsuits/false-advertising/lemme-glp-1-daily-supplement-false-advertising-class-action-lawsuit.php</t>
  </si>
  <si>
    <t xml:space="preserve">Class action against Lemme Inc. reported by SupplySide SJ and Bloomberg Law.</t>
  </si>
  <si>
    <t xml:space="preserve">https://www.supplysidesj.com/litigation/class-action-targets-kardashian-glp-1-supplement</t>
  </si>
  <si>
    <t xml:space="preserve">A Canadian class action regarding Lemme GLP-1 Daily is being pursued by Actis Law Group.</t>
  </si>
  <si>
    <t xml:space="preserve">https://actislaw.org/class-actions/kardashian</t>
  </si>
  <si>
    <t xml:space="preserve">Ecosystem - precedents</t>
  </si>
  <si>
    <t xml:space="preserve">Kim Kardashian was criticized in 2018 for promoting Flat Tummy Co. appetite-suppressant lollipops.</t>
  </si>
  <si>
    <t xml:space="preserve">https://www.foxnews.com/entertainment/kim-kardashian-slammed-for-promoting-appetite-suppressant-lollipops.print</t>
  </si>
  <si>
    <t xml:space="preserve">Ecosystem - disclosure practices</t>
  </si>
  <si>
    <t xml:space="preserve">Specific audit of SKKN/Poosh/Khy endorsement-disclosure practices was not completed (search budget exhausted); FTC Endorsement Guides (16 CFR 255, rev. 2023) govern.</t>
  </si>
  <si>
    <t xml:space="preserve">Celebrity</t>
  </si>
  <si>
    <t xml:space="preserve">https://www.beautyindependent.com/biolongevity-labs-wants-demystify-peptides/</t>
  </si>
  <si>
    <t xml:space="preserve">https://www.lifesciencesreview.com/biolongevity-labs-2026</t>
  </si>
  <si>
    <t xml:space="preserve">https://sportsnutrition.biz/biolongevity-labs-co-founder-discusses-peptides-for-fitness-and-sports-nutrition/</t>
  </si>
  <si>
    <t xml:space="preserve">https://www.forbes.com/sites/shaheenajanjuhajivrajeurope/2026/07/27/the-founder-asset-how-jay-campbell-scaled-trust-into-longevity/</t>
  </si>
  <si>
    <t xml:space="preserve">https://www.peptideschedule.com/protocols/by/hunter-williams</t>
  </si>
  <si>
    <t xml:space="preserve">https://www.audible.com/podcast/Shutting-Down-The-Podcast-What-Comes-Next-with-Hunter-Williams/B0DJB1D2Y9</t>
  </si>
  <si>
    <t xml:space="preserve">https://outliyr.com/best-online-peptide-companies-websites-sources</t>
  </si>
  <si>
    <t xml:space="preserve">https://bengreenfieldlife.com/podcast/jay-campbell-limitlesslife/</t>
  </si>
  <si>
    <t xml:space="preserve">https://www.cnn.com/2025/11/15/health/peptides-unregulated-influencers</t>
  </si>
  <si>
    <t xml:space="preserve">https://www.usnews.com/news/us/articles/2025-11-14/a-closer-look-at-the-unapproved-peptide-injections-promoted-by-influencers-and-celebrities</t>
  </si>
  <si>
    <t xml:space="preserve">https://ways2well.com/jre</t>
  </si>
  <si>
    <t xml:space="preserve">https://podcastnotes.org/joe-rogan-experience/brigham-buhler-the-dark-side-of-big-pharma-llms-in-medicine-compounding-peptides-stem-cell-therapy-more-the-joe-rogan-experience-2079/</t>
  </si>
  <si>
    <t xml:space="preserve">https://www.houstonchronicle.com/lifestyle/article/houston-longevity-clinics-fountain-life-ways2well-22268415.php</t>
  </si>
  <si>
    <t xml:space="preserve">https://joshua-schall.medium.com/unilever-adds-onnit-to-growing-supplement-brands-portfolio-a1230dba013a</t>
  </si>
  <si>
    <t xml:space="preserve">https://www.capitalism.com/onnit/</t>
  </si>
  <si>
    <t xml:space="preserve">https://www.prnewswire.com/news-releases/serena-williams-joins-ro-as-glp-1-celebrity-ambassador-302535068.html</t>
  </si>
  <si>
    <t xml:space="preserve">https://ro.co/press/serena-williams/</t>
  </si>
  <si>
    <t xml:space="preserve">https://www.healthcare-brew.com/stories/2025/09/10/serena-williams-ros-celeb-ambassador-pharma-advertising</t>
  </si>
  <si>
    <t xml:space="preserve">https://www.mmm-online.com/news/inside-serena-williams-partnership-with-ro-for-glp-1s/</t>
  </si>
  <si>
    <t xml:space="preserve">https://www.nbcnews.com/health/health-news/serena-williams-weight-loss-drug-rcna256202</t>
  </si>
  <si>
    <t xml:space="preserve">https://www.modernhealthcare.com/health-tech/mh-hims-ro-eli-lilly-super-bowl-lx/</t>
  </si>
  <si>
    <t xml:space="preserve">https://www.mmm-online.com/news/hims-hers-returns-with-another-super-bowl-ad/</t>
  </si>
  <si>
    <t xml:space="preserve">https://www.fiercepharma.com/marketing/hims-hers-uses-another-super-bowl-ad-tackle-healthcare-affordability</t>
  </si>
  <si>
    <t xml:space="preserve">https://www.fiercehealthcare.com/health-tech/hims-hers-sees-650-spike-traffic-following-super-bowl-ad-clash-over-compounded-glp-1s</t>
  </si>
  <si>
    <t xml:space="preserve">https://adage.com/super-bowl/super-bowl-commercial-archive/2025/aa-hims-hers-sick-of-the-system/</t>
  </si>
  <si>
    <t xml:space="preserve">https://www.globenewswire.com/news-release/2025/09/18/3152426/0/en/Noom-Welcomes-Rebel-Wilson-as-Chief-Wellness-Ambassador-to-Champion-Microhabits-and-Microdose-GLP-1s.html</t>
  </si>
  <si>
    <t xml:space="preserve">https://www.mediapost.com/publications/article/409248/rebel-wilson-touts-micro-habits-microdosed-glp-1s.html</t>
  </si>
  <si>
    <t xml:space="preserve">https://www.noom.com/in-the-news/noom-launches-lose-for-keeps-campaign-with-rebel-wilson/</t>
  </si>
  <si>
    <t xml:space="preserve">https://www.cbsnews.com/news/oprah-winfrey-weight-watchers-ozempic/</t>
  </si>
  <si>
    <t xml:space="preserve">https://www.npr.org/2024/03/01/1235100405/after-nearly-a-decade-oprah-winfrey-is-set-to-depart-the-board-of-weightwatchers</t>
  </si>
  <si>
    <t xml:space="preserve">https://www.cnn.com/2024/02/29/investing/oprah-winfrey-weightwatchers-stock-plunge/</t>
  </si>
  <si>
    <t xml:space="preserve">https://wwd.com/beauty-industry-news/wellness/kourtney-kardashian-barker-lemme-weight-loss-supplement-glp-1-launch-1236590030/</t>
  </si>
  <si>
    <t xml:space="preserve">https://futurism.com/neoscope/kourtney-kardashian-fake-glp-1</t>
  </si>
  <si>
    <t xml:space="preserve">https://www.mdlinx.com/article/the-kardashians-are-selling-glp-1-supplements-heres-why-its-a-problem/3jAIliDqjGKGXxB0onb8c9</t>
  </si>
  <si>
    <t xml:space="preserve">https://www.emarketer.com/content/kourtney-kardashian-s-lemme-brand-launches-all-natural-glp-1-weight-loss-supplement</t>
  </si>
  <si>
    <t xml:space="preserve">https://femfounded.org/case-studies/lemme/</t>
  </si>
  <si>
    <t xml:space="preserve">https://wwd.com/beauty-industry-news/beauty-features/hailey-bieber-rhode-elf-media-exposure-1237914479/</t>
  </si>
  <si>
    <t xml:space="preserve">https://fortune.com/2025/10/17/celebrity-makeup-billionaire-hailey-bieber-has-shared-what-she-will-do-with-the-fortune-she-made-from-her-rhode-sale-to-e-l-f-beauty-earlier-this-year-wealth-investment-advice/</t>
  </si>
  <si>
    <t xml:space="preserve">https://www.fastcompany.com/91502984/rhode-most-innovative-companies-2026-hailey-bieber-glazing-mist-skin-care-products-babygirl-harris-dickinson-sephora-e-l-f-beauty</t>
  </si>
  <si>
    <t xml:space="preserve">https://femfounded.org/product-studies/rhode-lip-peptide/</t>
  </si>
  <si>
    <t xml:space="preserve">https://www.fiercehealthcare.com/health-tech/startup-pockets-53m-personalized-health-testing-backed-celeb-investors-matt-damon-pedro</t>
  </si>
  <si>
    <t xml:space="preserve">https://www.modernhealthcare.com/health-tech/mh-function-health-funding-matt-damon-zac-efron/</t>
  </si>
  <si>
    <t xml:space="preserve">https://radiologybusiness.com/topics/healthcare-management/healthcare-economics/whole-body-mri-provider-function-health-raises-298m-reaches-25b-valuation</t>
  </si>
  <si>
    <t xml:space="preserve">https://www.modernhealthcare.com/digital-health/function-health-valuation-mark-hyman/</t>
  </si>
  <si>
    <t xml:space="preserve">https://www.mobihealthnews.com/news/celebrities-back-function-53m-series-funding-round</t>
  </si>
  <si>
    <t xml:space="preserve">https://wwd.com/beauty-industry-news/wellness/dr-mark-hyman-function-series-a-zac-efron-matt-damon-1236456498/</t>
  </si>
  <si>
    <t xml:space="preserve">https://finance.yahoo.com/news/function-health-acquires-ezra-launches-144622931.html</t>
  </si>
  <si>
    <t xml:space="preserve">https://longevity.technology/news/tally-health-unveiled-dr-david-sinclairs-consumer-longevity-company-launches/</t>
  </si>
  <si>
    <t xml:space="preserve">https://www.rapamycin.news/t/consumer-alert-david-sinclairs-tally-health-deceptive-practices/12122</t>
  </si>
  <si>
    <t xml:space="preserve">https://www.generationlab.com/blog/tally-health-reviews-david-sinclair</t>
  </si>
  <si>
    <t xml:space="preserve">https://www.medicaldevice-network.com/news/celebrity-endorsed-full-body-mri-scan-company-prenuvo-raises-120m/</t>
  </si>
  <si>
    <t xml:space="preserve">https://www.ajc.com/pulse/celebrities-are-shelling-out-2500-for-full-body-mri-scans-but-why/JZL6VZOGNVHO3OJEA2DYQEDIIA/</t>
  </si>
  <si>
    <t xml:space="preserve">https://news.northeastern.edu/2023/09/21/full-body-mri-celebrity-health/</t>
  </si>
  <si>
    <t xml:space="preserve">https://www.statnews.com/2023/08/11/kim-kardashian-full-body-mri-scans/</t>
  </si>
  <si>
    <t xml:space="preserve">https://radiologybusiness.com/topics/healthcare-management/healthcare-economics/kim-kardashian-promotes-whole-body-mri-service-prenuvo-drawing-concern-some</t>
  </si>
  <si>
    <t xml:space="preserve">https://www.cbsnews.com/sanfrancisco/news/prenuvo-full-body-mri-scans-growing-popularity-social-media-influencers/</t>
  </si>
  <si>
    <t xml:space="preserve">https://www.forbes.com/sites/lilianraji/2025/08/25/unexpected-celebrity-endorsements-have-earned-these-3-brands-millions/</t>
  </si>
  <si>
    <t xml:space="preserve">https://techcrunch.com/2025/08/13/tony-robbins-and-peter-diamandis-longevity-company-fountain-life-raises-18m</t>
  </si>
  <si>
    <t xml:space="preserve">https://finance.yahoo.com/news/tony-robbins-peter-diamandis-longevity-150000785.html</t>
  </si>
  <si>
    <t xml:space="preserve">https://www.fountainlife.com/about</t>
  </si>
  <si>
    <t xml:space="preserve">https://keep.health/fountain-life-a-revolution-in-preventative-and-precision-healthcare/</t>
  </si>
  <si>
    <t xml:space="preserve">https://www.fountainlife.com/peter</t>
  </si>
  <si>
    <t xml:space="preserve">https://thehumanwareproject.com/fountain-life-founder-peter-h-diamandis-on-anti-ageing-the-data-driven-approach-to-living-longer/</t>
  </si>
  <si>
    <t xml:space="preserve">https://insurancenewsnet.com/innarticle/gary-brecka-cardones-file-dueling-lawsuits-in-battle-of-social-media-stars</t>
  </si>
  <si>
    <t xml:space="preserve">https://www.mcgill.ca/oss/article/critical-thinking-health-and-nutrition-pseudoscience/hydrogen-rich-gary-brecka-floating-air</t>
  </si>
  <si>
    <t xml:space="preserve">https://thepeptidelist.substack.com/p/who-actually-matches-your-dna-to</t>
  </si>
  <si>
    <t xml:space="preserve">https://podcasts.apple.com/gb/podcast/01-dana-white-overcoming-the-leading-killer-metabolic/id1709740887?i=1000631581845</t>
  </si>
  <si>
    <t xml:space="preserve">https://pod.wave.co/podcast/bussin-with-the-boys-f815d6e4-bfb8-4c05-9c89-481ed501bcde/how-ultimate-human-founder-gary-brecka-transformed-jelly-roll-dana-white-maha-role-bussin</t>
  </si>
  <si>
    <t xml:space="preserve">https://www.dralo.net/podcasts/dr-alo-show/episodes/2148276444</t>
  </si>
  <si>
    <t xml:space="preserve">https://www.prnewswire.com/news-releases/momentous-announces-a-multi-year-partnership-with-the-huberman-lab-podcast-and-dr-andrew-huberman-as-a-scientific-advisor-301532106.html</t>
  </si>
  <si>
    <t xml:space="preserve">https://www.businesswire.com/news/home/20220318005080/en/Athletic-Greens-Announces-Dr.-Andrew-Huberman-as-Scientific-Advisor</t>
  </si>
  <si>
    <t xml:space="preserve">https://fastlifehacks.com/andrew-huberman-supplements-list/</t>
  </si>
  <si>
    <t xml:space="preserve">https://techcrunch.com/2022/01/25/athletic-greens-valued-at-1-2b-nutrition-drink/</t>
  </si>
  <si>
    <t xml:space="preserve">https://beautymatter.com/articles/athletic-greens-lands-115-million-at-12-billion-valuation</t>
  </si>
  <si>
    <t xml:space="preserve">https://en.wikipedia.org/wiki/AG1_(company)</t>
  </si>
  <si>
    <t xml:space="preserve">https://businessmodelcanvastemplate.com/blogs/owners/athletic-greens-who-owns</t>
  </si>
  <si>
    <t xml:space="preserve">https://www.mensfitness.com/news/longevity-enthusiast-bryan-johnson-just-made-his-most-shocking-announcement-yet</t>
  </si>
  <si>
    <t xml:space="preserve">https://perfecthairhealth.com/blueprint-haircare-stack-product-review/</t>
  </si>
  <si>
    <t xml:space="preserve">https://fastlifehacks.com/bryan-johnson-peptide-list/</t>
  </si>
  <si>
    <t xml:space="preserve">https://www.fortune.com/2025/12/17/bryan-johnson-humans-immortal-by-2039-cancer</t>
  </si>
  <si>
    <t xml:space="preserve">https://peterattiamd.com/</t>
  </si>
  <si>
    <t xml:space="preserve">https://peterattiamd.com/peptides/</t>
  </si>
  <si>
    <t xml:space="preserve">https://peterattiamd.com/ama83/</t>
  </si>
  <si>
    <t xml:space="preserve">https://www.forbes.com/sites/dariashunina/2025/04/22/superpower-raises-30m-to-launch-worlds-first-health-super-app/</t>
  </si>
  <si>
    <t xml:space="preserve">https://www.fiercehealthcare.com/health-tech/new-startup-superpower-scores-30m-launch-personalized-health-testing</t>
  </si>
  <si>
    <t xml:space="preserve">https://longevity.technology/investment/superpower-unleashed-with-30m-for-ai-powered-preventive-health/</t>
  </si>
  <si>
    <t xml:space="preserve">https://techcrunch.com/2026/07/15/daniel-eks-body-scanning-startup-neko-health-raises-another-700m/</t>
  </si>
  <si>
    <t xml:space="preserve">https://www.bloomberg.com/news/articles/2025-01-23/daniel-ek-s-neko-health-raises-260-million-for-us-expansion</t>
  </si>
  <si>
    <t xml:space="preserve">https://www.nekohealth.com/se/en/press/neko-health-raises-260m-series-b</t>
  </si>
  <si>
    <t xml:space="preserve">https://www.craincurrency.com/investing/daniel-eks-neko-health-raises-700-million-billionaires-celebs</t>
  </si>
  <si>
    <t xml:space="preserve">https://www.fiercehealthcare.com/health-tech/full-body-scan-startup-neko-health-scores-700m-break-us-market</t>
  </si>
  <si>
    <t xml:space="preserve">https://techfundingnews.com/neko-health-700m-series-c-daniel-ek-body-scans/</t>
  </si>
  <si>
    <t xml:space="preserve">https://wwd.com/beauty-industry-news/wellness/halle-berry-respin-health-menopause-1236947001/</t>
  </si>
  <si>
    <t xml:space="preserve">https://fortune.com/2024/10/15/halle-berry-menopause-midlife-wellness-platform-respin</t>
  </si>
  <si>
    <t xml:space="preserve">https://www.forbes.com/sites/maggiemcgrath/2025/07/30/how-halle-berry-became-the-new-face-of-menopause/</t>
  </si>
  <si>
    <t xml:space="preserve">https://www.fiercehealthcare.com/health-tech/hlth24-day-2-google-cloud-recursion-expand-tech-partnership-healthex-raises-14m</t>
  </si>
  <si>
    <t xml:space="preserve">https://www.noom.com/blog/weight-management/amy-schumer-mounjaro-hrt-weight-loss-news/</t>
  </si>
  <si>
    <t xml:space="preserve">https://www.yahoo.com/entertainment/celebrity/articles/everything-amy-schumer-said-her-213949235.html</t>
  </si>
  <si>
    <t xml:space="preserve">https://www.healthline.com/health-news/amy-schumer-mounjaro-weight-loss-perimenopause</t>
  </si>
  <si>
    <t xml:space="preserve">https://wwd.com/fashion-news/fashion-scoops/jennifer-aniston-vital-proteins-chief-creative-officer-campaign-1234657650/</t>
  </si>
  <si>
    <t xml:space="preserve">https://www.prnewswire.com/news-releases/vital-proteins-and-jennifer-aniston-announce-every-moment-is-vital-global-brand-campaign-and-new-protein-and-collagen-bars-301542700.html</t>
  </si>
  <si>
    <t xml:space="preserve">https://www.nbcnews.com/news/us-news/collagen-supplement-promoted-jennifer-aniston-recalled-rcna89340</t>
  </si>
  <si>
    <t xml:space="preserve">https://www.nestle.com.au/en/media/news/vital-proteins-and-jennifer-aniston</t>
  </si>
  <si>
    <t xml:space="preserve">https://goop.com/beauty/skin/gwyneth-paltrow-and-plastic-surgeon-julius-few-new-peptide-serum</t>
  </si>
  <si>
    <t xml:space="preserve">https://puck.news/goop-struggles-can-peptides-save-paltrows-pet-project/</t>
  </si>
  <si>
    <t xml:space="preserve">https://www.mecca.com/en-au/mecca-memo/skin/gwyneth-paltrow-goop-interview/</t>
  </si>
  <si>
    <t xml:space="preserve">https://da.sonomacounty.ca.gov/jill-ravitch-announces-consumer-protection-settlement</t>
  </si>
  <si>
    <t xml:space="preserve">https://qz.com/quartzy/1379586/goop-settles-145000-lawsuit-over-vaginal-egg-claims</t>
  </si>
  <si>
    <t xml:space="preserve">https://www.hollywoodreporter.com/lifestyle/shopping/skims-acquires-skkn-by-kim-shop-skkn-while-supplies-lasts-1236170345/</t>
  </si>
  <si>
    <t xml:space="preserve">https://www.forbes.com/sites/rachelburchfield/2025/03/21/kim-kardashians-skims-will-expand-to-skincare-cosmetics-and-fragrance-following-skkn-by-kim-acquisition/</t>
  </si>
  <si>
    <t xml:space="preserve">https://hypebae.com/2025/10/kim-kardashian-skims-beauty-kkw-skkn-call-her-daddy-announcement</t>
  </si>
  <si>
    <t xml:space="preserve">https://www.sec.gov/newsroom/press-releases/2022-183</t>
  </si>
  <si>
    <t xml:space="preserve">https://www.supplysidesj.com/supplement-regulations/-liver-king-saga-how-eating-meat-touting-supplements-led-to-25m-lawsuit</t>
  </si>
  <si>
    <t xml:space="preserve">https://www.classaction.org/news/liver-king-secretly-used-steroids-to-promote-supplement-companies-class-action-says</t>
  </si>
  <si>
    <t xml:space="preserve">https://www.forbes.com/sites/monicamercuri/2025/05/14/where-is-the-liver-king-now-inside-brian-johnsons-life-after-the-steroid-scandal/</t>
  </si>
  <si>
    <t xml:space="preserve">https://www.prnewswire.com/news-releases/whole-foods-market-co-founder-john-mackey-launches-health-and-wellness-company-lovelife-301885839.html</t>
  </si>
  <si>
    <t xml:space="preserve">https://love.life/about/story</t>
  </si>
  <si>
    <t xml:space="preserve">https://athletechnews.com/former-whole-foods-execs-open-love-life/</t>
  </si>
  <si>
    <t xml:space="preserve">https://www.warren.senate.gov/wp-content/uploads/media/doc/letter_to_droz.pdf</t>
  </si>
  <si>
    <t xml:space="preserve">https://rollcall.com/2025/03/13/ozs-ties-to-insurers-may-loom-over-his-cms-confirmation-hearing/</t>
  </si>
  <si>
    <t xml:space="preserve">https://uk.news.yahoo.com/dr-oz-videos-hocked-supplements-201417239.html</t>
  </si>
  <si>
    <t xml:space="preserve">https://www.nbcnews.com/health/health-news/dr-mehmet-oz-health-claims-controversial-medicare-trump-rcna181085</t>
  </si>
  <si>
    <t xml:space="preserve">https://www.pbs.org/newshour/health/fda-to-weigh-easing-limits-on-unproven-peptides-favored-by-rfk-jr-and-maha-supporters</t>
  </si>
  <si>
    <t xml:space="preserve">https://www.pharmacytimes.com/view/the-peptide-reclassification-everyone-s-talking-about-a-pharmacist-s-take-on-what-rfk-jr-s-announcement-actually-means</t>
  </si>
  <si>
    <t xml:space="preserve">https://foreignpolicy.com/2026/06/08/peptides-fda-maha-rfk-trump-pharma-us-china-competition/</t>
  </si>
  <si>
    <t xml:space="preserve">https://www.forbes.com/sites/joshuacohen/2026/06/13/influencers-peptide-boom-healthcare/</t>
  </si>
  <si>
    <t xml:space="preserve">https://pi-nutrition.com/mark-wahlberg-and-tom-dowd-introduce-their-new-supplement-line-performance-inspired/</t>
  </si>
  <si>
    <t xml:space="preserve">https://www.mensjournal.com/health-fitness/tom-dowd-mark-wahlberg-performance-inspired-mens-fitness</t>
  </si>
  <si>
    <t xml:space="preserve">https://blog.priceplow.com/supplement-news/performance-inspired-mark-wahlberg</t>
  </si>
  <si>
    <t xml:space="preserve">https://www.businesswire.com/news/home/20220330005951/en/HighPost-Capital-Acquires-Chris-Hemsworth%E2%80%99s-Centr-and-Inspire-Fitness-to-Create-Leading-Personal-Fitness-Nutrition-and-Wellness-Platform</t>
  </si>
  <si>
    <t xml:space="preserve">https://news.bloomberglaw.com/mergers-and-acquisitions/mark-bezoss-highpost-buys-chris-hemsworths-centr-fitness-app</t>
  </si>
  <si>
    <t xml:space="preserve">https://www.nbcsportsboston.com/nfl/new-england-patriots/report-tom-brady-and-alex-guerrero-split-as-business-partners-tb12-to-rebrand/558475/</t>
  </si>
  <si>
    <t xml:space="preserve">https://www.cbssports.com/nfl/news/tom-brady-alex-guerrero-dissolve-business-partnership-as-tb12-store-in-foxborough-shuts-down-per-report</t>
  </si>
  <si>
    <t xml:space="preserve">https://www.cnbc.com/2020/12/02/lebron-james-arnold-schwarzeneggers-sell-nutrition-company-to-openfit.html</t>
  </si>
  <si>
    <t xml:space="preserve">https://www.businesswire.com/news/home/20201202005635/en/Leading-Digital-Fitness-and-Nutrition-Platform-Openfit-Acquires-LeBron-James-and-Arnold-Schwarzeneggers-Sports-Nutrition-Company-Ladder</t>
  </si>
  <si>
    <t xml:space="preserve">https://www.prnewswire.com/news-releases/bella-hadid-joins-kin-euphorics-as-co-founder-and-business-partner-301367431.html</t>
  </si>
  <si>
    <t xml:space="preserve">https://wwd.com/eye/lifestyle/bella-hadid-interview-business-era-dry-january-kin-euphorics-1236145453/</t>
  </si>
  <si>
    <t xml:space="preserve">https://kingscrowd.com/kin-euphorics-on-dealmaker-securities-2025/</t>
  </si>
  <si>
    <t xml:space="preserve">https://www.modernretail.co/operations/kate-hudson-shares-how-her-supplement-brand-inbloom-prepared-for-its-first-retail-launch-in-whole-foods/</t>
  </si>
  <si>
    <t xml:space="preserve">https://wwd.com/feature/kate-hudson-supplement-inbloom-omnidegradable-refillables-1234811617/</t>
  </si>
  <si>
    <t xml:space="preserve">https://www.forbes.com/sites/cereal-entrepreneurs/2023/10/24/seed-health-co-founder-ara-katz-on-the-gut-boom-pitching-bros-and-mike-ovitz/</t>
  </si>
  <si>
    <t xml:space="preserve">https://www.cbinsights.com/company/seed-health</t>
  </si>
  <si>
    <t xml:space="preserve">https://www.fooddive.com/news/molson-coors-buys-majority-stake-in-zoa-energy-drinks/732274/</t>
  </si>
  <si>
    <t xml:space="preserve">https://www.brewbound.com/news/molson-coors-takes-majority-stake-in-zoa-energy/</t>
  </si>
  <si>
    <t xml:space="preserve">https://www.prnewswire.com/news-releases/forever-brands-launches-superfood-powder-longevity-by-brooke-burke-body-301630072.html</t>
  </si>
  <si>
    <t xml:space="preserve">https://longevitybybrookeburkebody.com/pages/brookes-story</t>
  </si>
  <si>
    <t xml:space="preserve">https://www.seattletimes.com/business/founder-of-bulletproof-coffee-steps-aside-as-ceo/</t>
  </si>
  <si>
    <t xml:space="preserve">https://dailycoffeenews.com/2025/06/03/bulletproof-rebrands-without-focusing-on-mold-and-toxicity/</t>
  </si>
  <si>
    <t xml:space="preserve">https://daveasprey.com/about/</t>
  </si>
  <si>
    <t xml:space="preserve">https://bengreenfieldlife.com/ben-recommends/kion/</t>
  </si>
  <si>
    <t xml:space="preserve">https://bengreenfieldlife.com/podcast/best-of-peptides/</t>
  </si>
  <si>
    <t xml:space="preserve">https://bengreenfieldlife.com/podcast/kyal-van-der-leest-peptidepower/</t>
  </si>
  <si>
    <t xml:space="preserve">https://humanrace.com/</t>
  </si>
  <si>
    <t xml:space="preserve">https://www.gearpatrol.com/style/grooming/a38870630/pharrell-williams-skincare-humanrace/</t>
  </si>
  <si>
    <t xml:space="preserve">https://www.gcimagazine.com/brands-products/skin-care/news/22458417/brad-pitt-launches-le-domaine-skin-care-brand</t>
  </si>
  <si>
    <t xml:space="preserve">https://variety.com/2025/shopping/news/brad-pitt-skincare-brand-beau-domaine-buy-online-1236444176/</t>
  </si>
  <si>
    <t xml:space="preserve">https://www.yahoo.com/lifestyle/scott-disick-taking-mounjaro-weight-143939042.html</t>
  </si>
  <si>
    <t xml:space="preserve">https://www.tiktok.com/discover/What-peptide-does-dana-white-use</t>
  </si>
  <si>
    <t xml:space="preserve">https://honehealth.com/edge/longevity-trends/</t>
  </si>
  <si>
    <t xml:space="preserve">https://www.rappler.com/newsbreak/fact-check/singer-kelly-clarkson-does-not-endorse-weight-loss-pill/</t>
  </si>
  <si>
    <t xml:space="preserve">https://www.today.com/health/kelly-clarkson-weight-loss-rcna131969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</si>
</sst>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4444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D33"/>
        <bgColor rgb="FF44444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D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1F3D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</row>
    <row r="4" customFormat="false" ht="90" hidden="false" customHeight="true" outlineLevel="0" collapsed="false">
      <c r="A4" s="2" t="s">
        <v>2</v>
      </c>
    </row>
    <row r="5" customFormat="false" ht="30" hidden="false" customHeight="true" outlineLevel="0" collapsed="false">
      <c r="A5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14"/>
    <col collapsed="false" customWidth="true" hidden="false" outlineLevel="0" max="8" min="8" style="0" width="50"/>
    <col collapsed="false" customWidth="true" hidden="false" outlineLevel="0" max="10" min="9" style="0" width="12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3" min="13" style="0" width="26"/>
    <col collapsed="false" customWidth="true" hidden="false" outlineLevel="0" max="15" min="14" style="0" width="44"/>
    <col collapsed="false" customWidth="true" hidden="false" outlineLevel="0" max="16" min="16" style="0" width="40"/>
    <col collapsed="false" customWidth="true" hidden="false" outlineLevel="0" max="17" min="17" style="0" width="12"/>
    <col collapsed="false" customWidth="true" hidden="false" outlineLevel="0" max="18" min="18" style="0" width="22"/>
    <col collapsed="false" customWidth="true" hidden="false" outlineLevel="0" max="19" min="19" style="0" width="11"/>
  </cols>
  <sheetData>
    <row r="1" customFormat="false" ht="23.8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</row>
    <row r="2" customFormat="false" ht="68.65" hidden="false" customHeight="false" outlineLevel="0" collapsed="false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</row>
    <row r="3" customFormat="false" ht="57.45" hidden="false" customHeight="false" outlineLevel="0" collapsed="false">
      <c r="A3" s="2" t="s">
        <v>23</v>
      </c>
      <c r="B3" s="2" t="s">
        <v>24</v>
      </c>
      <c r="C3" s="2" t="s">
        <v>25</v>
      </c>
      <c r="D3" s="2" t="s">
        <v>41</v>
      </c>
      <c r="E3" s="2" t="s">
        <v>27</v>
      </c>
      <c r="F3" s="2" t="s">
        <v>42</v>
      </c>
      <c r="G3" s="2" t="s">
        <v>43</v>
      </c>
      <c r="H3" s="2" t="s">
        <v>44</v>
      </c>
      <c r="I3" s="2" t="s">
        <v>31</v>
      </c>
      <c r="J3" s="2" t="s">
        <v>31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50</v>
      </c>
      <c r="Q3" s="2" t="s">
        <v>38</v>
      </c>
      <c r="R3" s="2" t="s">
        <v>39</v>
      </c>
      <c r="S3" s="2" t="s">
        <v>40</v>
      </c>
    </row>
    <row r="4" customFormat="false" ht="46.25" hidden="false" customHeight="false" outlineLevel="0" collapsed="false">
      <c r="A4" s="2" t="s">
        <v>51</v>
      </c>
      <c r="B4" s="2" t="s">
        <v>52</v>
      </c>
      <c r="C4" s="2" t="s">
        <v>25</v>
      </c>
      <c r="D4" s="2" t="s">
        <v>26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64</v>
      </c>
      <c r="Q4" s="2" t="s">
        <v>38</v>
      </c>
      <c r="R4" s="2" t="s">
        <v>65</v>
      </c>
      <c r="S4" s="2" t="s">
        <v>40</v>
      </c>
    </row>
    <row r="5" customFormat="false" ht="102.2" hidden="false" customHeight="false" outlineLevel="0" collapsed="false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72</v>
      </c>
      <c r="H5" s="2" t="s">
        <v>73</v>
      </c>
      <c r="I5" s="2" t="s">
        <v>57</v>
      </c>
      <c r="J5" s="2" t="s">
        <v>58</v>
      </c>
      <c r="K5" s="2" t="s">
        <v>74</v>
      </c>
      <c r="L5" s="2" t="s">
        <v>75</v>
      </c>
      <c r="M5" s="2" t="s">
        <v>76</v>
      </c>
      <c r="N5" s="2" t="s">
        <v>77</v>
      </c>
      <c r="O5" s="2" t="s">
        <v>78</v>
      </c>
      <c r="P5" s="2" t="s">
        <v>79</v>
      </c>
      <c r="Q5" s="2" t="s">
        <v>38</v>
      </c>
      <c r="R5" s="2" t="s">
        <v>80</v>
      </c>
      <c r="S5" s="2" t="s">
        <v>40</v>
      </c>
    </row>
    <row r="6" customFormat="false" ht="46.25" hidden="false" customHeight="false" outlineLevel="0" collapsed="false">
      <c r="A6" s="2" t="s">
        <v>81</v>
      </c>
      <c r="B6" s="2" t="s">
        <v>82</v>
      </c>
      <c r="C6" s="2" t="s">
        <v>83</v>
      </c>
      <c r="D6" s="2" t="s">
        <v>69</v>
      </c>
      <c r="E6" s="2" t="s">
        <v>84</v>
      </c>
      <c r="F6" s="2" t="s">
        <v>85</v>
      </c>
      <c r="G6" s="2" t="s">
        <v>86</v>
      </c>
      <c r="H6" s="2" t="s">
        <v>87</v>
      </c>
      <c r="I6" s="2" t="s">
        <v>31</v>
      </c>
      <c r="J6" s="2" t="s">
        <v>58</v>
      </c>
      <c r="K6" s="2" t="s">
        <v>88</v>
      </c>
      <c r="L6" s="2" t="s">
        <v>89</v>
      </c>
      <c r="M6" s="2" t="s">
        <v>90</v>
      </c>
      <c r="N6" s="2" t="s">
        <v>91</v>
      </c>
      <c r="O6" s="2" t="s">
        <v>92</v>
      </c>
      <c r="P6" s="2" t="s">
        <v>93</v>
      </c>
      <c r="Q6" s="2" t="s">
        <v>94</v>
      </c>
      <c r="R6" s="2" t="s">
        <v>39</v>
      </c>
      <c r="S6" s="2" t="s">
        <v>40</v>
      </c>
    </row>
    <row r="7" customFormat="false" ht="91" hidden="false" customHeight="false" outlineLevel="0" collapsed="false">
      <c r="A7" s="2" t="s">
        <v>95</v>
      </c>
      <c r="B7" s="2" t="s">
        <v>96</v>
      </c>
      <c r="C7" s="2" t="s">
        <v>68</v>
      </c>
      <c r="D7" s="2" t="s">
        <v>97</v>
      </c>
      <c r="E7" s="2" t="s">
        <v>98</v>
      </c>
      <c r="F7" s="2" t="s">
        <v>99</v>
      </c>
      <c r="G7" s="2" t="s">
        <v>100</v>
      </c>
      <c r="H7" s="2" t="s">
        <v>101</v>
      </c>
      <c r="I7" s="2" t="s">
        <v>102</v>
      </c>
      <c r="J7" s="2" t="s">
        <v>31</v>
      </c>
      <c r="K7" s="2" t="s">
        <v>103</v>
      </c>
      <c r="L7" s="2" t="s">
        <v>104</v>
      </c>
      <c r="M7" s="2" t="s">
        <v>105</v>
      </c>
      <c r="N7" s="2" t="s">
        <v>106</v>
      </c>
      <c r="O7" s="2" t="s">
        <v>107</v>
      </c>
      <c r="P7" s="2" t="s">
        <v>108</v>
      </c>
      <c r="Q7" s="2" t="s">
        <v>109</v>
      </c>
      <c r="R7" s="2" t="s">
        <v>39</v>
      </c>
      <c r="S7" s="2" t="s">
        <v>40</v>
      </c>
    </row>
    <row r="8" customFormat="false" ht="46.25" hidden="false" customHeight="false" outlineLevel="0" collapsed="false">
      <c r="A8" s="2" t="s">
        <v>95</v>
      </c>
      <c r="B8" s="2" t="s">
        <v>96</v>
      </c>
      <c r="C8" s="2" t="s">
        <v>68</v>
      </c>
      <c r="D8" s="2" t="s">
        <v>110</v>
      </c>
      <c r="E8" s="2" t="s">
        <v>84</v>
      </c>
      <c r="F8" s="2" t="s">
        <v>111</v>
      </c>
      <c r="G8" s="2" t="s">
        <v>112</v>
      </c>
      <c r="H8" s="2" t="s">
        <v>113</v>
      </c>
      <c r="I8" s="2" t="s">
        <v>31</v>
      </c>
      <c r="J8" s="2" t="s">
        <v>31</v>
      </c>
      <c r="K8" s="2" t="s">
        <v>114</v>
      </c>
      <c r="L8" s="2" t="s">
        <v>115</v>
      </c>
      <c r="M8" s="2" t="s">
        <v>116</v>
      </c>
      <c r="N8" s="2" t="s">
        <v>117</v>
      </c>
      <c r="O8" s="2" t="s">
        <v>118</v>
      </c>
      <c r="P8" s="2" t="s">
        <v>119</v>
      </c>
      <c r="Q8" s="2" t="s">
        <v>38</v>
      </c>
      <c r="R8" s="2" t="s">
        <v>39</v>
      </c>
      <c r="S8" s="2" t="s">
        <v>40</v>
      </c>
    </row>
    <row r="9" customFormat="false" ht="79.85" hidden="false" customHeight="false" outlineLevel="0" collapsed="false">
      <c r="A9" s="2" t="s">
        <v>120</v>
      </c>
      <c r="B9" s="2" t="s">
        <v>121</v>
      </c>
      <c r="C9" s="2" t="s">
        <v>68</v>
      </c>
      <c r="D9" s="2" t="s">
        <v>122</v>
      </c>
      <c r="E9" s="2" t="s">
        <v>123</v>
      </c>
      <c r="F9" s="2" t="s">
        <v>124</v>
      </c>
      <c r="G9" s="2" t="s">
        <v>125</v>
      </c>
      <c r="H9" s="2" t="s">
        <v>126</v>
      </c>
      <c r="I9" s="2" t="s">
        <v>57</v>
      </c>
      <c r="J9" s="2" t="s">
        <v>58</v>
      </c>
      <c r="K9" s="2" t="s">
        <v>127</v>
      </c>
      <c r="L9" s="2" t="s">
        <v>115</v>
      </c>
      <c r="M9" s="2" t="s">
        <v>128</v>
      </c>
      <c r="N9" s="2" t="s">
        <v>129</v>
      </c>
      <c r="O9" s="2" t="s">
        <v>130</v>
      </c>
      <c r="P9" s="2" t="s">
        <v>131</v>
      </c>
      <c r="Q9" s="2" t="s">
        <v>132</v>
      </c>
      <c r="R9" s="2" t="s">
        <v>39</v>
      </c>
      <c r="S9" s="2" t="s">
        <v>40</v>
      </c>
    </row>
    <row r="10" customFormat="false" ht="79.85" hidden="false" customHeight="false" outlineLevel="0" collapsed="false">
      <c r="A10" s="2" t="s">
        <v>133</v>
      </c>
      <c r="B10" s="2" t="s">
        <v>134</v>
      </c>
      <c r="C10" s="2" t="s">
        <v>68</v>
      </c>
      <c r="D10" s="2" t="s">
        <v>135</v>
      </c>
      <c r="E10" s="2" t="s">
        <v>98</v>
      </c>
      <c r="F10" s="2" t="s">
        <v>136</v>
      </c>
      <c r="G10" s="2" t="s">
        <v>137</v>
      </c>
      <c r="H10" s="2" t="s">
        <v>138</v>
      </c>
      <c r="I10" s="2" t="s">
        <v>57</v>
      </c>
      <c r="J10" s="2" t="s">
        <v>31</v>
      </c>
      <c r="K10" s="2" t="s">
        <v>139</v>
      </c>
      <c r="L10" s="2" t="s">
        <v>140</v>
      </c>
      <c r="M10" s="2" t="s">
        <v>141</v>
      </c>
      <c r="N10" s="2" t="s">
        <v>142</v>
      </c>
      <c r="O10" s="2" t="s">
        <v>143</v>
      </c>
      <c r="P10" s="2" t="s">
        <v>144</v>
      </c>
      <c r="Q10" s="2" t="s">
        <v>132</v>
      </c>
      <c r="R10" s="2" t="s">
        <v>39</v>
      </c>
      <c r="S10" s="2" t="s">
        <v>40</v>
      </c>
    </row>
    <row r="11" customFormat="false" ht="68.65" hidden="false" customHeight="false" outlineLevel="0" collapsed="false">
      <c r="A11" s="2" t="s">
        <v>145</v>
      </c>
      <c r="B11" s="2" t="s">
        <v>146</v>
      </c>
      <c r="C11" s="2" t="s">
        <v>68</v>
      </c>
      <c r="D11" s="2" t="s">
        <v>147</v>
      </c>
      <c r="E11" s="2" t="s">
        <v>148</v>
      </c>
      <c r="F11" s="2" t="s">
        <v>149</v>
      </c>
      <c r="G11" s="2" t="s">
        <v>150</v>
      </c>
      <c r="H11" s="2" t="s">
        <v>151</v>
      </c>
      <c r="I11" s="2" t="s">
        <v>31</v>
      </c>
      <c r="J11" s="2" t="s">
        <v>57</v>
      </c>
      <c r="K11" s="2" t="s">
        <v>152</v>
      </c>
      <c r="L11" s="2" t="s">
        <v>153</v>
      </c>
      <c r="M11" s="2" t="s">
        <v>154</v>
      </c>
      <c r="N11" s="2" t="s">
        <v>155</v>
      </c>
      <c r="O11" s="2" t="s">
        <v>156</v>
      </c>
      <c r="P11" s="2" t="s">
        <v>157</v>
      </c>
      <c r="Q11" s="2" t="s">
        <v>158</v>
      </c>
      <c r="R11" s="2" t="s">
        <v>39</v>
      </c>
      <c r="S11" s="2" t="s">
        <v>40</v>
      </c>
    </row>
    <row r="12" customFormat="false" ht="46.25" hidden="false" customHeight="false" outlineLevel="0" collapsed="false">
      <c r="A12" s="2" t="s">
        <v>145</v>
      </c>
      <c r="B12" s="2" t="s">
        <v>146</v>
      </c>
      <c r="C12" s="2" t="s">
        <v>68</v>
      </c>
      <c r="D12" s="2" t="s">
        <v>159</v>
      </c>
      <c r="E12" s="2" t="s">
        <v>98</v>
      </c>
      <c r="F12" s="2" t="s">
        <v>160</v>
      </c>
      <c r="G12" s="2" t="s">
        <v>161</v>
      </c>
      <c r="H12" s="2" t="s">
        <v>162</v>
      </c>
      <c r="I12" s="2" t="s">
        <v>57</v>
      </c>
      <c r="J12" s="2" t="s">
        <v>31</v>
      </c>
      <c r="K12" s="2" t="s">
        <v>163</v>
      </c>
      <c r="L12" s="2" t="s">
        <v>164</v>
      </c>
      <c r="M12" s="2" t="s">
        <v>165</v>
      </c>
      <c r="N12" s="2" t="s">
        <v>142</v>
      </c>
      <c r="O12" s="2" t="s">
        <v>166</v>
      </c>
      <c r="P12" s="2" t="s">
        <v>167</v>
      </c>
      <c r="Q12" s="2" t="s">
        <v>168</v>
      </c>
      <c r="R12" s="2" t="s">
        <v>39</v>
      </c>
      <c r="S12" s="2" t="s">
        <v>40</v>
      </c>
    </row>
    <row r="13" customFormat="false" ht="113.4" hidden="false" customHeight="false" outlineLevel="0" collapsed="false">
      <c r="A13" s="2" t="s">
        <v>169</v>
      </c>
      <c r="B13" s="2" t="s">
        <v>170</v>
      </c>
      <c r="C13" s="2" t="s">
        <v>83</v>
      </c>
      <c r="D13" s="2" t="s">
        <v>171</v>
      </c>
      <c r="E13" s="2" t="s">
        <v>27</v>
      </c>
      <c r="F13" s="2" t="s">
        <v>172</v>
      </c>
      <c r="G13" s="2" t="s">
        <v>173</v>
      </c>
      <c r="H13" s="2" t="s">
        <v>174</v>
      </c>
      <c r="I13" s="2" t="s">
        <v>31</v>
      </c>
      <c r="J13" s="2" t="s">
        <v>31</v>
      </c>
      <c r="K13" s="2" t="s">
        <v>175</v>
      </c>
      <c r="L13" s="2" t="s">
        <v>176</v>
      </c>
      <c r="M13" s="2" t="s">
        <v>177</v>
      </c>
      <c r="N13" s="2" t="s">
        <v>178</v>
      </c>
      <c r="O13" s="2" t="s">
        <v>179</v>
      </c>
      <c r="P13" s="2" t="s">
        <v>180</v>
      </c>
      <c r="Q13" s="2" t="s">
        <v>181</v>
      </c>
      <c r="R13" s="2" t="s">
        <v>39</v>
      </c>
      <c r="S13" s="2" t="s">
        <v>40</v>
      </c>
    </row>
    <row r="14" customFormat="false" ht="91" hidden="false" customHeight="false" outlineLevel="0" collapsed="false">
      <c r="A14" s="2" t="s">
        <v>182</v>
      </c>
      <c r="B14" s="2" t="s">
        <v>183</v>
      </c>
      <c r="C14" s="2" t="s">
        <v>83</v>
      </c>
      <c r="D14" s="2" t="s">
        <v>184</v>
      </c>
      <c r="E14" s="2" t="s">
        <v>27</v>
      </c>
      <c r="F14" s="2" t="s">
        <v>185</v>
      </c>
      <c r="G14" s="2" t="s">
        <v>186</v>
      </c>
      <c r="H14" s="2" t="s">
        <v>187</v>
      </c>
      <c r="I14" s="2" t="s">
        <v>188</v>
      </c>
      <c r="J14" s="2" t="s">
        <v>31</v>
      </c>
      <c r="K14" s="2" t="s">
        <v>189</v>
      </c>
      <c r="L14" s="2" t="s">
        <v>190</v>
      </c>
      <c r="M14" s="2" t="s">
        <v>191</v>
      </c>
      <c r="N14" s="2" t="s">
        <v>192</v>
      </c>
      <c r="O14" s="2" t="s">
        <v>193</v>
      </c>
      <c r="P14" s="2" t="s">
        <v>194</v>
      </c>
      <c r="Q14" s="2" t="s">
        <v>195</v>
      </c>
      <c r="R14" s="2" t="s">
        <v>39</v>
      </c>
      <c r="S14" s="2" t="s">
        <v>40</v>
      </c>
    </row>
    <row r="15" customFormat="false" ht="91" hidden="false" customHeight="false" outlineLevel="0" collapsed="false">
      <c r="A15" s="2" t="s">
        <v>196</v>
      </c>
      <c r="B15" s="2" t="s">
        <v>197</v>
      </c>
      <c r="C15" s="2" t="s">
        <v>198</v>
      </c>
      <c r="D15" s="2" t="s">
        <v>199</v>
      </c>
      <c r="E15" s="2" t="s">
        <v>27</v>
      </c>
      <c r="F15" s="2" t="s">
        <v>200</v>
      </c>
      <c r="G15" s="2" t="s">
        <v>201</v>
      </c>
      <c r="H15" s="2" t="s">
        <v>202</v>
      </c>
      <c r="I15" s="2" t="s">
        <v>31</v>
      </c>
      <c r="J15" s="2" t="s">
        <v>31</v>
      </c>
      <c r="K15" s="2" t="s">
        <v>203</v>
      </c>
      <c r="L15" s="2" t="s">
        <v>204</v>
      </c>
      <c r="M15" s="2" t="s">
        <v>205</v>
      </c>
      <c r="N15" s="2" t="s">
        <v>206</v>
      </c>
      <c r="O15" s="2" t="s">
        <v>207</v>
      </c>
      <c r="P15" s="2" t="s">
        <v>208</v>
      </c>
      <c r="Q15" s="2" t="s">
        <v>94</v>
      </c>
      <c r="R15" s="2" t="s">
        <v>39</v>
      </c>
      <c r="S15" s="2" t="s">
        <v>40</v>
      </c>
    </row>
    <row r="16" customFormat="false" ht="79.85" hidden="false" customHeight="false" outlineLevel="0" collapsed="false">
      <c r="A16" s="2" t="s">
        <v>196</v>
      </c>
      <c r="B16" s="2" t="s">
        <v>197</v>
      </c>
      <c r="C16" s="2" t="s">
        <v>198</v>
      </c>
      <c r="D16" s="2" t="s">
        <v>209</v>
      </c>
      <c r="E16" s="2" t="s">
        <v>84</v>
      </c>
      <c r="F16" s="2" t="s">
        <v>210</v>
      </c>
      <c r="G16" s="2" t="s">
        <v>211</v>
      </c>
      <c r="H16" s="2" t="s">
        <v>212</v>
      </c>
      <c r="I16" s="2" t="s">
        <v>213</v>
      </c>
      <c r="J16" s="2" t="s">
        <v>31</v>
      </c>
      <c r="K16" s="2" t="s">
        <v>214</v>
      </c>
      <c r="L16" s="2" t="s">
        <v>215</v>
      </c>
      <c r="M16" s="2" t="s">
        <v>216</v>
      </c>
      <c r="N16" s="2" t="s">
        <v>217</v>
      </c>
      <c r="O16" s="2" t="s">
        <v>218</v>
      </c>
      <c r="P16" s="2" t="s">
        <v>219</v>
      </c>
      <c r="Q16" s="2" t="s">
        <v>94</v>
      </c>
      <c r="R16" s="2" t="s">
        <v>39</v>
      </c>
      <c r="S16" s="2" t="s">
        <v>40</v>
      </c>
    </row>
    <row r="17" customFormat="false" ht="79.85" hidden="false" customHeight="false" outlineLevel="0" collapsed="false">
      <c r="A17" s="2" t="s">
        <v>196</v>
      </c>
      <c r="B17" s="2" t="s">
        <v>197</v>
      </c>
      <c r="C17" s="2" t="s">
        <v>198</v>
      </c>
      <c r="D17" s="2" t="s">
        <v>220</v>
      </c>
      <c r="E17" s="2" t="s">
        <v>84</v>
      </c>
      <c r="F17" s="2" t="s">
        <v>210</v>
      </c>
      <c r="G17" s="2" t="s">
        <v>211</v>
      </c>
      <c r="H17" s="2" t="s">
        <v>212</v>
      </c>
      <c r="I17" s="2" t="s">
        <v>213</v>
      </c>
      <c r="J17" s="2" t="s">
        <v>31</v>
      </c>
      <c r="K17" s="2" t="s">
        <v>214</v>
      </c>
      <c r="L17" s="2" t="s">
        <v>215</v>
      </c>
      <c r="M17" s="2" t="s">
        <v>221</v>
      </c>
      <c r="N17" s="2" t="s">
        <v>217</v>
      </c>
      <c r="O17" s="2" t="s">
        <v>218</v>
      </c>
      <c r="P17" s="2" t="s">
        <v>219</v>
      </c>
      <c r="Q17" s="2" t="s">
        <v>94</v>
      </c>
      <c r="R17" s="2" t="s">
        <v>39</v>
      </c>
      <c r="S17" s="2" t="s">
        <v>40</v>
      </c>
    </row>
    <row r="18" customFormat="false" ht="79.85" hidden="false" customHeight="false" outlineLevel="0" collapsed="false">
      <c r="A18" s="2" t="s">
        <v>196</v>
      </c>
      <c r="B18" s="2" t="s">
        <v>197</v>
      </c>
      <c r="C18" s="2" t="s">
        <v>198</v>
      </c>
      <c r="D18" s="2" t="s">
        <v>222</v>
      </c>
      <c r="E18" s="2" t="s">
        <v>84</v>
      </c>
      <c r="F18" s="2" t="s">
        <v>210</v>
      </c>
      <c r="G18" s="2" t="s">
        <v>211</v>
      </c>
      <c r="H18" s="2" t="s">
        <v>212</v>
      </c>
      <c r="I18" s="2" t="s">
        <v>213</v>
      </c>
      <c r="J18" s="2" t="s">
        <v>31</v>
      </c>
      <c r="K18" s="2" t="s">
        <v>214</v>
      </c>
      <c r="L18" s="2" t="s">
        <v>215</v>
      </c>
      <c r="M18" s="2" t="s">
        <v>223</v>
      </c>
      <c r="N18" s="2" t="s">
        <v>217</v>
      </c>
      <c r="O18" s="2" t="s">
        <v>218</v>
      </c>
      <c r="P18" s="2" t="s">
        <v>219</v>
      </c>
      <c r="Q18" s="2" t="s">
        <v>94</v>
      </c>
      <c r="R18" s="2" t="s">
        <v>39</v>
      </c>
      <c r="S18" s="2" t="s">
        <v>40</v>
      </c>
    </row>
    <row r="19" customFormat="false" ht="79.85" hidden="false" customHeight="false" outlineLevel="0" collapsed="false">
      <c r="A19" s="2" t="s">
        <v>196</v>
      </c>
      <c r="B19" s="2" t="s">
        <v>197</v>
      </c>
      <c r="C19" s="2" t="s">
        <v>198</v>
      </c>
      <c r="D19" s="2" t="s">
        <v>224</v>
      </c>
      <c r="E19" s="2" t="s">
        <v>84</v>
      </c>
      <c r="F19" s="2" t="s">
        <v>210</v>
      </c>
      <c r="G19" s="2" t="s">
        <v>211</v>
      </c>
      <c r="H19" s="2" t="s">
        <v>212</v>
      </c>
      <c r="I19" s="2" t="s">
        <v>213</v>
      </c>
      <c r="J19" s="2" t="s">
        <v>31</v>
      </c>
      <c r="K19" s="2" t="s">
        <v>214</v>
      </c>
      <c r="L19" s="2" t="s">
        <v>215</v>
      </c>
      <c r="M19" s="2" t="s">
        <v>141</v>
      </c>
      <c r="N19" s="2" t="s">
        <v>217</v>
      </c>
      <c r="O19" s="2" t="s">
        <v>218</v>
      </c>
      <c r="P19" s="2" t="s">
        <v>219</v>
      </c>
      <c r="Q19" s="2" t="s">
        <v>94</v>
      </c>
      <c r="R19" s="2" t="s">
        <v>39</v>
      </c>
      <c r="S19" s="2" t="s">
        <v>40</v>
      </c>
    </row>
    <row r="20" customFormat="false" ht="79.85" hidden="false" customHeight="false" outlineLevel="0" collapsed="false">
      <c r="A20" s="2" t="s">
        <v>225</v>
      </c>
      <c r="B20" s="2" t="s">
        <v>226</v>
      </c>
      <c r="C20" s="2" t="s">
        <v>198</v>
      </c>
      <c r="D20" s="2" t="s">
        <v>227</v>
      </c>
      <c r="E20" s="2" t="s">
        <v>27</v>
      </c>
      <c r="F20" s="2" t="s">
        <v>228</v>
      </c>
      <c r="G20" s="2" t="s">
        <v>229</v>
      </c>
      <c r="H20" s="2" t="s">
        <v>230</v>
      </c>
      <c r="I20" s="2" t="s">
        <v>31</v>
      </c>
      <c r="J20" s="2" t="s">
        <v>31</v>
      </c>
      <c r="K20" s="2" t="s">
        <v>231</v>
      </c>
      <c r="L20" s="2" t="s">
        <v>232</v>
      </c>
      <c r="M20" s="2" t="s">
        <v>233</v>
      </c>
      <c r="N20" s="2" t="s">
        <v>142</v>
      </c>
      <c r="O20" s="2" t="s">
        <v>234</v>
      </c>
      <c r="P20" s="2" t="s">
        <v>235</v>
      </c>
      <c r="Q20" s="2" t="s">
        <v>94</v>
      </c>
      <c r="R20" s="2" t="s">
        <v>39</v>
      </c>
      <c r="S20" s="2" t="s">
        <v>40</v>
      </c>
    </row>
    <row r="21" customFormat="false" ht="57.45" hidden="false" customHeight="false" outlineLevel="0" collapsed="false">
      <c r="A21" s="2" t="s">
        <v>225</v>
      </c>
      <c r="B21" s="2" t="s">
        <v>226</v>
      </c>
      <c r="C21" s="2" t="s">
        <v>198</v>
      </c>
      <c r="D21" s="2" t="s">
        <v>236</v>
      </c>
      <c r="E21" s="2" t="s">
        <v>84</v>
      </c>
      <c r="F21" s="2" t="s">
        <v>237</v>
      </c>
      <c r="G21" s="2" t="s">
        <v>238</v>
      </c>
      <c r="H21" s="2" t="s">
        <v>239</v>
      </c>
      <c r="I21" s="2" t="s">
        <v>240</v>
      </c>
      <c r="J21" s="2" t="s">
        <v>58</v>
      </c>
      <c r="K21" s="2" t="s">
        <v>241</v>
      </c>
      <c r="L21" s="2" t="s">
        <v>115</v>
      </c>
      <c r="M21" s="2" t="s">
        <v>242</v>
      </c>
      <c r="N21" s="2" t="s">
        <v>243</v>
      </c>
      <c r="O21" s="2" t="s">
        <v>244</v>
      </c>
      <c r="P21" s="2" t="s">
        <v>245</v>
      </c>
      <c r="Q21" s="2" t="s">
        <v>94</v>
      </c>
      <c r="R21" s="2" t="s">
        <v>39</v>
      </c>
      <c r="S21" s="2" t="s">
        <v>40</v>
      </c>
    </row>
    <row r="22" customFormat="false" ht="57.45" hidden="false" customHeight="false" outlineLevel="0" collapsed="false">
      <c r="A22" s="2" t="s">
        <v>246</v>
      </c>
      <c r="B22" s="2" t="s">
        <v>247</v>
      </c>
      <c r="C22" s="2" t="s">
        <v>198</v>
      </c>
      <c r="D22" s="2" t="s">
        <v>248</v>
      </c>
      <c r="E22" s="2" t="s">
        <v>84</v>
      </c>
      <c r="F22" s="2" t="s">
        <v>249</v>
      </c>
      <c r="G22" s="2" t="s">
        <v>250</v>
      </c>
      <c r="H22" s="2" t="s">
        <v>251</v>
      </c>
      <c r="I22" s="2" t="s">
        <v>31</v>
      </c>
      <c r="J22" s="2" t="s">
        <v>31</v>
      </c>
      <c r="K22" s="2" t="s">
        <v>252</v>
      </c>
      <c r="L22" s="2" t="s">
        <v>253</v>
      </c>
      <c r="M22" s="2" t="s">
        <v>254</v>
      </c>
      <c r="N22" s="2" t="s">
        <v>255</v>
      </c>
      <c r="O22" s="2" t="s">
        <v>256</v>
      </c>
      <c r="P22" s="2" t="s">
        <v>257</v>
      </c>
      <c r="Q22" s="2" t="s">
        <v>94</v>
      </c>
      <c r="R22" s="2" t="s">
        <v>39</v>
      </c>
      <c r="S22" s="2" t="s">
        <v>40</v>
      </c>
    </row>
    <row r="23" customFormat="false" ht="91" hidden="false" customHeight="false" outlineLevel="0" collapsed="false">
      <c r="A23" s="2" t="s">
        <v>246</v>
      </c>
      <c r="B23" s="2" t="s">
        <v>247</v>
      </c>
      <c r="C23" s="2" t="s">
        <v>198</v>
      </c>
      <c r="D23" s="2" t="s">
        <v>258</v>
      </c>
      <c r="E23" s="2" t="s">
        <v>123</v>
      </c>
      <c r="F23" s="2" t="s">
        <v>259</v>
      </c>
      <c r="G23" s="2" t="s">
        <v>260</v>
      </c>
      <c r="H23" s="2" t="s">
        <v>261</v>
      </c>
      <c r="I23" s="2" t="s">
        <v>57</v>
      </c>
      <c r="J23" s="2" t="s">
        <v>57</v>
      </c>
      <c r="K23" s="2" t="s">
        <v>262</v>
      </c>
      <c r="L23" s="2" t="s">
        <v>89</v>
      </c>
      <c r="M23" s="2" t="s">
        <v>263</v>
      </c>
      <c r="N23" s="2" t="s">
        <v>264</v>
      </c>
      <c r="O23" s="2" t="s">
        <v>265</v>
      </c>
      <c r="P23" s="2" t="s">
        <v>266</v>
      </c>
      <c r="Q23" s="2" t="s">
        <v>94</v>
      </c>
      <c r="R23" s="2" t="s">
        <v>39</v>
      </c>
      <c r="S23" s="2" t="s">
        <v>40</v>
      </c>
    </row>
    <row r="24" customFormat="false" ht="79.85" hidden="false" customHeight="false" outlineLevel="0" collapsed="false">
      <c r="A24" s="2" t="s">
        <v>267</v>
      </c>
      <c r="B24" s="2" t="s">
        <v>268</v>
      </c>
      <c r="C24" s="2" t="s">
        <v>269</v>
      </c>
      <c r="D24" s="2" t="s">
        <v>270</v>
      </c>
      <c r="E24" s="2" t="s">
        <v>27</v>
      </c>
      <c r="F24" s="2" t="s">
        <v>271</v>
      </c>
      <c r="G24" s="2" t="s">
        <v>272</v>
      </c>
      <c r="H24" s="2" t="s">
        <v>273</v>
      </c>
      <c r="I24" s="2" t="s">
        <v>31</v>
      </c>
      <c r="J24" s="2" t="s">
        <v>31</v>
      </c>
      <c r="K24" s="2" t="s">
        <v>274</v>
      </c>
      <c r="L24" s="2" t="s">
        <v>275</v>
      </c>
      <c r="M24" s="2" t="s">
        <v>276</v>
      </c>
      <c r="N24" s="2" t="s">
        <v>277</v>
      </c>
      <c r="O24" s="2" t="s">
        <v>278</v>
      </c>
      <c r="P24" s="2" t="s">
        <v>279</v>
      </c>
      <c r="Q24" s="2" t="s">
        <v>280</v>
      </c>
      <c r="R24" s="2" t="s">
        <v>39</v>
      </c>
      <c r="S24" s="2" t="s">
        <v>40</v>
      </c>
    </row>
    <row r="25" customFormat="false" ht="68.65" hidden="false" customHeight="false" outlineLevel="0" collapsed="false">
      <c r="A25" s="2" t="s">
        <v>267</v>
      </c>
      <c r="B25" s="2" t="s">
        <v>268</v>
      </c>
      <c r="C25" s="2" t="s">
        <v>269</v>
      </c>
      <c r="D25" s="2" t="s">
        <v>281</v>
      </c>
      <c r="E25" s="2" t="s">
        <v>27</v>
      </c>
      <c r="F25" s="2" t="s">
        <v>282</v>
      </c>
      <c r="G25" s="2" t="s">
        <v>283</v>
      </c>
      <c r="H25" s="2" t="s">
        <v>284</v>
      </c>
      <c r="I25" s="2" t="s">
        <v>31</v>
      </c>
      <c r="J25" s="2" t="s">
        <v>31</v>
      </c>
      <c r="K25" s="2" t="s">
        <v>285</v>
      </c>
      <c r="L25" s="2" t="s">
        <v>286</v>
      </c>
      <c r="M25" s="2" t="s">
        <v>287</v>
      </c>
      <c r="N25" s="2" t="s">
        <v>142</v>
      </c>
      <c r="O25" s="2" t="s">
        <v>288</v>
      </c>
      <c r="P25" s="2" t="s">
        <v>289</v>
      </c>
      <c r="Q25" s="2" t="s">
        <v>38</v>
      </c>
      <c r="R25" s="2" t="s">
        <v>39</v>
      </c>
      <c r="S25" s="2" t="s">
        <v>40</v>
      </c>
    </row>
    <row r="26" customFormat="false" ht="91" hidden="false" customHeight="false" outlineLevel="0" collapsed="false">
      <c r="A26" s="2" t="s">
        <v>290</v>
      </c>
      <c r="B26" s="2" t="s">
        <v>291</v>
      </c>
      <c r="C26" s="2" t="s">
        <v>269</v>
      </c>
      <c r="D26" s="2" t="s">
        <v>292</v>
      </c>
      <c r="E26" s="2" t="s">
        <v>27</v>
      </c>
      <c r="F26" s="2" t="s">
        <v>293</v>
      </c>
      <c r="G26" s="2" t="s">
        <v>294</v>
      </c>
      <c r="H26" s="2" t="s">
        <v>295</v>
      </c>
      <c r="I26" s="2" t="s">
        <v>296</v>
      </c>
      <c r="J26" s="2" t="s">
        <v>57</v>
      </c>
      <c r="K26" s="2" t="s">
        <v>297</v>
      </c>
      <c r="L26" s="2" t="s">
        <v>298</v>
      </c>
      <c r="M26" s="2" t="s">
        <v>299</v>
      </c>
      <c r="N26" s="2" t="s">
        <v>300</v>
      </c>
      <c r="O26" s="2" t="s">
        <v>301</v>
      </c>
      <c r="P26" s="2" t="s">
        <v>302</v>
      </c>
      <c r="Q26" s="2" t="s">
        <v>303</v>
      </c>
      <c r="R26" s="2" t="s">
        <v>39</v>
      </c>
      <c r="S26" s="2" t="s">
        <v>40</v>
      </c>
    </row>
    <row r="27" customFormat="false" ht="46.25" hidden="false" customHeight="false" outlineLevel="0" collapsed="false">
      <c r="A27" s="2" t="s">
        <v>290</v>
      </c>
      <c r="B27" s="2" t="s">
        <v>291</v>
      </c>
      <c r="C27" s="2" t="s">
        <v>269</v>
      </c>
      <c r="D27" s="2" t="s">
        <v>304</v>
      </c>
      <c r="E27" s="2" t="s">
        <v>84</v>
      </c>
      <c r="F27" s="2" t="s">
        <v>305</v>
      </c>
      <c r="G27" s="2" t="s">
        <v>306</v>
      </c>
      <c r="H27" s="2" t="s">
        <v>307</v>
      </c>
      <c r="I27" s="2" t="s">
        <v>31</v>
      </c>
      <c r="J27" s="2" t="s">
        <v>31</v>
      </c>
      <c r="K27" s="2" t="s">
        <v>308</v>
      </c>
      <c r="L27" s="2" t="s">
        <v>309</v>
      </c>
      <c r="M27" s="2" t="s">
        <v>128</v>
      </c>
      <c r="N27" s="2" t="s">
        <v>142</v>
      </c>
      <c r="O27" s="2" t="s">
        <v>310</v>
      </c>
      <c r="P27" s="2" t="s">
        <v>311</v>
      </c>
      <c r="Q27" s="2" t="s">
        <v>38</v>
      </c>
      <c r="R27" s="2" t="s">
        <v>39</v>
      </c>
      <c r="S27" s="2" t="s">
        <v>40</v>
      </c>
    </row>
    <row r="28" customFormat="false" ht="68.65" hidden="false" customHeight="false" outlineLevel="0" collapsed="false">
      <c r="A28" s="2" t="s">
        <v>312</v>
      </c>
      <c r="B28" s="2" t="s">
        <v>313</v>
      </c>
      <c r="C28" s="2" t="s">
        <v>269</v>
      </c>
      <c r="D28" s="2" t="s">
        <v>314</v>
      </c>
      <c r="E28" s="2" t="s">
        <v>123</v>
      </c>
      <c r="F28" s="2" t="s">
        <v>315</v>
      </c>
      <c r="G28" s="2" t="s">
        <v>316</v>
      </c>
      <c r="H28" s="2" t="s">
        <v>317</v>
      </c>
      <c r="I28" s="2" t="s">
        <v>57</v>
      </c>
      <c r="J28" s="2" t="s">
        <v>58</v>
      </c>
      <c r="K28" s="2" t="s">
        <v>318</v>
      </c>
      <c r="L28" s="2" t="s">
        <v>319</v>
      </c>
      <c r="M28" s="2" t="s">
        <v>320</v>
      </c>
      <c r="N28" s="2" t="s">
        <v>321</v>
      </c>
      <c r="O28" s="2" t="s">
        <v>322</v>
      </c>
      <c r="P28" s="2" t="s">
        <v>323</v>
      </c>
      <c r="Q28" s="2" t="s">
        <v>324</v>
      </c>
      <c r="R28" s="2" t="s">
        <v>80</v>
      </c>
      <c r="S28" s="2" t="s">
        <v>40</v>
      </c>
    </row>
    <row r="29" customFormat="false" ht="68.65" hidden="false" customHeight="false" outlineLevel="0" collapsed="false">
      <c r="A29" s="2" t="s">
        <v>325</v>
      </c>
      <c r="B29" s="2" t="s">
        <v>326</v>
      </c>
      <c r="C29" s="2" t="s">
        <v>83</v>
      </c>
      <c r="D29" s="2" t="s">
        <v>327</v>
      </c>
      <c r="E29" s="2" t="s">
        <v>328</v>
      </c>
      <c r="F29" s="2" t="s">
        <v>329</v>
      </c>
      <c r="G29" s="2" t="s">
        <v>330</v>
      </c>
      <c r="H29" s="2" t="s">
        <v>331</v>
      </c>
      <c r="I29" s="2" t="s">
        <v>332</v>
      </c>
      <c r="J29" s="2" t="s">
        <v>31</v>
      </c>
      <c r="K29" s="2" t="s">
        <v>333</v>
      </c>
      <c r="L29" s="2" t="s">
        <v>334</v>
      </c>
      <c r="M29" s="2" t="s">
        <v>335</v>
      </c>
      <c r="N29" s="2" t="s">
        <v>336</v>
      </c>
      <c r="O29" s="2" t="s">
        <v>337</v>
      </c>
      <c r="P29" s="2" t="s">
        <v>338</v>
      </c>
      <c r="Q29" s="2" t="s">
        <v>94</v>
      </c>
      <c r="R29" s="2" t="s">
        <v>39</v>
      </c>
      <c r="S29" s="2" t="s">
        <v>40</v>
      </c>
    </row>
    <row r="30" customFormat="false" ht="68.65" hidden="false" customHeight="false" outlineLevel="0" collapsed="false">
      <c r="A30" s="2" t="s">
        <v>339</v>
      </c>
      <c r="B30" s="2" t="s">
        <v>340</v>
      </c>
      <c r="C30" s="2" t="s">
        <v>83</v>
      </c>
      <c r="D30" s="2" t="s">
        <v>341</v>
      </c>
      <c r="E30" s="2" t="s">
        <v>84</v>
      </c>
      <c r="F30" s="2" t="s">
        <v>342</v>
      </c>
      <c r="G30" s="2" t="s">
        <v>343</v>
      </c>
      <c r="H30" s="2" t="s">
        <v>344</v>
      </c>
      <c r="I30" s="2" t="s">
        <v>345</v>
      </c>
      <c r="J30" s="2" t="s">
        <v>31</v>
      </c>
      <c r="K30" s="2" t="s">
        <v>346</v>
      </c>
      <c r="L30" s="2" t="s">
        <v>89</v>
      </c>
      <c r="M30" s="2" t="s">
        <v>347</v>
      </c>
      <c r="N30" s="2" t="s">
        <v>348</v>
      </c>
      <c r="O30" s="2" t="s">
        <v>349</v>
      </c>
      <c r="P30" s="2" t="s">
        <v>350</v>
      </c>
      <c r="Q30" s="2" t="s">
        <v>94</v>
      </c>
      <c r="R30" s="2" t="s">
        <v>39</v>
      </c>
      <c r="S30" s="2" t="s">
        <v>40</v>
      </c>
    </row>
    <row r="31" customFormat="false" ht="68.65" hidden="false" customHeight="false" outlineLevel="0" collapsed="false">
      <c r="A31" s="2" t="s">
        <v>351</v>
      </c>
      <c r="B31" s="2" t="s">
        <v>352</v>
      </c>
      <c r="C31" s="2" t="s">
        <v>83</v>
      </c>
      <c r="D31" s="2" t="s">
        <v>353</v>
      </c>
      <c r="E31" s="2" t="s">
        <v>27</v>
      </c>
      <c r="F31" s="2" t="s">
        <v>354</v>
      </c>
      <c r="G31" s="2" t="s">
        <v>355</v>
      </c>
      <c r="H31" s="2" t="s">
        <v>356</v>
      </c>
      <c r="I31" s="2" t="s">
        <v>31</v>
      </c>
      <c r="J31" s="2" t="s">
        <v>357</v>
      </c>
      <c r="K31" s="2" t="s">
        <v>358</v>
      </c>
      <c r="L31" s="2" t="s">
        <v>359</v>
      </c>
      <c r="M31" s="2" t="s">
        <v>360</v>
      </c>
      <c r="N31" s="2" t="s">
        <v>361</v>
      </c>
      <c r="O31" s="2" t="s">
        <v>362</v>
      </c>
      <c r="P31" s="2" t="s">
        <v>363</v>
      </c>
      <c r="Q31" s="2" t="s">
        <v>364</v>
      </c>
      <c r="R31" s="2" t="s">
        <v>39</v>
      </c>
      <c r="S31" s="2" t="s">
        <v>40</v>
      </c>
    </row>
    <row r="32" customFormat="false" ht="68.65" hidden="false" customHeight="false" outlineLevel="0" collapsed="false">
      <c r="A32" s="2" t="s">
        <v>365</v>
      </c>
      <c r="B32" s="2" t="s">
        <v>366</v>
      </c>
      <c r="C32" s="2" t="s">
        <v>269</v>
      </c>
      <c r="D32" s="2" t="s">
        <v>367</v>
      </c>
      <c r="E32" s="2" t="s">
        <v>27</v>
      </c>
      <c r="F32" s="2" t="s">
        <v>368</v>
      </c>
      <c r="G32" s="2" t="s">
        <v>369</v>
      </c>
      <c r="H32" s="2" t="s">
        <v>370</v>
      </c>
      <c r="I32" s="2" t="s">
        <v>31</v>
      </c>
      <c r="J32" s="2" t="s">
        <v>31</v>
      </c>
      <c r="K32" s="2" t="s">
        <v>371</v>
      </c>
      <c r="L32" s="2" t="s">
        <v>372</v>
      </c>
      <c r="M32" s="2" t="s">
        <v>373</v>
      </c>
      <c r="N32" s="2" t="s">
        <v>374</v>
      </c>
      <c r="O32" s="2" t="s">
        <v>375</v>
      </c>
      <c r="P32" s="2" t="s">
        <v>376</v>
      </c>
      <c r="Q32" s="2" t="s">
        <v>377</v>
      </c>
      <c r="R32" s="2" t="s">
        <v>39</v>
      </c>
      <c r="S32" s="2" t="s">
        <v>40</v>
      </c>
    </row>
    <row r="33" customFormat="false" ht="68.65" hidden="false" customHeight="false" outlineLevel="0" collapsed="false">
      <c r="A33" s="2" t="s">
        <v>378</v>
      </c>
      <c r="B33" s="2" t="s">
        <v>379</v>
      </c>
      <c r="C33" s="2" t="s">
        <v>198</v>
      </c>
      <c r="D33" s="2" t="s">
        <v>380</v>
      </c>
      <c r="E33" s="2" t="s">
        <v>84</v>
      </c>
      <c r="F33" s="2" t="s">
        <v>381</v>
      </c>
      <c r="G33" s="2" t="s">
        <v>382</v>
      </c>
      <c r="H33" s="2" t="s">
        <v>383</v>
      </c>
      <c r="I33" s="2" t="s">
        <v>240</v>
      </c>
      <c r="J33" s="2" t="s">
        <v>31</v>
      </c>
      <c r="K33" s="2" t="s">
        <v>241</v>
      </c>
      <c r="L33" s="2" t="s">
        <v>384</v>
      </c>
      <c r="M33" s="2" t="s">
        <v>385</v>
      </c>
      <c r="N33" s="2" t="s">
        <v>386</v>
      </c>
      <c r="O33" s="2" t="s">
        <v>387</v>
      </c>
      <c r="P33" s="2" t="s">
        <v>245</v>
      </c>
      <c r="Q33" s="2" t="s">
        <v>94</v>
      </c>
      <c r="R33" s="2" t="s">
        <v>39</v>
      </c>
      <c r="S33" s="2" t="s">
        <v>40</v>
      </c>
    </row>
    <row r="34" customFormat="false" ht="46.25" hidden="false" customHeight="false" outlineLevel="0" collapsed="false">
      <c r="A34" s="2" t="s">
        <v>388</v>
      </c>
      <c r="B34" s="2" t="s">
        <v>389</v>
      </c>
      <c r="C34" s="2" t="s">
        <v>198</v>
      </c>
      <c r="D34" s="2" t="s">
        <v>390</v>
      </c>
      <c r="E34" s="2" t="s">
        <v>27</v>
      </c>
      <c r="F34" s="2" t="s">
        <v>391</v>
      </c>
      <c r="G34" s="2" t="s">
        <v>392</v>
      </c>
      <c r="H34" s="2" t="s">
        <v>393</v>
      </c>
      <c r="I34" s="2" t="s">
        <v>31</v>
      </c>
      <c r="J34" s="2" t="s">
        <v>31</v>
      </c>
      <c r="K34" s="2" t="s">
        <v>394</v>
      </c>
      <c r="L34" s="2" t="s">
        <v>395</v>
      </c>
      <c r="M34" s="2" t="s">
        <v>396</v>
      </c>
      <c r="N34" s="2" t="s">
        <v>397</v>
      </c>
      <c r="O34" s="2" t="s">
        <v>398</v>
      </c>
      <c r="P34" s="2" t="s">
        <v>399</v>
      </c>
      <c r="Q34" s="2" t="s">
        <v>94</v>
      </c>
      <c r="R34" s="2" t="s">
        <v>39</v>
      </c>
      <c r="S34" s="2" t="s">
        <v>40</v>
      </c>
    </row>
    <row r="35" customFormat="false" ht="57.45" hidden="false" customHeight="false" outlineLevel="0" collapsed="false">
      <c r="A35" s="2" t="s">
        <v>388</v>
      </c>
      <c r="B35" s="2" t="s">
        <v>389</v>
      </c>
      <c r="C35" s="2" t="s">
        <v>198</v>
      </c>
      <c r="D35" s="2" t="s">
        <v>400</v>
      </c>
      <c r="E35" s="2" t="s">
        <v>84</v>
      </c>
      <c r="F35" s="2" t="s">
        <v>401</v>
      </c>
      <c r="G35" s="2" t="s">
        <v>402</v>
      </c>
      <c r="H35" s="2" t="s">
        <v>403</v>
      </c>
      <c r="I35" s="2" t="s">
        <v>404</v>
      </c>
      <c r="J35" s="2" t="s">
        <v>31</v>
      </c>
      <c r="K35" s="2" t="s">
        <v>241</v>
      </c>
      <c r="L35" s="2" t="s">
        <v>405</v>
      </c>
      <c r="M35" s="2" t="s">
        <v>406</v>
      </c>
      <c r="N35" s="2" t="s">
        <v>407</v>
      </c>
      <c r="O35" s="2" t="s">
        <v>387</v>
      </c>
      <c r="P35" s="2" t="s">
        <v>245</v>
      </c>
      <c r="Q35" s="2" t="s">
        <v>94</v>
      </c>
      <c r="R35" s="2" t="s">
        <v>39</v>
      </c>
      <c r="S35" s="2" t="s">
        <v>40</v>
      </c>
    </row>
    <row r="36" customFormat="false" ht="79.85" hidden="false" customHeight="false" outlineLevel="0" collapsed="false">
      <c r="A36" s="2" t="s">
        <v>408</v>
      </c>
      <c r="B36" s="2" t="s">
        <v>409</v>
      </c>
      <c r="C36" s="2" t="s">
        <v>68</v>
      </c>
      <c r="D36" s="2" t="s">
        <v>410</v>
      </c>
      <c r="E36" s="2" t="s">
        <v>27</v>
      </c>
      <c r="F36" s="2" t="s">
        <v>411</v>
      </c>
      <c r="G36" s="2" t="s">
        <v>412</v>
      </c>
      <c r="H36" s="2" t="s">
        <v>413</v>
      </c>
      <c r="I36" s="2" t="s">
        <v>31</v>
      </c>
      <c r="J36" s="2" t="s">
        <v>31</v>
      </c>
      <c r="K36" s="2" t="s">
        <v>414</v>
      </c>
      <c r="L36" s="2" t="s">
        <v>415</v>
      </c>
      <c r="M36" s="2" t="s">
        <v>416</v>
      </c>
      <c r="N36" s="2" t="s">
        <v>417</v>
      </c>
      <c r="O36" s="2" t="s">
        <v>418</v>
      </c>
      <c r="P36" s="2" t="s">
        <v>419</v>
      </c>
      <c r="Q36" s="2" t="s">
        <v>420</v>
      </c>
      <c r="R36" s="2" t="s">
        <v>39</v>
      </c>
      <c r="S36" s="2" t="s">
        <v>40</v>
      </c>
    </row>
    <row r="37" customFormat="false" ht="68.65" hidden="false" customHeight="false" outlineLevel="0" collapsed="false">
      <c r="A37" s="2" t="s">
        <v>421</v>
      </c>
      <c r="B37" s="2" t="s">
        <v>422</v>
      </c>
      <c r="C37" s="2" t="s">
        <v>68</v>
      </c>
      <c r="D37" s="2" t="s">
        <v>423</v>
      </c>
      <c r="E37" s="2" t="s">
        <v>84</v>
      </c>
      <c r="F37" s="2" t="s">
        <v>424</v>
      </c>
      <c r="G37" s="2" t="s">
        <v>425</v>
      </c>
      <c r="H37" s="2" t="s">
        <v>426</v>
      </c>
      <c r="I37" s="2" t="s">
        <v>427</v>
      </c>
      <c r="J37" s="2" t="s">
        <v>31</v>
      </c>
      <c r="K37" s="2" t="s">
        <v>428</v>
      </c>
      <c r="L37" s="2" t="s">
        <v>429</v>
      </c>
      <c r="M37" s="2" t="s">
        <v>430</v>
      </c>
      <c r="N37" s="2" t="s">
        <v>431</v>
      </c>
      <c r="O37" s="2" t="s">
        <v>387</v>
      </c>
      <c r="P37" s="2" t="s">
        <v>432</v>
      </c>
      <c r="Q37" s="2" t="s">
        <v>433</v>
      </c>
      <c r="R37" s="2" t="s">
        <v>65</v>
      </c>
      <c r="S37" s="2" t="s">
        <v>40</v>
      </c>
    </row>
    <row r="38" customFormat="false" ht="113.4" hidden="false" customHeight="false" outlineLevel="0" collapsed="false">
      <c r="A38" s="2" t="s">
        <v>434</v>
      </c>
      <c r="B38" s="2" t="s">
        <v>435</v>
      </c>
      <c r="C38" s="2" t="s">
        <v>83</v>
      </c>
      <c r="D38" s="2" t="s">
        <v>436</v>
      </c>
      <c r="E38" s="2" t="s">
        <v>148</v>
      </c>
      <c r="F38" s="2" t="s">
        <v>437</v>
      </c>
      <c r="G38" s="2" t="s">
        <v>438</v>
      </c>
      <c r="H38" s="2" t="s">
        <v>439</v>
      </c>
      <c r="I38" s="2" t="s">
        <v>440</v>
      </c>
      <c r="J38" s="2" t="s">
        <v>31</v>
      </c>
      <c r="K38" s="2" t="s">
        <v>441</v>
      </c>
      <c r="L38" s="2" t="s">
        <v>442</v>
      </c>
      <c r="M38" s="2" t="s">
        <v>443</v>
      </c>
      <c r="N38" s="2" t="s">
        <v>444</v>
      </c>
      <c r="O38" s="2" t="s">
        <v>445</v>
      </c>
      <c r="P38" s="2" t="s">
        <v>446</v>
      </c>
      <c r="Q38" s="2" t="s">
        <v>447</v>
      </c>
      <c r="R38" s="2" t="s">
        <v>39</v>
      </c>
      <c r="S38" s="2" t="s">
        <v>40</v>
      </c>
    </row>
    <row r="39" customFormat="false" ht="79.85" hidden="false" customHeight="false" outlineLevel="0" collapsed="false">
      <c r="A39" s="2" t="s">
        <v>448</v>
      </c>
      <c r="B39" s="2" t="s">
        <v>449</v>
      </c>
      <c r="C39" s="2" t="s">
        <v>83</v>
      </c>
      <c r="D39" s="2" t="s">
        <v>450</v>
      </c>
      <c r="E39" s="2" t="s">
        <v>27</v>
      </c>
      <c r="F39" s="2" t="s">
        <v>451</v>
      </c>
      <c r="G39" s="2" t="s">
        <v>452</v>
      </c>
      <c r="H39" s="2" t="s">
        <v>453</v>
      </c>
      <c r="I39" s="2" t="s">
        <v>31</v>
      </c>
      <c r="J39" s="2" t="s">
        <v>31</v>
      </c>
      <c r="K39" s="2" t="s">
        <v>454</v>
      </c>
      <c r="L39" s="2" t="s">
        <v>455</v>
      </c>
      <c r="M39" s="2" t="s">
        <v>254</v>
      </c>
      <c r="N39" s="2" t="s">
        <v>456</v>
      </c>
      <c r="O39" s="2" t="s">
        <v>457</v>
      </c>
      <c r="P39" s="2" t="s">
        <v>458</v>
      </c>
      <c r="Q39" s="2" t="s">
        <v>459</v>
      </c>
      <c r="R39" s="2" t="s">
        <v>39</v>
      </c>
      <c r="S39" s="2" t="s">
        <v>40</v>
      </c>
    </row>
    <row r="40" customFormat="false" ht="79.85" hidden="false" customHeight="false" outlineLevel="0" collapsed="false">
      <c r="A40" s="2" t="s">
        <v>460</v>
      </c>
      <c r="B40" s="2" t="s">
        <v>461</v>
      </c>
      <c r="C40" s="2" t="s">
        <v>83</v>
      </c>
      <c r="D40" s="2" t="s">
        <v>258</v>
      </c>
      <c r="E40" s="2" t="s">
        <v>27</v>
      </c>
      <c r="F40" s="2" t="s">
        <v>462</v>
      </c>
      <c r="G40" s="2" t="s">
        <v>463</v>
      </c>
      <c r="H40" s="2" t="s">
        <v>464</v>
      </c>
      <c r="I40" s="2" t="s">
        <v>31</v>
      </c>
      <c r="J40" s="2" t="s">
        <v>465</v>
      </c>
      <c r="K40" s="2" t="s">
        <v>466</v>
      </c>
      <c r="L40" s="2" t="s">
        <v>89</v>
      </c>
      <c r="M40" s="2" t="s">
        <v>263</v>
      </c>
      <c r="N40" s="2" t="s">
        <v>467</v>
      </c>
      <c r="O40" s="2" t="s">
        <v>468</v>
      </c>
      <c r="P40" s="2" t="s">
        <v>469</v>
      </c>
      <c r="Q40" s="2" t="s">
        <v>470</v>
      </c>
      <c r="R40" s="2" t="s">
        <v>39</v>
      </c>
      <c r="S40" s="2" t="s">
        <v>40</v>
      </c>
    </row>
    <row r="41" customFormat="false" ht="68.65" hidden="false" customHeight="false" outlineLevel="0" collapsed="false">
      <c r="A41" s="2" t="s">
        <v>471</v>
      </c>
      <c r="B41" s="2" t="s">
        <v>472</v>
      </c>
      <c r="C41" s="2" t="s">
        <v>83</v>
      </c>
      <c r="D41" s="2" t="s">
        <v>473</v>
      </c>
      <c r="E41" s="2" t="s">
        <v>27</v>
      </c>
      <c r="F41" s="2" t="s">
        <v>474</v>
      </c>
      <c r="G41" s="2" t="s">
        <v>475</v>
      </c>
      <c r="H41" s="2" t="s">
        <v>476</v>
      </c>
      <c r="I41" s="2" t="s">
        <v>31</v>
      </c>
      <c r="J41" s="2" t="s">
        <v>31</v>
      </c>
      <c r="K41" s="2" t="s">
        <v>477</v>
      </c>
      <c r="L41" s="2" t="s">
        <v>478</v>
      </c>
      <c r="M41" s="2" t="s">
        <v>479</v>
      </c>
      <c r="N41" s="2" t="s">
        <v>480</v>
      </c>
      <c r="O41" s="2" t="s">
        <v>481</v>
      </c>
      <c r="P41" s="2" t="s">
        <v>482</v>
      </c>
      <c r="Q41" s="2" t="s">
        <v>483</v>
      </c>
      <c r="R41" s="2" t="s">
        <v>39</v>
      </c>
      <c r="S41" s="2" t="s">
        <v>40</v>
      </c>
    </row>
    <row r="42" customFormat="false" ht="57.45" hidden="false" customHeight="false" outlineLevel="0" collapsed="false">
      <c r="A42" s="2" t="s">
        <v>484</v>
      </c>
      <c r="B42" s="2" t="s">
        <v>485</v>
      </c>
      <c r="C42" s="2" t="s">
        <v>269</v>
      </c>
      <c r="D42" s="2" t="s">
        <v>486</v>
      </c>
      <c r="E42" s="2" t="s">
        <v>27</v>
      </c>
      <c r="F42" s="2" t="s">
        <v>487</v>
      </c>
      <c r="G42" s="2" t="s">
        <v>488</v>
      </c>
      <c r="H42" s="2" t="s">
        <v>489</v>
      </c>
      <c r="I42" s="2" t="s">
        <v>31</v>
      </c>
      <c r="J42" s="2" t="s">
        <v>31</v>
      </c>
      <c r="K42" s="2" t="s">
        <v>490</v>
      </c>
      <c r="L42" s="2" t="s">
        <v>491</v>
      </c>
      <c r="M42" s="2" t="s">
        <v>492</v>
      </c>
      <c r="N42" s="2" t="s">
        <v>142</v>
      </c>
      <c r="O42" s="2" t="s">
        <v>493</v>
      </c>
      <c r="P42" s="2" t="s">
        <v>289</v>
      </c>
      <c r="Q42" s="2" t="s">
        <v>494</v>
      </c>
      <c r="R42" s="2" t="s">
        <v>65</v>
      </c>
      <c r="S42" s="2" t="s">
        <v>40</v>
      </c>
    </row>
    <row r="43" customFormat="false" ht="68.65" hidden="false" customHeight="false" outlineLevel="0" collapsed="false">
      <c r="A43" s="2" t="s">
        <v>495</v>
      </c>
      <c r="B43" s="2" t="s">
        <v>496</v>
      </c>
      <c r="C43" s="2" t="s">
        <v>83</v>
      </c>
      <c r="D43" s="2" t="s">
        <v>497</v>
      </c>
      <c r="E43" s="2" t="s">
        <v>148</v>
      </c>
      <c r="F43" s="2" t="s">
        <v>498</v>
      </c>
      <c r="G43" s="2" t="s">
        <v>499</v>
      </c>
      <c r="H43" s="2" t="s">
        <v>500</v>
      </c>
      <c r="I43" s="2" t="s">
        <v>501</v>
      </c>
      <c r="J43" s="2" t="s">
        <v>57</v>
      </c>
      <c r="K43" s="2" t="s">
        <v>502</v>
      </c>
      <c r="L43" s="2" t="s">
        <v>503</v>
      </c>
      <c r="M43" s="2" t="s">
        <v>504</v>
      </c>
      <c r="N43" s="2" t="s">
        <v>142</v>
      </c>
      <c r="O43" s="2" t="s">
        <v>505</v>
      </c>
      <c r="P43" s="2" t="s">
        <v>506</v>
      </c>
      <c r="Q43" s="2" t="s">
        <v>94</v>
      </c>
      <c r="R43" s="2" t="s">
        <v>39</v>
      </c>
      <c r="S43" s="2" t="s">
        <v>40</v>
      </c>
    </row>
    <row r="44" customFormat="false" ht="91" hidden="false" customHeight="false" outlineLevel="0" collapsed="false">
      <c r="A44" s="2" t="s">
        <v>507</v>
      </c>
      <c r="B44" s="2" t="s">
        <v>508</v>
      </c>
      <c r="C44" s="2" t="s">
        <v>509</v>
      </c>
      <c r="D44" s="2" t="s">
        <v>510</v>
      </c>
      <c r="E44" s="2" t="s">
        <v>70</v>
      </c>
      <c r="F44" s="2" t="s">
        <v>511</v>
      </c>
      <c r="G44" s="2" t="s">
        <v>512</v>
      </c>
      <c r="H44" s="2" t="s">
        <v>513</v>
      </c>
      <c r="I44" s="2" t="s">
        <v>399</v>
      </c>
      <c r="J44" s="2" t="s">
        <v>31</v>
      </c>
      <c r="K44" s="2" t="s">
        <v>514</v>
      </c>
      <c r="L44" s="2" t="s">
        <v>399</v>
      </c>
      <c r="M44" s="2" t="s">
        <v>399</v>
      </c>
      <c r="N44" s="2" t="s">
        <v>515</v>
      </c>
      <c r="O44" s="2" t="s">
        <v>516</v>
      </c>
      <c r="P44" s="2" t="s">
        <v>399</v>
      </c>
      <c r="Q44" s="2" t="s">
        <v>38</v>
      </c>
      <c r="R44" s="2" t="s">
        <v>39</v>
      </c>
      <c r="S44" s="2" t="s">
        <v>40</v>
      </c>
    </row>
    <row r="45" customFormat="false" ht="57.45" hidden="false" customHeight="false" outlineLevel="0" collapsed="false">
      <c r="A45" s="2" t="s">
        <v>517</v>
      </c>
      <c r="B45" s="2" t="s">
        <v>518</v>
      </c>
      <c r="C45" s="2" t="s">
        <v>83</v>
      </c>
      <c r="D45" s="2" t="s">
        <v>519</v>
      </c>
      <c r="E45" s="2" t="s">
        <v>27</v>
      </c>
      <c r="F45" s="2" t="s">
        <v>520</v>
      </c>
      <c r="G45" s="2" t="s">
        <v>521</v>
      </c>
      <c r="H45" s="2" t="s">
        <v>522</v>
      </c>
      <c r="I45" s="2" t="s">
        <v>31</v>
      </c>
      <c r="J45" s="2" t="s">
        <v>31</v>
      </c>
      <c r="K45" s="2" t="s">
        <v>523</v>
      </c>
      <c r="L45" s="2" t="s">
        <v>524</v>
      </c>
      <c r="M45" s="2" t="s">
        <v>525</v>
      </c>
      <c r="N45" s="2" t="s">
        <v>526</v>
      </c>
      <c r="O45" s="2" t="s">
        <v>387</v>
      </c>
      <c r="P45" s="2" t="s">
        <v>289</v>
      </c>
      <c r="Q45" s="2" t="s">
        <v>94</v>
      </c>
      <c r="R45" s="2" t="s">
        <v>39</v>
      </c>
      <c r="S45" s="2" t="s">
        <v>40</v>
      </c>
    </row>
    <row r="46" customFormat="false" ht="57.45" hidden="false" customHeight="false" outlineLevel="0" collapsed="false">
      <c r="A46" s="2" t="s">
        <v>527</v>
      </c>
      <c r="B46" s="2" t="s">
        <v>528</v>
      </c>
      <c r="C46" s="2" t="s">
        <v>509</v>
      </c>
      <c r="D46" s="2" t="s">
        <v>529</v>
      </c>
      <c r="E46" s="2" t="s">
        <v>27</v>
      </c>
      <c r="F46" s="2" t="s">
        <v>530</v>
      </c>
      <c r="G46" s="2" t="s">
        <v>531</v>
      </c>
      <c r="H46" s="2" t="s">
        <v>532</v>
      </c>
      <c r="I46" s="2" t="s">
        <v>31</v>
      </c>
      <c r="J46" s="2" t="s">
        <v>31</v>
      </c>
      <c r="K46" s="2" t="s">
        <v>533</v>
      </c>
      <c r="L46" s="2" t="s">
        <v>89</v>
      </c>
      <c r="M46" s="2" t="s">
        <v>534</v>
      </c>
      <c r="N46" s="2" t="s">
        <v>535</v>
      </c>
      <c r="O46" s="2" t="s">
        <v>536</v>
      </c>
      <c r="P46" s="2" t="s">
        <v>289</v>
      </c>
      <c r="Q46" s="2" t="s">
        <v>94</v>
      </c>
      <c r="R46" s="2" t="s">
        <v>39</v>
      </c>
      <c r="S46" s="2" t="s">
        <v>40</v>
      </c>
    </row>
    <row r="47" customFormat="false" ht="46.25" hidden="false" customHeight="false" outlineLevel="0" collapsed="false">
      <c r="A47" s="2" t="s">
        <v>537</v>
      </c>
      <c r="B47" s="2" t="s">
        <v>538</v>
      </c>
      <c r="C47" s="2" t="s">
        <v>509</v>
      </c>
      <c r="D47" s="2" t="s">
        <v>539</v>
      </c>
      <c r="E47" s="2" t="s">
        <v>27</v>
      </c>
      <c r="F47" s="2" t="s">
        <v>540</v>
      </c>
      <c r="G47" s="2" t="s">
        <v>541</v>
      </c>
      <c r="H47" s="2" t="s">
        <v>542</v>
      </c>
      <c r="I47" s="2" t="s">
        <v>296</v>
      </c>
      <c r="J47" s="2" t="s">
        <v>57</v>
      </c>
      <c r="K47" s="2" t="s">
        <v>543</v>
      </c>
      <c r="L47" s="2" t="s">
        <v>60</v>
      </c>
      <c r="M47" s="2" t="s">
        <v>544</v>
      </c>
      <c r="N47" s="2" t="s">
        <v>142</v>
      </c>
      <c r="O47" s="2" t="s">
        <v>545</v>
      </c>
      <c r="P47" s="2" t="s">
        <v>546</v>
      </c>
      <c r="Q47" s="2" t="s">
        <v>94</v>
      </c>
      <c r="R47" s="2" t="s">
        <v>39</v>
      </c>
      <c r="S47" s="2" t="s">
        <v>40</v>
      </c>
    </row>
    <row r="48" customFormat="false" ht="57.45" hidden="false" customHeight="false" outlineLevel="0" collapsed="false">
      <c r="A48" s="2" t="s">
        <v>547</v>
      </c>
      <c r="B48" s="2" t="s">
        <v>548</v>
      </c>
      <c r="C48" s="2" t="s">
        <v>83</v>
      </c>
      <c r="D48" s="2" t="s">
        <v>549</v>
      </c>
      <c r="E48" s="2" t="s">
        <v>27</v>
      </c>
      <c r="F48" s="2" t="s">
        <v>550</v>
      </c>
      <c r="G48" s="2" t="s">
        <v>551</v>
      </c>
      <c r="H48" s="2" t="s">
        <v>552</v>
      </c>
      <c r="I48" s="2" t="s">
        <v>553</v>
      </c>
      <c r="J48" s="2" t="s">
        <v>58</v>
      </c>
      <c r="K48" s="2" t="s">
        <v>554</v>
      </c>
      <c r="L48" s="2" t="s">
        <v>89</v>
      </c>
      <c r="M48" s="2" t="s">
        <v>555</v>
      </c>
      <c r="N48" s="2" t="s">
        <v>556</v>
      </c>
      <c r="O48" s="2" t="s">
        <v>557</v>
      </c>
      <c r="P48" s="2" t="s">
        <v>289</v>
      </c>
      <c r="Q48" s="2" t="s">
        <v>94</v>
      </c>
      <c r="R48" s="2" t="s">
        <v>39</v>
      </c>
      <c r="S48" s="2" t="s">
        <v>40</v>
      </c>
    </row>
    <row r="49" customFormat="false" ht="57.45" hidden="false" customHeight="false" outlineLevel="0" collapsed="false">
      <c r="A49" s="2" t="s">
        <v>558</v>
      </c>
      <c r="B49" s="2" t="s">
        <v>559</v>
      </c>
      <c r="C49" s="2" t="s">
        <v>83</v>
      </c>
      <c r="D49" s="2" t="s">
        <v>560</v>
      </c>
      <c r="E49" s="2" t="s">
        <v>27</v>
      </c>
      <c r="F49" s="2" t="s">
        <v>561</v>
      </c>
      <c r="G49" s="2" t="s">
        <v>562</v>
      </c>
      <c r="H49" s="2" t="s">
        <v>563</v>
      </c>
      <c r="I49" s="2" t="s">
        <v>564</v>
      </c>
      <c r="J49" s="2" t="s">
        <v>31</v>
      </c>
      <c r="K49" s="2" t="s">
        <v>565</v>
      </c>
      <c r="L49" s="2" t="s">
        <v>566</v>
      </c>
      <c r="M49" s="2" t="s">
        <v>567</v>
      </c>
      <c r="N49" s="2" t="s">
        <v>568</v>
      </c>
      <c r="O49" s="2" t="s">
        <v>569</v>
      </c>
      <c r="P49" s="2" t="s">
        <v>570</v>
      </c>
      <c r="Q49" s="2" t="s">
        <v>94</v>
      </c>
      <c r="R49" s="2" t="s">
        <v>39</v>
      </c>
      <c r="S49" s="2" t="s">
        <v>40</v>
      </c>
    </row>
    <row r="50" customFormat="false" ht="46.25" hidden="false" customHeight="false" outlineLevel="0" collapsed="false">
      <c r="A50" s="2" t="s">
        <v>571</v>
      </c>
      <c r="B50" s="2" t="s">
        <v>572</v>
      </c>
      <c r="C50" s="2" t="s">
        <v>83</v>
      </c>
      <c r="D50" s="2" t="s">
        <v>573</v>
      </c>
      <c r="E50" s="2" t="s">
        <v>27</v>
      </c>
      <c r="F50" s="2" t="s">
        <v>574</v>
      </c>
      <c r="G50" s="2" t="s">
        <v>575</v>
      </c>
      <c r="H50" s="2" t="s">
        <v>576</v>
      </c>
      <c r="I50" s="2" t="s">
        <v>31</v>
      </c>
      <c r="J50" s="2" t="s">
        <v>31</v>
      </c>
      <c r="K50" s="2" t="s">
        <v>577</v>
      </c>
      <c r="L50" s="2" t="s">
        <v>578</v>
      </c>
      <c r="M50" s="2" t="s">
        <v>579</v>
      </c>
      <c r="N50" s="2" t="s">
        <v>580</v>
      </c>
      <c r="O50" s="2" t="s">
        <v>387</v>
      </c>
      <c r="P50" s="2" t="s">
        <v>289</v>
      </c>
      <c r="Q50" s="2" t="s">
        <v>94</v>
      </c>
      <c r="R50" s="2" t="s">
        <v>65</v>
      </c>
      <c r="S50" s="2" t="s">
        <v>40</v>
      </c>
    </row>
    <row r="51" customFormat="false" ht="57.45" hidden="false" customHeight="false" outlineLevel="0" collapsed="false">
      <c r="A51" s="2" t="s">
        <v>581</v>
      </c>
      <c r="B51" s="2" t="s">
        <v>582</v>
      </c>
      <c r="C51" s="2" t="s">
        <v>83</v>
      </c>
      <c r="D51" s="2" t="s">
        <v>583</v>
      </c>
      <c r="E51" s="2" t="s">
        <v>84</v>
      </c>
      <c r="F51" s="2" t="s">
        <v>584</v>
      </c>
      <c r="G51" s="2" t="s">
        <v>585</v>
      </c>
      <c r="H51" s="2" t="s">
        <v>586</v>
      </c>
      <c r="I51" s="2" t="s">
        <v>404</v>
      </c>
      <c r="J51" s="2" t="s">
        <v>58</v>
      </c>
      <c r="K51" s="2" t="s">
        <v>241</v>
      </c>
      <c r="L51" s="2" t="s">
        <v>60</v>
      </c>
      <c r="M51" s="2" t="s">
        <v>587</v>
      </c>
      <c r="N51" s="2" t="s">
        <v>588</v>
      </c>
      <c r="O51" s="2" t="s">
        <v>387</v>
      </c>
      <c r="P51" s="2" t="s">
        <v>245</v>
      </c>
      <c r="Q51" s="2" t="s">
        <v>94</v>
      </c>
      <c r="R51" s="2" t="s">
        <v>39</v>
      </c>
      <c r="S51" s="2" t="s">
        <v>40</v>
      </c>
    </row>
    <row r="52" customFormat="false" ht="46.25" hidden="false" customHeight="false" outlineLevel="0" collapsed="false">
      <c r="A52" s="2" t="s">
        <v>589</v>
      </c>
      <c r="B52" s="2" t="s">
        <v>590</v>
      </c>
      <c r="C52" s="2" t="s">
        <v>509</v>
      </c>
      <c r="D52" s="2" t="s">
        <v>591</v>
      </c>
      <c r="E52" s="2" t="s">
        <v>27</v>
      </c>
      <c r="F52" s="2" t="s">
        <v>592</v>
      </c>
      <c r="G52" s="2" t="s">
        <v>593</v>
      </c>
      <c r="H52" s="2" t="s">
        <v>594</v>
      </c>
      <c r="I52" s="2" t="s">
        <v>553</v>
      </c>
      <c r="J52" s="2" t="s">
        <v>31</v>
      </c>
      <c r="K52" s="2" t="s">
        <v>577</v>
      </c>
      <c r="L52" s="2" t="s">
        <v>89</v>
      </c>
      <c r="M52" s="2" t="s">
        <v>595</v>
      </c>
      <c r="N52" s="2" t="s">
        <v>596</v>
      </c>
      <c r="O52" s="2" t="s">
        <v>387</v>
      </c>
      <c r="P52" s="2" t="s">
        <v>289</v>
      </c>
      <c r="Q52" s="2" t="s">
        <v>94</v>
      </c>
      <c r="R52" s="2" t="s">
        <v>39</v>
      </c>
      <c r="S52" s="2" t="s">
        <v>40</v>
      </c>
    </row>
    <row r="53" customFormat="false" ht="46.25" hidden="false" customHeight="false" outlineLevel="0" collapsed="false">
      <c r="A53" s="2" t="s">
        <v>597</v>
      </c>
      <c r="B53" s="2" t="s">
        <v>598</v>
      </c>
      <c r="C53" s="2" t="s">
        <v>83</v>
      </c>
      <c r="D53" s="2" t="s">
        <v>599</v>
      </c>
      <c r="E53" s="2" t="s">
        <v>27</v>
      </c>
      <c r="F53" s="2" t="s">
        <v>600</v>
      </c>
      <c r="G53" s="2" t="s">
        <v>601</v>
      </c>
      <c r="H53" s="2" t="s">
        <v>602</v>
      </c>
      <c r="I53" s="2" t="s">
        <v>31</v>
      </c>
      <c r="J53" s="2" t="s">
        <v>31</v>
      </c>
      <c r="K53" s="2" t="s">
        <v>466</v>
      </c>
      <c r="L53" s="2" t="s">
        <v>603</v>
      </c>
      <c r="M53" s="2" t="s">
        <v>604</v>
      </c>
      <c r="N53" s="2" t="s">
        <v>142</v>
      </c>
      <c r="O53" s="2" t="s">
        <v>387</v>
      </c>
      <c r="P53" s="2" t="s">
        <v>289</v>
      </c>
      <c r="Q53" s="2" t="s">
        <v>94</v>
      </c>
      <c r="R53" s="2" t="s">
        <v>39</v>
      </c>
      <c r="S53" s="2" t="s">
        <v>40</v>
      </c>
    </row>
    <row r="54" customFormat="false" ht="57.45" hidden="false" customHeight="false" outlineLevel="0" collapsed="false">
      <c r="A54" s="2" t="s">
        <v>605</v>
      </c>
      <c r="B54" s="2" t="s">
        <v>606</v>
      </c>
      <c r="C54" s="2" t="s">
        <v>509</v>
      </c>
      <c r="D54" s="2" t="s">
        <v>607</v>
      </c>
      <c r="E54" s="2" t="s">
        <v>27</v>
      </c>
      <c r="F54" s="2" t="s">
        <v>608</v>
      </c>
      <c r="G54" s="2" t="s">
        <v>609</v>
      </c>
      <c r="H54" s="2" t="s">
        <v>610</v>
      </c>
      <c r="I54" s="2" t="s">
        <v>611</v>
      </c>
      <c r="J54" s="2" t="s">
        <v>612</v>
      </c>
      <c r="K54" s="2" t="s">
        <v>613</v>
      </c>
      <c r="L54" s="2" t="s">
        <v>614</v>
      </c>
      <c r="M54" s="2" t="s">
        <v>615</v>
      </c>
      <c r="N54" s="2" t="s">
        <v>616</v>
      </c>
      <c r="O54" s="2" t="s">
        <v>617</v>
      </c>
      <c r="P54" s="2" t="s">
        <v>618</v>
      </c>
      <c r="Q54" s="2" t="s">
        <v>94</v>
      </c>
      <c r="R54" s="2" t="s">
        <v>39</v>
      </c>
      <c r="S54" s="2" t="s">
        <v>40</v>
      </c>
    </row>
    <row r="55" customFormat="false" ht="46.25" hidden="false" customHeight="false" outlineLevel="0" collapsed="false">
      <c r="A55" s="2" t="s">
        <v>619</v>
      </c>
      <c r="B55" s="2" t="s">
        <v>620</v>
      </c>
      <c r="C55" s="2" t="s">
        <v>83</v>
      </c>
      <c r="D55" s="2" t="s">
        <v>621</v>
      </c>
      <c r="E55" s="2" t="s">
        <v>27</v>
      </c>
      <c r="F55" s="2" t="s">
        <v>622</v>
      </c>
      <c r="G55" s="2" t="s">
        <v>623</v>
      </c>
      <c r="H55" s="2" t="s">
        <v>624</v>
      </c>
      <c r="I55" s="2" t="s">
        <v>31</v>
      </c>
      <c r="J55" s="2" t="s">
        <v>31</v>
      </c>
      <c r="K55" s="2" t="s">
        <v>625</v>
      </c>
      <c r="L55" s="2" t="s">
        <v>614</v>
      </c>
      <c r="M55" s="2" t="s">
        <v>626</v>
      </c>
      <c r="N55" s="2" t="s">
        <v>142</v>
      </c>
      <c r="O55" s="2" t="s">
        <v>627</v>
      </c>
      <c r="P55" s="2" t="s">
        <v>628</v>
      </c>
      <c r="Q55" s="2" t="s">
        <v>629</v>
      </c>
      <c r="R55" s="2" t="s">
        <v>39</v>
      </c>
      <c r="S55" s="2" t="s">
        <v>40</v>
      </c>
    </row>
    <row r="56" customFormat="false" ht="46.25" hidden="false" customHeight="false" outlineLevel="0" collapsed="false">
      <c r="A56" s="2" t="s">
        <v>630</v>
      </c>
      <c r="B56" s="2" t="s">
        <v>631</v>
      </c>
      <c r="C56" s="2" t="s">
        <v>83</v>
      </c>
      <c r="D56" s="2" t="s">
        <v>632</v>
      </c>
      <c r="E56" s="2" t="s">
        <v>27</v>
      </c>
      <c r="F56" s="2" t="s">
        <v>633</v>
      </c>
      <c r="G56" s="2" t="s">
        <v>438</v>
      </c>
      <c r="H56" s="2" t="s">
        <v>634</v>
      </c>
      <c r="I56" s="2" t="s">
        <v>31</v>
      </c>
      <c r="J56" s="2" t="s">
        <v>31</v>
      </c>
      <c r="K56" s="2" t="s">
        <v>466</v>
      </c>
      <c r="L56" s="2" t="s">
        <v>60</v>
      </c>
      <c r="M56" s="2" t="s">
        <v>544</v>
      </c>
      <c r="N56" s="2" t="s">
        <v>142</v>
      </c>
      <c r="O56" s="2" t="s">
        <v>387</v>
      </c>
      <c r="P56" s="2" t="s">
        <v>289</v>
      </c>
      <c r="Q56" s="2" t="s">
        <v>635</v>
      </c>
      <c r="R56" s="2" t="s">
        <v>39</v>
      </c>
      <c r="S56" s="2" t="s">
        <v>40</v>
      </c>
    </row>
    <row r="57" customFormat="false" ht="57.45" hidden="false" customHeight="false" outlineLevel="0" collapsed="false">
      <c r="A57" s="2" t="s">
        <v>636</v>
      </c>
      <c r="B57" s="2" t="s">
        <v>637</v>
      </c>
      <c r="C57" s="2" t="s">
        <v>83</v>
      </c>
      <c r="D57" s="2" t="s">
        <v>638</v>
      </c>
      <c r="E57" s="2" t="s">
        <v>27</v>
      </c>
      <c r="F57" s="2" t="s">
        <v>639</v>
      </c>
      <c r="G57" s="2" t="s">
        <v>640</v>
      </c>
      <c r="H57" s="2" t="s">
        <v>641</v>
      </c>
      <c r="I57" s="2" t="s">
        <v>31</v>
      </c>
      <c r="J57" s="2" t="s">
        <v>31</v>
      </c>
      <c r="K57" s="2" t="s">
        <v>523</v>
      </c>
      <c r="L57" s="2" t="s">
        <v>115</v>
      </c>
      <c r="M57" s="2" t="s">
        <v>642</v>
      </c>
      <c r="N57" s="2" t="s">
        <v>142</v>
      </c>
      <c r="O57" s="2" t="s">
        <v>387</v>
      </c>
      <c r="P57" s="2" t="s">
        <v>289</v>
      </c>
      <c r="Q57" s="2" t="s">
        <v>94</v>
      </c>
      <c r="R57" s="2" t="s">
        <v>39</v>
      </c>
      <c r="S57" s="2" t="s">
        <v>40</v>
      </c>
    </row>
    <row r="58" customFormat="false" ht="57.45" hidden="false" customHeight="false" outlineLevel="0" collapsed="false">
      <c r="A58" s="2" t="s">
        <v>643</v>
      </c>
      <c r="B58" s="2" t="s">
        <v>399</v>
      </c>
      <c r="C58" s="2" t="s">
        <v>509</v>
      </c>
      <c r="D58" s="2" t="s">
        <v>644</v>
      </c>
      <c r="E58" s="2" t="s">
        <v>70</v>
      </c>
      <c r="F58" s="2" t="s">
        <v>645</v>
      </c>
      <c r="G58" s="2" t="s">
        <v>646</v>
      </c>
      <c r="H58" s="2" t="s">
        <v>647</v>
      </c>
      <c r="I58" s="2" t="s">
        <v>57</v>
      </c>
      <c r="J58" s="2" t="s">
        <v>399</v>
      </c>
      <c r="K58" s="2" t="s">
        <v>648</v>
      </c>
      <c r="L58" s="2" t="s">
        <v>649</v>
      </c>
      <c r="M58" s="2" t="s">
        <v>650</v>
      </c>
      <c r="N58" s="2" t="s">
        <v>651</v>
      </c>
      <c r="O58" s="2" t="s">
        <v>652</v>
      </c>
      <c r="P58" s="2" t="s">
        <v>653</v>
      </c>
      <c r="Q58" s="2" t="s">
        <v>94</v>
      </c>
      <c r="R58" s="2" t="s">
        <v>39</v>
      </c>
      <c r="S58" s="2" t="s">
        <v>40</v>
      </c>
    </row>
    <row r="59" customFormat="false" ht="35.05" hidden="false" customHeight="false" outlineLevel="0" collapsed="false">
      <c r="A59" s="2" t="s">
        <v>654</v>
      </c>
      <c r="B59" s="2" t="s">
        <v>399</v>
      </c>
      <c r="C59" s="2" t="s">
        <v>509</v>
      </c>
      <c r="D59" s="2" t="s">
        <v>655</v>
      </c>
      <c r="E59" s="2" t="s">
        <v>70</v>
      </c>
      <c r="F59" s="2" t="s">
        <v>656</v>
      </c>
      <c r="G59" s="2" t="s">
        <v>399</v>
      </c>
      <c r="H59" s="2" t="s">
        <v>657</v>
      </c>
      <c r="I59" s="2" t="s">
        <v>57</v>
      </c>
      <c r="J59" s="2" t="s">
        <v>399</v>
      </c>
      <c r="K59" s="2" t="s">
        <v>399</v>
      </c>
      <c r="L59" s="2" t="s">
        <v>399</v>
      </c>
      <c r="M59" s="2" t="s">
        <v>399</v>
      </c>
      <c r="N59" s="2" t="s">
        <v>399</v>
      </c>
      <c r="O59" s="2" t="s">
        <v>399</v>
      </c>
      <c r="P59" s="2" t="s">
        <v>399</v>
      </c>
      <c r="Q59" s="2" t="s">
        <v>94</v>
      </c>
      <c r="R59" s="2" t="s">
        <v>658</v>
      </c>
      <c r="S59" s="2" t="s">
        <v>40</v>
      </c>
    </row>
    <row r="60" customFormat="false" ht="57.45" hidden="false" customHeight="false" outlineLevel="0" collapsed="false">
      <c r="A60" s="2" t="s">
        <v>659</v>
      </c>
      <c r="B60" s="2" t="s">
        <v>399</v>
      </c>
      <c r="C60" s="2" t="s">
        <v>509</v>
      </c>
      <c r="D60" s="2" t="s">
        <v>660</v>
      </c>
      <c r="E60" s="2" t="s">
        <v>70</v>
      </c>
      <c r="F60" s="2" t="s">
        <v>661</v>
      </c>
      <c r="G60" s="2" t="s">
        <v>662</v>
      </c>
      <c r="H60" s="2" t="s">
        <v>663</v>
      </c>
      <c r="I60" s="2" t="s">
        <v>57</v>
      </c>
      <c r="J60" s="2" t="s">
        <v>399</v>
      </c>
      <c r="K60" s="2" t="s">
        <v>664</v>
      </c>
      <c r="L60" s="2" t="s">
        <v>399</v>
      </c>
      <c r="M60" s="2" t="s">
        <v>165</v>
      </c>
      <c r="N60" s="2" t="s">
        <v>399</v>
      </c>
      <c r="O60" s="2" t="s">
        <v>665</v>
      </c>
      <c r="P60" s="2" t="s">
        <v>666</v>
      </c>
      <c r="Q60" s="2" t="s">
        <v>94</v>
      </c>
      <c r="R60" s="2" t="s">
        <v>39</v>
      </c>
      <c r="S60" s="2" t="s">
        <v>40</v>
      </c>
    </row>
  </sheetData>
  <autoFilter ref="A1:S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667</v>
      </c>
    </row>
    <row r="3" customFormat="false" ht="15" hidden="false" customHeight="false" outlineLevel="0" collapsed="false">
      <c r="A3" s="4" t="s">
        <v>668</v>
      </c>
      <c r="B3" s="4" t="s">
        <v>669</v>
      </c>
    </row>
    <row r="4" customFormat="false" ht="15" hidden="false" customHeight="false" outlineLevel="0" collapsed="false">
      <c r="A4" s="5" t="s">
        <v>27</v>
      </c>
      <c r="B4" s="5" t="n">
        <f aca="false">COUNTIF(Database!$E$2:$E$60,"1 - Verified founder or cofounder*")</f>
        <v>29</v>
      </c>
    </row>
    <row r="5" customFormat="false" ht="15" hidden="false" customHeight="false" outlineLevel="0" collapsed="false">
      <c r="A5" s="5" t="s">
        <v>84</v>
      </c>
      <c r="B5" s="5" t="n">
        <f aca="false">COUNTIF(Database!$E$2:$E$60,"2 - Verified equity owner or investor*")</f>
        <v>14</v>
      </c>
    </row>
    <row r="6" customFormat="false" ht="15" hidden="false" customHeight="false" outlineLevel="0" collapsed="false">
      <c r="A6" s="5" t="s">
        <v>148</v>
      </c>
      <c r="B6" s="5" t="n">
        <f aca="false">COUNTIF(Database!$E$2:$E$60,"3 - Executive or board member*")</f>
        <v>3</v>
      </c>
    </row>
    <row r="7" customFormat="false" ht="15" hidden="false" customHeight="false" outlineLevel="0" collapsed="false">
      <c r="A7" s="5" t="s">
        <v>328</v>
      </c>
      <c r="B7" s="5" t="n">
        <f aca="false">COUNTIF(Database!$E$2:$E$60,"4 - Medical advisor*")</f>
        <v>1</v>
      </c>
    </row>
    <row r="8" customFormat="false" ht="15" hidden="false" customHeight="false" outlineLevel="0" collapsed="false">
      <c r="A8" s="5" t="s">
        <v>98</v>
      </c>
      <c r="B8" s="5" t="n">
        <f aca="false">COUNTIF(Database!$E$2:$E$60,"5 - Brand ambassador or spokesperson*")</f>
        <v>3</v>
      </c>
    </row>
    <row r="9" customFormat="false" ht="15" hidden="false" customHeight="false" outlineLevel="0" collapsed="false">
      <c r="A9" s="5" t="s">
        <v>670</v>
      </c>
      <c r="B9" s="5" t="n">
        <f aca="false">COUNTIF(Database!$E$2:$E$60,"6 - Recurring paid influencer*")</f>
        <v>0</v>
      </c>
    </row>
    <row r="10" customFormat="false" ht="15" hidden="false" customHeight="false" outlineLevel="0" collapsed="false">
      <c r="A10" s="5" t="s">
        <v>53</v>
      </c>
      <c r="B10" s="5" t="n">
        <f aca="false">COUNTIF(Database!$E$2:$E$60,"7 - Affiliate*")</f>
        <v>1</v>
      </c>
    </row>
    <row r="11" customFormat="false" ht="15" hidden="false" customHeight="false" outlineLevel="0" collapsed="false">
      <c r="A11" s="5" t="s">
        <v>123</v>
      </c>
      <c r="B11" s="5" t="n">
        <f aca="false">COUNTIF(Database!$E$2:$E$60,"8 - One-time campaign participant*")</f>
        <v>3</v>
      </c>
    </row>
    <row r="12" customFormat="false" ht="15" hidden="false" customHeight="false" outlineLevel="0" collapsed="false">
      <c r="A12" s="5" t="s">
        <v>70</v>
      </c>
      <c r="B12" s="5" t="n">
        <f aca="false">COUNTIF(Database!$E$2:$E$60,"9 - Unverified or rumored association*")</f>
        <v>5</v>
      </c>
    </row>
    <row r="13" customFormat="false" ht="15" hidden="false" customHeight="false" outlineLevel="0" collapsed="false">
      <c r="A13" s="6" t="s">
        <v>671</v>
      </c>
      <c r="B13" s="6" t="n">
        <f aca="false">SUM(B4:B12)</f>
        <v>59</v>
      </c>
    </row>
    <row r="15" customFormat="false" ht="15" hidden="false" customHeight="false" outlineLevel="0" collapsed="false">
      <c r="A15" s="5" t="s">
        <v>672</v>
      </c>
      <c r="B15" s="5" t="n">
        <f aca="false">COUNTIF(Database!$Q$2:$Q$60,"direct*")</f>
        <v>19</v>
      </c>
    </row>
    <row r="16" customFormat="false" ht="15" hidden="false" customHeight="false" outlineLevel="0" collapsed="false">
      <c r="A16" s="5" t="s">
        <v>673</v>
      </c>
      <c r="B16" s="5" t="n">
        <f aca="false">COUNTIF(Database!$Q$2:$Q$60,"adjacent*")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3" t="s">
        <v>674</v>
      </c>
      <c r="B1" s="3" t="s">
        <v>675</v>
      </c>
      <c r="C1" s="3" t="s">
        <v>676</v>
      </c>
    </row>
    <row r="2" customFormat="false" ht="46.25" hidden="false" customHeight="false" outlineLevel="0" collapsed="false">
      <c r="A2" s="2" t="s">
        <v>677</v>
      </c>
      <c r="B2" s="2" t="s">
        <v>678</v>
      </c>
      <c r="C2" s="2" t="s">
        <v>679</v>
      </c>
    </row>
    <row r="3" customFormat="false" ht="23.85" hidden="false" customHeight="false" outlineLevel="0" collapsed="false">
      <c r="A3" s="2" t="s">
        <v>680</v>
      </c>
      <c r="B3" s="2" t="s">
        <v>681</v>
      </c>
      <c r="C3" s="2" t="s">
        <v>682</v>
      </c>
    </row>
    <row r="4" customFormat="false" ht="23.85" hidden="false" customHeight="false" outlineLevel="0" collapsed="false">
      <c r="A4" s="2" t="s">
        <v>683</v>
      </c>
      <c r="B4" s="2" t="s">
        <v>684</v>
      </c>
      <c r="C4" s="2" t="s">
        <v>685</v>
      </c>
    </row>
    <row r="5" customFormat="false" ht="23.85" hidden="false" customHeight="false" outlineLevel="0" collapsed="false">
      <c r="A5" s="2" t="s">
        <v>686</v>
      </c>
      <c r="B5" s="2" t="s">
        <v>687</v>
      </c>
      <c r="C5" s="2" t="s">
        <v>688</v>
      </c>
    </row>
    <row r="6" customFormat="false" ht="35.05" hidden="false" customHeight="false" outlineLevel="0" collapsed="false">
      <c r="A6" s="2" t="s">
        <v>689</v>
      </c>
      <c r="B6" s="2" t="s">
        <v>690</v>
      </c>
      <c r="C6" s="2" t="s">
        <v>691</v>
      </c>
    </row>
    <row r="7" customFormat="false" ht="23.85" hidden="false" customHeight="false" outlineLevel="0" collapsed="false">
      <c r="A7" s="2" t="s">
        <v>692</v>
      </c>
      <c r="B7" s="2" t="s">
        <v>693</v>
      </c>
      <c r="C7" s="2" t="s">
        <v>694</v>
      </c>
    </row>
    <row r="8" customFormat="false" ht="23.85" hidden="false" customHeight="false" outlineLevel="0" collapsed="false">
      <c r="A8" s="2" t="s">
        <v>695</v>
      </c>
      <c r="B8" s="2" t="s">
        <v>696</v>
      </c>
      <c r="C8" s="2" t="s">
        <v>697</v>
      </c>
    </row>
    <row r="9" customFormat="false" ht="35.05" hidden="false" customHeight="false" outlineLevel="0" collapsed="false">
      <c r="A9" s="2" t="s">
        <v>698</v>
      </c>
      <c r="B9" s="2" t="s">
        <v>699</v>
      </c>
      <c r="C9" s="2" t="s">
        <v>700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75" hidden="false" customHeight="true" outlineLevel="0" collapsed="false">
      <c r="A1" s="7" t="s">
        <v>701</v>
      </c>
      <c r="B1" s="7"/>
      <c r="C1" s="7"/>
      <c r="D1" s="7"/>
      <c r="E1" s="7"/>
      <c r="F1" s="7"/>
    </row>
    <row r="3" customFormat="false" ht="23.85" hidden="false" customHeight="false" outlineLevel="0" collapsed="false">
      <c r="A3" s="3" t="s">
        <v>702</v>
      </c>
      <c r="B3" s="3" t="s">
        <v>703</v>
      </c>
      <c r="C3" s="3" t="s">
        <v>704</v>
      </c>
      <c r="D3" s="3" t="s">
        <v>22</v>
      </c>
      <c r="E3" s="3" t="s">
        <v>705</v>
      </c>
      <c r="F3" s="3" t="s">
        <v>706</v>
      </c>
    </row>
    <row r="4" customFormat="false" ht="15" hidden="false" customHeight="false" outlineLevel="0" collapsed="false">
      <c r="A4" s="2" t="s">
        <v>707</v>
      </c>
      <c r="B4" s="2" t="s">
        <v>708</v>
      </c>
      <c r="C4" s="2" t="s">
        <v>709</v>
      </c>
      <c r="D4" s="2" t="s">
        <v>40</v>
      </c>
      <c r="E4" s="2" t="s">
        <v>710</v>
      </c>
      <c r="F4" s="2" t="n">
        <v>0.9</v>
      </c>
    </row>
    <row r="5" customFormat="false" ht="15" hidden="false" customHeight="false" outlineLevel="0" collapsed="false">
      <c r="A5" s="2" t="s">
        <v>707</v>
      </c>
      <c r="B5" s="2" t="s">
        <v>711</v>
      </c>
      <c r="C5" s="2" t="s">
        <v>712</v>
      </c>
      <c r="D5" s="2" t="s">
        <v>40</v>
      </c>
      <c r="E5" s="2" t="s">
        <v>710</v>
      </c>
      <c r="F5" s="2" t="n">
        <v>0.95</v>
      </c>
    </row>
    <row r="6" customFormat="false" ht="23.85" hidden="false" customHeight="false" outlineLevel="0" collapsed="false">
      <c r="A6" s="2" t="s">
        <v>713</v>
      </c>
      <c r="B6" s="2" t="s">
        <v>714</v>
      </c>
      <c r="C6" s="2" t="s">
        <v>715</v>
      </c>
      <c r="D6" s="2" t="s">
        <v>40</v>
      </c>
      <c r="E6" s="2" t="s">
        <v>710</v>
      </c>
      <c r="F6" s="2" t="n">
        <v>0.8</v>
      </c>
    </row>
    <row r="7" customFormat="false" ht="23.85" hidden="false" customHeight="false" outlineLevel="0" collapsed="false">
      <c r="A7" s="2" t="s">
        <v>713</v>
      </c>
      <c r="B7" s="2" t="s">
        <v>716</v>
      </c>
      <c r="C7" s="2" t="s">
        <v>717</v>
      </c>
      <c r="D7" s="2" t="s">
        <v>40</v>
      </c>
      <c r="E7" s="2" t="s">
        <v>710</v>
      </c>
      <c r="F7" s="2" t="n">
        <v>0.8</v>
      </c>
    </row>
    <row r="8" customFormat="false" ht="15" hidden="false" customHeight="false" outlineLevel="0" collapsed="false">
      <c r="A8" s="2" t="s">
        <v>718</v>
      </c>
      <c r="B8" s="2" t="s">
        <v>719</v>
      </c>
      <c r="C8" s="2" t="s">
        <v>720</v>
      </c>
      <c r="D8" s="2" t="s">
        <v>40</v>
      </c>
      <c r="E8" s="2" t="s">
        <v>710</v>
      </c>
      <c r="F8" s="2" t="n">
        <v>0.7</v>
      </c>
    </row>
    <row r="9" customFormat="false" ht="15" hidden="false" customHeight="false" outlineLevel="0" collapsed="false">
      <c r="A9" s="2" t="s">
        <v>721</v>
      </c>
      <c r="B9" s="2" t="s">
        <v>722</v>
      </c>
      <c r="C9" s="2" t="s">
        <v>723</v>
      </c>
      <c r="D9" s="2" t="s">
        <v>40</v>
      </c>
      <c r="E9" s="2" t="s">
        <v>710</v>
      </c>
      <c r="F9" s="2" t="n">
        <v>0.5</v>
      </c>
    </row>
    <row r="10" customFormat="false" ht="23.85" hidden="false" customHeight="false" outlineLevel="0" collapsed="false">
      <c r="A10" s="2" t="s">
        <v>724</v>
      </c>
      <c r="B10" s="2" t="s">
        <v>725</v>
      </c>
      <c r="C10" s="2" t="s">
        <v>726</v>
      </c>
      <c r="D10" s="2" t="s">
        <v>40</v>
      </c>
      <c r="E10" s="2" t="s">
        <v>710</v>
      </c>
      <c r="F10" s="2" t="n">
        <v>0.75</v>
      </c>
    </row>
    <row r="11" customFormat="false" ht="15" hidden="false" customHeight="false" outlineLevel="0" collapsed="false">
      <c r="A11" s="2" t="s">
        <v>724</v>
      </c>
      <c r="B11" s="2" t="s">
        <v>727</v>
      </c>
      <c r="C11" s="2" t="s">
        <v>712</v>
      </c>
      <c r="D11" s="2" t="s">
        <v>40</v>
      </c>
      <c r="E11" s="2" t="s">
        <v>710</v>
      </c>
      <c r="F11" s="2" t="n">
        <v>0.5</v>
      </c>
    </row>
    <row r="12" customFormat="false" ht="23.85" hidden="false" customHeight="false" outlineLevel="0" collapsed="false">
      <c r="A12" s="2" t="s">
        <v>728</v>
      </c>
      <c r="B12" s="2" t="s">
        <v>729</v>
      </c>
      <c r="C12" s="2" t="s">
        <v>730</v>
      </c>
      <c r="D12" s="2" t="s">
        <v>40</v>
      </c>
      <c r="E12" s="2" t="s">
        <v>710</v>
      </c>
      <c r="F12" s="2" t="n">
        <v>0.9</v>
      </c>
    </row>
    <row r="13" customFormat="false" ht="23.85" hidden="false" customHeight="false" outlineLevel="0" collapsed="false">
      <c r="A13" s="2" t="s">
        <v>728</v>
      </c>
      <c r="B13" s="2" t="s">
        <v>731</v>
      </c>
      <c r="C13" s="2" t="s">
        <v>732</v>
      </c>
      <c r="D13" s="2" t="s">
        <v>40</v>
      </c>
      <c r="E13" s="2" t="s">
        <v>710</v>
      </c>
      <c r="F13" s="2" t="n">
        <v>0.85</v>
      </c>
    </row>
    <row r="14" customFormat="false" ht="15" hidden="false" customHeight="false" outlineLevel="0" collapsed="false">
      <c r="A14" s="2" t="s">
        <v>728</v>
      </c>
      <c r="B14" s="2" t="s">
        <v>733</v>
      </c>
      <c r="C14" s="2" t="s">
        <v>734</v>
      </c>
      <c r="D14" s="2" t="s">
        <v>40</v>
      </c>
      <c r="E14" s="2" t="s">
        <v>710</v>
      </c>
      <c r="F14" s="2" t="n">
        <v>0.85</v>
      </c>
    </row>
    <row r="15" customFormat="false" ht="23.85" hidden="false" customHeight="false" outlineLevel="0" collapsed="false">
      <c r="A15" s="2" t="s">
        <v>735</v>
      </c>
      <c r="B15" s="2" t="s">
        <v>736</v>
      </c>
      <c r="C15" s="2" t="s">
        <v>737</v>
      </c>
      <c r="D15" s="2" t="s">
        <v>40</v>
      </c>
      <c r="E15" s="2" t="s">
        <v>738</v>
      </c>
      <c r="F15" s="2" t="n">
        <v>0.6</v>
      </c>
    </row>
    <row r="16" customFormat="false" ht="15" hidden="false" customHeight="false" outlineLevel="0" collapsed="false">
      <c r="A16" s="2" t="s">
        <v>739</v>
      </c>
      <c r="B16" s="2" t="s">
        <v>740</v>
      </c>
      <c r="C16" s="2"/>
      <c r="D16" s="2" t="s">
        <v>40</v>
      </c>
      <c r="E16" s="2" t="s">
        <v>741</v>
      </c>
      <c r="F16" s="2" t="n">
        <v>0.6</v>
      </c>
    </row>
    <row r="17" customFormat="false" ht="23.85" hidden="false" customHeight="false" outlineLevel="0" collapsed="false">
      <c r="A17" s="2" t="s">
        <v>742</v>
      </c>
      <c r="B17" s="2" t="s">
        <v>743</v>
      </c>
      <c r="C17" s="2" t="s">
        <v>744</v>
      </c>
      <c r="D17" s="2" t="s">
        <v>40</v>
      </c>
      <c r="E17" s="2" t="s">
        <v>710</v>
      </c>
      <c r="F17" s="2" t="n">
        <v>0.95</v>
      </c>
    </row>
    <row r="18" customFormat="false" ht="23.85" hidden="false" customHeight="false" outlineLevel="0" collapsed="false">
      <c r="A18" s="2" t="s">
        <v>742</v>
      </c>
      <c r="B18" s="2" t="s">
        <v>745</v>
      </c>
      <c r="C18" s="2" t="s">
        <v>746</v>
      </c>
      <c r="D18" s="2" t="s">
        <v>40</v>
      </c>
      <c r="E18" s="2" t="s">
        <v>710</v>
      </c>
      <c r="F18" s="2" t="n">
        <v>0.9</v>
      </c>
    </row>
    <row r="19" customFormat="false" ht="23.85" hidden="false" customHeight="false" outlineLevel="0" collapsed="false">
      <c r="A19" s="2" t="s">
        <v>742</v>
      </c>
      <c r="B19" s="2" t="s">
        <v>747</v>
      </c>
      <c r="C19" s="2" t="s">
        <v>748</v>
      </c>
      <c r="D19" s="2" t="s">
        <v>40</v>
      </c>
      <c r="E19" s="2" t="s">
        <v>710</v>
      </c>
      <c r="F19" s="2" t="n">
        <v>0.9</v>
      </c>
    </row>
    <row r="20" customFormat="false" ht="23.85" hidden="false" customHeight="false" outlineLevel="0" collapsed="false">
      <c r="A20" s="2" t="s">
        <v>742</v>
      </c>
      <c r="B20" s="2" t="s">
        <v>749</v>
      </c>
      <c r="C20" s="2" t="s">
        <v>748</v>
      </c>
      <c r="D20" s="2" t="s">
        <v>40</v>
      </c>
      <c r="E20" s="2" t="s">
        <v>710</v>
      </c>
      <c r="F20" s="2" t="n">
        <v>0.6</v>
      </c>
    </row>
    <row r="21" customFormat="false" ht="15" hidden="false" customHeight="false" outlineLevel="0" collapsed="false">
      <c r="A21" s="2" t="s">
        <v>742</v>
      </c>
      <c r="B21" s="2" t="s">
        <v>750</v>
      </c>
      <c r="C21" s="2" t="s">
        <v>751</v>
      </c>
      <c r="D21" s="2" t="s">
        <v>40</v>
      </c>
      <c r="E21" s="2" t="s">
        <v>738</v>
      </c>
      <c r="F21" s="2" t="n">
        <v>0.8</v>
      </c>
    </row>
    <row r="22" customFormat="false" ht="15" hidden="false" customHeight="false" outlineLevel="0" collapsed="false">
      <c r="A22" s="2" t="s">
        <v>742</v>
      </c>
      <c r="B22" s="2" t="s">
        <v>752</v>
      </c>
      <c r="C22" s="2"/>
      <c r="D22" s="2" t="s">
        <v>40</v>
      </c>
      <c r="E22" s="2" t="s">
        <v>741</v>
      </c>
      <c r="F22" s="2" t="n">
        <v>0.6</v>
      </c>
    </row>
    <row r="23" customFormat="false" ht="23.85" hidden="false" customHeight="false" outlineLevel="0" collapsed="false">
      <c r="A23" s="2" t="s">
        <v>753</v>
      </c>
      <c r="B23" s="2" t="s">
        <v>754</v>
      </c>
      <c r="C23" s="2"/>
      <c r="D23" s="2" t="s">
        <v>40</v>
      </c>
      <c r="E23" s="2" t="s">
        <v>741</v>
      </c>
      <c r="F23" s="2" t="n">
        <v>0.4</v>
      </c>
    </row>
    <row r="24" customFormat="false" ht="15" hidden="false" customHeight="false" outlineLevel="0" collapsed="false">
      <c r="A24" s="2" t="s">
        <v>755</v>
      </c>
      <c r="B24" s="2" t="s">
        <v>756</v>
      </c>
      <c r="C24" s="2" t="s">
        <v>757</v>
      </c>
      <c r="D24" s="2" t="s">
        <v>40</v>
      </c>
      <c r="E24" s="2" t="s">
        <v>710</v>
      </c>
      <c r="F24" s="2" t="n">
        <v>0.8</v>
      </c>
    </row>
    <row r="25" customFormat="false" ht="15" hidden="false" customHeight="false" outlineLevel="0" collapsed="false">
      <c r="A25" s="2" t="s">
        <v>758</v>
      </c>
      <c r="B25" s="2" t="s">
        <v>759</v>
      </c>
      <c r="C25" s="2" t="s">
        <v>760</v>
      </c>
      <c r="D25" s="2" t="s">
        <v>40</v>
      </c>
      <c r="E25" s="2" t="s">
        <v>710</v>
      </c>
      <c r="F25" s="2" t="n">
        <v>0.7</v>
      </c>
    </row>
    <row r="26" customFormat="false" ht="15" hidden="false" customHeight="false" outlineLevel="0" collapsed="false">
      <c r="A26" s="2" t="s">
        <v>758</v>
      </c>
      <c r="B26" s="2" t="s">
        <v>761</v>
      </c>
      <c r="C26" s="2" t="s">
        <v>762</v>
      </c>
      <c r="D26" s="2" t="s">
        <v>40</v>
      </c>
      <c r="E26" s="2" t="s">
        <v>710</v>
      </c>
      <c r="F26" s="2" t="n">
        <v>0.65</v>
      </c>
    </row>
    <row r="27" customFormat="false" ht="15" hidden="false" customHeight="false" outlineLevel="0" collapsed="false">
      <c r="A27" s="2" t="s">
        <v>758</v>
      </c>
      <c r="B27" s="2" t="s">
        <v>763</v>
      </c>
      <c r="C27" s="2" t="s">
        <v>764</v>
      </c>
      <c r="D27" s="2" t="s">
        <v>40</v>
      </c>
      <c r="E27" s="2" t="s">
        <v>710</v>
      </c>
      <c r="F27" s="2" t="n">
        <v>0.5</v>
      </c>
    </row>
    <row r="28" customFormat="false" ht="15" hidden="false" customHeight="false" outlineLevel="0" collapsed="false">
      <c r="A28" s="2" t="s">
        <v>758</v>
      </c>
      <c r="B28" s="2" t="s">
        <v>765</v>
      </c>
      <c r="C28" s="2"/>
      <c r="D28" s="2" t="s">
        <v>40</v>
      </c>
      <c r="E28" s="2" t="s">
        <v>741</v>
      </c>
      <c r="F28" s="2" t="n">
        <v>0.5</v>
      </c>
    </row>
    <row r="29" customFormat="false" ht="15" hidden="false" customHeight="false" outlineLevel="0" collapsed="false">
      <c r="A29" s="2" t="s">
        <v>766</v>
      </c>
      <c r="B29" s="2" t="s">
        <v>767</v>
      </c>
      <c r="C29" s="2"/>
      <c r="D29" s="2" t="s">
        <v>40</v>
      </c>
      <c r="E29" s="2" t="s">
        <v>741</v>
      </c>
      <c r="F29" s="2" t="n">
        <v>0.5</v>
      </c>
    </row>
    <row r="30" customFormat="false" ht="23.85" hidden="false" customHeight="false" outlineLevel="0" collapsed="false">
      <c r="A30" s="2" t="s">
        <v>768</v>
      </c>
      <c r="B30" s="2" t="s">
        <v>769</v>
      </c>
      <c r="C30" s="2" t="s">
        <v>770</v>
      </c>
      <c r="D30" s="2" t="s">
        <v>40</v>
      </c>
      <c r="E30" s="2" t="s">
        <v>771</v>
      </c>
      <c r="F30" s="2" t="n">
        <v>0</v>
      </c>
    </row>
    <row r="31" customFormat="false" ht="15" hidden="false" customHeight="false" outlineLevel="0" collapsed="false">
      <c r="A31" s="2" t="s">
        <v>772</v>
      </c>
      <c r="B31" s="2" t="s">
        <v>773</v>
      </c>
      <c r="C31" s="2"/>
      <c r="D31" s="2" t="s">
        <v>40</v>
      </c>
      <c r="E31" s="2" t="s">
        <v>741</v>
      </c>
      <c r="F31" s="2" t="n">
        <v>0.7</v>
      </c>
    </row>
    <row r="32" customFormat="false" ht="23.85" hidden="false" customHeight="false" outlineLevel="0" collapsed="false">
      <c r="A32" s="2" t="s">
        <v>774</v>
      </c>
      <c r="B32" s="2" t="s">
        <v>775</v>
      </c>
      <c r="C32" s="2" t="s">
        <v>776</v>
      </c>
      <c r="D32" s="2" t="s">
        <v>40</v>
      </c>
      <c r="E32" s="2" t="s">
        <v>710</v>
      </c>
      <c r="F32" s="2" t="n">
        <v>0.8</v>
      </c>
    </row>
    <row r="33" customFormat="false" ht="15" hidden="false" customHeight="false" outlineLevel="0" collapsed="false">
      <c r="A33" s="2" t="s">
        <v>774</v>
      </c>
      <c r="B33" s="2" t="s">
        <v>777</v>
      </c>
      <c r="C33" s="2" t="s">
        <v>778</v>
      </c>
      <c r="D33" s="2" t="s">
        <v>40</v>
      </c>
      <c r="E33" s="2" t="s">
        <v>710</v>
      </c>
      <c r="F33" s="2" t="n">
        <v>0.75</v>
      </c>
    </row>
    <row r="34" customFormat="false" ht="15" hidden="false" customHeight="false" outlineLevel="0" collapsed="false">
      <c r="A34" s="2" t="s">
        <v>774</v>
      </c>
      <c r="B34" s="2" t="s">
        <v>779</v>
      </c>
      <c r="C34" s="2" t="s">
        <v>780</v>
      </c>
      <c r="D34" s="2" t="s">
        <v>40</v>
      </c>
      <c r="E34" s="2" t="s">
        <v>710</v>
      </c>
      <c r="F34" s="2" t="n">
        <v>0.6</v>
      </c>
    </row>
    <row r="35" customFormat="false" ht="15" hidden="false" customHeight="false" outlineLevel="0" collapsed="false">
      <c r="A35" s="2" t="s">
        <v>774</v>
      </c>
      <c r="B35" s="2" t="s">
        <v>781</v>
      </c>
      <c r="C35" s="2" t="s">
        <v>782</v>
      </c>
      <c r="D35" s="2" t="s">
        <v>40</v>
      </c>
      <c r="E35" s="2" t="s">
        <v>710</v>
      </c>
      <c r="F35" s="2" t="n">
        <v>0.75</v>
      </c>
    </row>
    <row r="36" customFormat="false" ht="15" hidden="false" customHeight="false" outlineLevel="0" collapsed="false">
      <c r="A36" s="2" t="s">
        <v>774</v>
      </c>
      <c r="B36" s="2" t="s">
        <v>783</v>
      </c>
      <c r="C36" s="2" t="s">
        <v>784</v>
      </c>
      <c r="D36" s="2" t="s">
        <v>40</v>
      </c>
      <c r="E36" s="2" t="s">
        <v>785</v>
      </c>
      <c r="F36" s="2" t="n">
        <v>0.8</v>
      </c>
    </row>
    <row r="37" customFormat="false" ht="15" hidden="false" customHeight="false" outlineLevel="0" collapsed="false">
      <c r="A37" s="2" t="s">
        <v>774</v>
      </c>
      <c r="B37" s="2" t="s">
        <v>786</v>
      </c>
      <c r="C37" s="2" t="s">
        <v>787</v>
      </c>
      <c r="D37" s="2" t="s">
        <v>40</v>
      </c>
      <c r="E37" s="2" t="s">
        <v>785</v>
      </c>
      <c r="F37" s="2" t="n">
        <v>0.8</v>
      </c>
    </row>
    <row r="38" customFormat="false" ht="23.85" hidden="false" customHeight="false" outlineLevel="0" collapsed="false">
      <c r="A38" s="2" t="s">
        <v>774</v>
      </c>
      <c r="B38" s="2" t="s">
        <v>788</v>
      </c>
      <c r="C38" s="2" t="s">
        <v>789</v>
      </c>
      <c r="D38" s="2" t="s">
        <v>40</v>
      </c>
      <c r="E38" s="2" t="s">
        <v>710</v>
      </c>
      <c r="F38" s="2" t="n">
        <v>0.85</v>
      </c>
    </row>
    <row r="39" customFormat="false" ht="15" hidden="false" customHeight="false" outlineLevel="0" collapsed="false">
      <c r="A39" s="2" t="s">
        <v>774</v>
      </c>
      <c r="B39" s="2" t="s">
        <v>790</v>
      </c>
      <c r="C39" s="2" t="s">
        <v>791</v>
      </c>
      <c r="D39" s="2" t="s">
        <v>40</v>
      </c>
      <c r="E39" s="2" t="s">
        <v>785</v>
      </c>
      <c r="F39" s="2" t="n">
        <v>0.6</v>
      </c>
    </row>
    <row r="40" customFormat="false" ht="15" hidden="false" customHeight="false" outlineLevel="0" collapsed="false">
      <c r="A40" s="2" t="s">
        <v>774</v>
      </c>
      <c r="B40" s="2" t="s">
        <v>792</v>
      </c>
      <c r="C40" s="2" t="s">
        <v>793</v>
      </c>
      <c r="D40" s="2" t="s">
        <v>40</v>
      </c>
      <c r="E40" s="2" t="s">
        <v>710</v>
      </c>
      <c r="F40" s="2" t="n">
        <v>0.7</v>
      </c>
    </row>
    <row r="41" customFormat="false" ht="15" hidden="false" customHeight="false" outlineLevel="0" collapsed="false">
      <c r="A41" s="2" t="s">
        <v>774</v>
      </c>
      <c r="B41" s="2" t="s">
        <v>794</v>
      </c>
      <c r="C41" s="2" t="s">
        <v>795</v>
      </c>
      <c r="D41" s="2" t="s">
        <v>40</v>
      </c>
      <c r="E41" s="2" t="s">
        <v>771</v>
      </c>
      <c r="F41" s="2" t="n">
        <v>0</v>
      </c>
    </row>
    <row r="42" customFormat="false" ht="15" hidden="false" customHeight="false" outlineLevel="0" collapsed="false">
      <c r="A42" s="2" t="s">
        <v>774</v>
      </c>
      <c r="B42" s="2" t="s">
        <v>796</v>
      </c>
      <c r="C42" s="2"/>
      <c r="D42" s="2" t="s">
        <v>40</v>
      </c>
      <c r="E42" s="2" t="s">
        <v>741</v>
      </c>
      <c r="F42" s="2" t="n">
        <v>0.65</v>
      </c>
    </row>
    <row r="43" customFormat="false" ht="23.85" hidden="false" customHeight="false" outlineLevel="0" collapsed="false">
      <c r="A43" s="2" t="s">
        <v>774</v>
      </c>
      <c r="B43" s="2" t="s">
        <v>797</v>
      </c>
      <c r="C43" s="2"/>
      <c r="D43" s="2" t="s">
        <v>40</v>
      </c>
      <c r="E43" s="2" t="s">
        <v>798</v>
      </c>
      <c r="F43" s="2" t="n">
        <v>0.6</v>
      </c>
    </row>
    <row r="44" customFormat="false" ht="15" hidden="false" customHeight="false" outlineLevel="0" collapsed="false">
      <c r="A44" s="2" t="s">
        <v>799</v>
      </c>
      <c r="B44" s="2" t="s">
        <v>800</v>
      </c>
      <c r="C44" s="2" t="s">
        <v>801</v>
      </c>
      <c r="D44" s="2" t="s">
        <v>40</v>
      </c>
      <c r="E44" s="2" t="s">
        <v>710</v>
      </c>
      <c r="F44" s="2" t="n">
        <v>0.6</v>
      </c>
    </row>
    <row r="45" customFormat="false" ht="15" hidden="false" customHeight="false" outlineLevel="0" collapsed="false">
      <c r="A45" s="2" t="s">
        <v>802</v>
      </c>
      <c r="B45" s="2" t="s">
        <v>803</v>
      </c>
      <c r="C45" s="2"/>
      <c r="D45" s="2" t="s">
        <v>40</v>
      </c>
      <c r="E45" s="2" t="s">
        <v>804</v>
      </c>
      <c r="F45" s="2" t="n">
        <v>0.95</v>
      </c>
    </row>
    <row r="46" customFormat="false" ht="15" hidden="false" customHeight="false" outlineLevel="0" collapsed="false">
      <c r="A46" s="2" t="s">
        <v>805</v>
      </c>
      <c r="B46" s="2" t="s">
        <v>806</v>
      </c>
      <c r="C46" s="2" t="s">
        <v>807</v>
      </c>
      <c r="D46" s="2" t="s">
        <v>40</v>
      </c>
      <c r="E46" s="2" t="s">
        <v>771</v>
      </c>
      <c r="F46" s="2" t="n">
        <v>0</v>
      </c>
    </row>
    <row r="47" customFormat="false" ht="15" hidden="false" customHeight="false" outlineLevel="0" collapsed="false">
      <c r="A47" s="2" t="s">
        <v>808</v>
      </c>
      <c r="B47" s="2" t="s">
        <v>809</v>
      </c>
      <c r="C47" s="2" t="s">
        <v>810</v>
      </c>
      <c r="D47" s="2" t="s">
        <v>40</v>
      </c>
      <c r="E47" s="2" t="s">
        <v>804</v>
      </c>
      <c r="F47" s="2" t="n">
        <v>0.95</v>
      </c>
    </row>
    <row r="48" customFormat="false" ht="23.85" hidden="false" customHeight="false" outlineLevel="0" collapsed="false">
      <c r="A48" s="2" t="s">
        <v>808</v>
      </c>
      <c r="B48" s="2" t="s">
        <v>811</v>
      </c>
      <c r="C48" s="2" t="s">
        <v>810</v>
      </c>
      <c r="D48" s="2" t="s">
        <v>40</v>
      </c>
      <c r="E48" s="2" t="s">
        <v>798</v>
      </c>
      <c r="F48" s="2" t="n">
        <v>0.7</v>
      </c>
    </row>
    <row r="49" customFormat="false" ht="15" hidden="false" customHeight="false" outlineLevel="0" collapsed="false">
      <c r="A49" s="2" t="s">
        <v>808</v>
      </c>
      <c r="B49" s="2" t="s">
        <v>812</v>
      </c>
      <c r="C49" s="2" t="s">
        <v>810</v>
      </c>
      <c r="D49" s="2" t="s">
        <v>40</v>
      </c>
      <c r="E49" s="2" t="s">
        <v>771</v>
      </c>
      <c r="F49" s="2" t="n">
        <v>0</v>
      </c>
    </row>
    <row r="50" customFormat="false" ht="23.85" hidden="false" customHeight="false" outlineLevel="0" collapsed="false">
      <c r="A50" s="2" t="s">
        <v>813</v>
      </c>
      <c r="B50" s="2" t="s">
        <v>814</v>
      </c>
      <c r="C50" s="2" t="s">
        <v>815</v>
      </c>
      <c r="D50" s="2" t="s">
        <v>40</v>
      </c>
      <c r="E50" s="2" t="s">
        <v>771</v>
      </c>
      <c r="F50" s="2" t="n">
        <v>0</v>
      </c>
    </row>
    <row r="51" customFormat="false" ht="23.85" hidden="false" customHeight="false" outlineLevel="0" collapsed="false">
      <c r="A51" s="2" t="s">
        <v>813</v>
      </c>
      <c r="B51" s="2" t="s">
        <v>816</v>
      </c>
      <c r="C51" s="2" t="s">
        <v>817</v>
      </c>
      <c r="D51" s="2" t="s">
        <v>40</v>
      </c>
      <c r="E51" s="2" t="s">
        <v>798</v>
      </c>
      <c r="F51" s="2" t="n">
        <v>0.6</v>
      </c>
    </row>
    <row r="52" customFormat="false" ht="15" hidden="false" customHeight="false" outlineLevel="0" collapsed="false">
      <c r="A52" s="2" t="s">
        <v>818</v>
      </c>
      <c r="B52" s="2" t="s">
        <v>819</v>
      </c>
      <c r="C52" s="2" t="s">
        <v>820</v>
      </c>
      <c r="D52" s="2" t="s">
        <v>40</v>
      </c>
      <c r="E52" s="2" t="s">
        <v>771</v>
      </c>
      <c r="F52" s="2" t="n">
        <v>0</v>
      </c>
    </row>
    <row r="53" customFormat="false" ht="15" hidden="false" customHeight="false" outlineLevel="0" collapsed="false">
      <c r="A53" s="2" t="s">
        <v>818</v>
      </c>
      <c r="B53" s="2" t="s">
        <v>821</v>
      </c>
      <c r="C53" s="2" t="s">
        <v>822</v>
      </c>
      <c r="D53" s="2" t="s">
        <v>40</v>
      </c>
      <c r="E53" s="2" t="s">
        <v>804</v>
      </c>
      <c r="F53" s="2" t="n">
        <v>0.9</v>
      </c>
    </row>
    <row r="54" customFormat="false" ht="15" hidden="false" customHeight="false" outlineLevel="0" collapsed="false">
      <c r="A54" s="2" t="s">
        <v>823</v>
      </c>
      <c r="B54" s="2" t="s">
        <v>824</v>
      </c>
      <c r="C54" s="2" t="s">
        <v>825</v>
      </c>
      <c r="D54" s="2" t="s">
        <v>40</v>
      </c>
      <c r="E54" s="2" t="s">
        <v>771</v>
      </c>
      <c r="F54" s="2" t="n">
        <v>0</v>
      </c>
    </row>
    <row r="55" customFormat="false" ht="15" hidden="false" customHeight="false" outlineLevel="0" collapsed="false">
      <c r="A55" s="2" t="s">
        <v>826</v>
      </c>
      <c r="B55" s="2" t="s">
        <v>827</v>
      </c>
      <c r="C55" s="2"/>
      <c r="D55" s="2" t="s">
        <v>40</v>
      </c>
      <c r="E55" s="2" t="s">
        <v>741</v>
      </c>
      <c r="F55" s="2" t="n">
        <v>0.7</v>
      </c>
    </row>
    <row r="56" customFormat="false" ht="15" hidden="false" customHeight="false" outlineLevel="0" collapsed="false">
      <c r="A56" s="2" t="s">
        <v>828</v>
      </c>
      <c r="B56" s="2" t="s">
        <v>829</v>
      </c>
      <c r="C56" s="2"/>
      <c r="D56" s="2" t="s">
        <v>40</v>
      </c>
      <c r="E56" s="2" t="s">
        <v>798</v>
      </c>
      <c r="F56" s="2" t="n">
        <v>0.65</v>
      </c>
    </row>
    <row r="57" customFormat="false" ht="23.85" hidden="false" customHeight="false" outlineLevel="0" collapsed="false">
      <c r="A57" s="2" t="s">
        <v>830</v>
      </c>
      <c r="B57" s="2" t="s">
        <v>831</v>
      </c>
      <c r="C57" s="2" t="s">
        <v>832</v>
      </c>
      <c r="D57" s="2" t="s">
        <v>40</v>
      </c>
      <c r="E57" s="2" t="s">
        <v>710</v>
      </c>
      <c r="F57" s="2" t="n">
        <v>0.85</v>
      </c>
    </row>
    <row r="58" customFormat="false" ht="23.85" hidden="false" customHeight="false" outlineLevel="0" collapsed="false">
      <c r="A58" s="2" t="s">
        <v>830</v>
      </c>
      <c r="B58" s="2" t="s">
        <v>833</v>
      </c>
      <c r="C58" s="2" t="s">
        <v>834</v>
      </c>
      <c r="D58" s="2" t="s">
        <v>40</v>
      </c>
      <c r="E58" s="2" t="s">
        <v>710</v>
      </c>
      <c r="F58" s="2" t="n">
        <v>0.8</v>
      </c>
    </row>
    <row r="59" customFormat="false" ht="15" hidden="false" customHeight="false" outlineLevel="0" collapsed="false">
      <c r="A59" s="2" t="s">
        <v>830</v>
      </c>
      <c r="B59" s="2" t="s">
        <v>835</v>
      </c>
      <c r="C59" s="2" t="s">
        <v>836</v>
      </c>
      <c r="D59" s="2" t="s">
        <v>40</v>
      </c>
      <c r="E59" s="2" t="s">
        <v>710</v>
      </c>
      <c r="F59" s="2" t="n">
        <v>0.85</v>
      </c>
    </row>
    <row r="60" customFormat="false" ht="15" hidden="false" customHeight="false" outlineLevel="0" collapsed="false">
      <c r="A60" s="2" t="s">
        <v>830</v>
      </c>
      <c r="B60" s="2" t="s">
        <v>837</v>
      </c>
      <c r="C60" s="2" t="s">
        <v>838</v>
      </c>
      <c r="D60" s="2" t="s">
        <v>40</v>
      </c>
      <c r="E60" s="2" t="s">
        <v>710</v>
      </c>
      <c r="F60" s="2" t="n">
        <v>0.7</v>
      </c>
    </row>
    <row r="61" customFormat="false" ht="23.85" hidden="false" customHeight="false" outlineLevel="0" collapsed="false">
      <c r="A61" s="2" t="s">
        <v>839</v>
      </c>
      <c r="B61" s="2" t="s">
        <v>840</v>
      </c>
      <c r="C61" s="2" t="s">
        <v>841</v>
      </c>
      <c r="D61" s="2" t="s">
        <v>40</v>
      </c>
      <c r="E61" s="2" t="s">
        <v>710</v>
      </c>
      <c r="F61" s="2" t="n">
        <v>0.8</v>
      </c>
    </row>
    <row r="62" customFormat="false" ht="23.85" hidden="false" customHeight="false" outlineLevel="0" collapsed="false">
      <c r="A62" s="2" t="s">
        <v>842</v>
      </c>
      <c r="B62" s="2" t="s">
        <v>843</v>
      </c>
      <c r="C62" s="2"/>
      <c r="D62" s="2" t="s">
        <v>40</v>
      </c>
      <c r="E62" s="2" t="s">
        <v>741</v>
      </c>
      <c r="F62" s="2" t="n">
        <v>0.4</v>
      </c>
    </row>
  </sheetData>
  <autoFilter ref="A3:F6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11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3" t="s">
        <v>4</v>
      </c>
      <c r="B1" s="3" t="s">
        <v>844</v>
      </c>
      <c r="C1" s="3" t="s">
        <v>704</v>
      </c>
      <c r="D1" s="3" t="s">
        <v>22</v>
      </c>
      <c r="E1" s="3" t="s">
        <v>705</v>
      </c>
    </row>
    <row r="2" customFormat="false" ht="15" hidden="false" customHeight="false" outlineLevel="0" collapsed="false">
      <c r="A2" s="2" t="s">
        <v>23</v>
      </c>
      <c r="B2" s="2" t="s">
        <v>26</v>
      </c>
      <c r="C2" s="2" t="s">
        <v>845</v>
      </c>
      <c r="D2" s="2" t="s">
        <v>40</v>
      </c>
      <c r="E2" s="2" t="s">
        <v>39</v>
      </c>
    </row>
    <row r="3" customFormat="false" ht="15" hidden="false" customHeight="false" outlineLevel="0" collapsed="false">
      <c r="A3" s="2" t="s">
        <v>23</v>
      </c>
      <c r="B3" s="2" t="s">
        <v>26</v>
      </c>
      <c r="C3" s="2" t="s">
        <v>846</v>
      </c>
      <c r="D3" s="2" t="s">
        <v>40</v>
      </c>
      <c r="E3" s="2" t="s">
        <v>39</v>
      </c>
    </row>
    <row r="4" customFormat="false" ht="15" hidden="false" customHeight="false" outlineLevel="0" collapsed="false">
      <c r="A4" s="2" t="s">
        <v>23</v>
      </c>
      <c r="B4" s="2" t="s">
        <v>26</v>
      </c>
      <c r="C4" s="2" t="s">
        <v>847</v>
      </c>
      <c r="D4" s="2" t="s">
        <v>40</v>
      </c>
      <c r="E4" s="2" t="s">
        <v>39</v>
      </c>
    </row>
    <row r="5" customFormat="false" ht="23.85" hidden="false" customHeight="false" outlineLevel="0" collapsed="false">
      <c r="A5" s="2" t="s">
        <v>23</v>
      </c>
      <c r="B5" s="2" t="s">
        <v>26</v>
      </c>
      <c r="C5" s="2" t="s">
        <v>848</v>
      </c>
      <c r="D5" s="2" t="s">
        <v>40</v>
      </c>
      <c r="E5" s="2" t="s">
        <v>39</v>
      </c>
    </row>
    <row r="6" customFormat="false" ht="15" hidden="false" customHeight="false" outlineLevel="0" collapsed="false">
      <c r="A6" s="2" t="s">
        <v>23</v>
      </c>
      <c r="B6" s="2" t="s">
        <v>41</v>
      </c>
      <c r="C6" s="2" t="s">
        <v>845</v>
      </c>
      <c r="D6" s="2" t="s">
        <v>40</v>
      </c>
      <c r="E6" s="2" t="s">
        <v>39</v>
      </c>
    </row>
    <row r="7" customFormat="false" ht="15" hidden="false" customHeight="false" outlineLevel="0" collapsed="false">
      <c r="A7" s="2" t="s">
        <v>23</v>
      </c>
      <c r="B7" s="2" t="s">
        <v>41</v>
      </c>
      <c r="C7" s="2" t="s">
        <v>849</v>
      </c>
      <c r="D7" s="2" t="s">
        <v>40</v>
      </c>
      <c r="E7" s="2" t="s">
        <v>39</v>
      </c>
    </row>
    <row r="8" customFormat="false" ht="23.85" hidden="false" customHeight="false" outlineLevel="0" collapsed="false">
      <c r="A8" s="2" t="s">
        <v>23</v>
      </c>
      <c r="B8" s="2" t="s">
        <v>41</v>
      </c>
      <c r="C8" s="2" t="s">
        <v>850</v>
      </c>
      <c r="D8" s="2" t="s">
        <v>40</v>
      </c>
      <c r="E8" s="2" t="s">
        <v>39</v>
      </c>
    </row>
    <row r="9" customFormat="false" ht="15" hidden="false" customHeight="false" outlineLevel="0" collapsed="false">
      <c r="A9" s="2" t="s">
        <v>51</v>
      </c>
      <c r="B9" s="2" t="s">
        <v>26</v>
      </c>
      <c r="C9" s="2" t="s">
        <v>851</v>
      </c>
      <c r="D9" s="2" t="s">
        <v>40</v>
      </c>
      <c r="E9" s="2" t="s">
        <v>65</v>
      </c>
    </row>
    <row r="10" customFormat="false" ht="15" hidden="false" customHeight="false" outlineLevel="0" collapsed="false">
      <c r="A10" s="2" t="s">
        <v>51</v>
      </c>
      <c r="B10" s="2" t="s">
        <v>26</v>
      </c>
      <c r="C10" s="2" t="s">
        <v>852</v>
      </c>
      <c r="D10" s="2" t="s">
        <v>40</v>
      </c>
      <c r="E10" s="2" t="s">
        <v>65</v>
      </c>
    </row>
    <row r="11" customFormat="false" ht="15" hidden="false" customHeight="false" outlineLevel="0" collapsed="false">
      <c r="A11" s="2" t="s">
        <v>66</v>
      </c>
      <c r="B11" s="2" t="s">
        <v>69</v>
      </c>
      <c r="C11" s="2" t="s">
        <v>853</v>
      </c>
      <c r="D11" s="2" t="s">
        <v>40</v>
      </c>
      <c r="E11" s="2" t="s">
        <v>80</v>
      </c>
    </row>
    <row r="12" customFormat="false" ht="23.85" hidden="false" customHeight="false" outlineLevel="0" collapsed="false">
      <c r="A12" s="2" t="s">
        <v>66</v>
      </c>
      <c r="B12" s="2" t="s">
        <v>69</v>
      </c>
      <c r="C12" s="2" t="s">
        <v>854</v>
      </c>
      <c r="D12" s="2" t="s">
        <v>40</v>
      </c>
      <c r="E12" s="2" t="s">
        <v>80</v>
      </c>
    </row>
    <row r="13" customFormat="false" ht="15" hidden="false" customHeight="false" outlineLevel="0" collapsed="false">
      <c r="A13" s="2" t="s">
        <v>66</v>
      </c>
      <c r="B13" s="2" t="s">
        <v>69</v>
      </c>
      <c r="C13" s="2" t="s">
        <v>855</v>
      </c>
      <c r="D13" s="2" t="s">
        <v>40</v>
      </c>
      <c r="E13" s="2" t="s">
        <v>80</v>
      </c>
    </row>
    <row r="14" customFormat="false" ht="23.85" hidden="false" customHeight="false" outlineLevel="0" collapsed="false">
      <c r="A14" s="2" t="s">
        <v>66</v>
      </c>
      <c r="B14" s="2" t="s">
        <v>69</v>
      </c>
      <c r="C14" s="2" t="s">
        <v>856</v>
      </c>
      <c r="D14" s="2" t="s">
        <v>40</v>
      </c>
      <c r="E14" s="2" t="s">
        <v>80</v>
      </c>
    </row>
    <row r="15" customFormat="false" ht="23.85" hidden="false" customHeight="false" outlineLevel="0" collapsed="false">
      <c r="A15" s="2" t="s">
        <v>66</v>
      </c>
      <c r="B15" s="2" t="s">
        <v>69</v>
      </c>
      <c r="C15" s="2" t="s">
        <v>857</v>
      </c>
      <c r="D15" s="2" t="s">
        <v>40</v>
      </c>
      <c r="E15" s="2" t="s">
        <v>80</v>
      </c>
    </row>
    <row r="16" customFormat="false" ht="15" hidden="false" customHeight="false" outlineLevel="0" collapsed="false">
      <c r="A16" s="2" t="s">
        <v>81</v>
      </c>
      <c r="B16" s="2" t="s">
        <v>69</v>
      </c>
      <c r="C16" s="2" t="s">
        <v>858</v>
      </c>
      <c r="D16" s="2" t="s">
        <v>40</v>
      </c>
      <c r="E16" s="2" t="s">
        <v>39</v>
      </c>
    </row>
    <row r="17" customFormat="false" ht="15" hidden="false" customHeight="false" outlineLevel="0" collapsed="false">
      <c r="A17" s="2" t="s">
        <v>81</v>
      </c>
      <c r="B17" s="2" t="s">
        <v>69</v>
      </c>
      <c r="C17" s="2" t="s">
        <v>859</v>
      </c>
      <c r="D17" s="2" t="s">
        <v>40</v>
      </c>
      <c r="E17" s="2" t="s">
        <v>39</v>
      </c>
    </row>
    <row r="18" customFormat="false" ht="23.85" hidden="false" customHeight="false" outlineLevel="0" collapsed="false">
      <c r="A18" s="2" t="s">
        <v>95</v>
      </c>
      <c r="B18" s="2" t="s">
        <v>97</v>
      </c>
      <c r="C18" s="2" t="s">
        <v>860</v>
      </c>
      <c r="D18" s="2" t="s">
        <v>40</v>
      </c>
      <c r="E18" s="2" t="s">
        <v>39</v>
      </c>
    </row>
    <row r="19" customFormat="false" ht="15" hidden="false" customHeight="false" outlineLevel="0" collapsed="false">
      <c r="A19" s="2" t="s">
        <v>95</v>
      </c>
      <c r="B19" s="2" t="s">
        <v>97</v>
      </c>
      <c r="C19" s="2" t="s">
        <v>861</v>
      </c>
      <c r="D19" s="2" t="s">
        <v>40</v>
      </c>
      <c r="E19" s="2" t="s">
        <v>39</v>
      </c>
    </row>
    <row r="20" customFormat="false" ht="23.85" hidden="false" customHeight="false" outlineLevel="0" collapsed="false">
      <c r="A20" s="2" t="s">
        <v>95</v>
      </c>
      <c r="B20" s="2" t="s">
        <v>97</v>
      </c>
      <c r="C20" s="2" t="s">
        <v>862</v>
      </c>
      <c r="D20" s="2" t="s">
        <v>40</v>
      </c>
      <c r="E20" s="2" t="s">
        <v>39</v>
      </c>
    </row>
    <row r="21" customFormat="false" ht="15" hidden="false" customHeight="false" outlineLevel="0" collapsed="false">
      <c r="A21" s="2" t="s">
        <v>95</v>
      </c>
      <c r="B21" s="2" t="s">
        <v>97</v>
      </c>
      <c r="C21" s="2" t="s">
        <v>863</v>
      </c>
      <c r="D21" s="2" t="s">
        <v>40</v>
      </c>
      <c r="E21" s="2" t="s">
        <v>39</v>
      </c>
    </row>
    <row r="22" customFormat="false" ht="15" hidden="false" customHeight="false" outlineLevel="0" collapsed="false">
      <c r="A22" s="2" t="s">
        <v>95</v>
      </c>
      <c r="B22" s="2" t="s">
        <v>97</v>
      </c>
      <c r="C22" s="2" t="s">
        <v>864</v>
      </c>
      <c r="D22" s="2" t="s">
        <v>40</v>
      </c>
      <c r="E22" s="2" t="s">
        <v>39</v>
      </c>
    </row>
    <row r="23" customFormat="false" ht="15" hidden="false" customHeight="false" outlineLevel="0" collapsed="false">
      <c r="A23" s="2" t="s">
        <v>95</v>
      </c>
      <c r="B23" s="2" t="s">
        <v>97</v>
      </c>
      <c r="C23" s="2" t="s">
        <v>865</v>
      </c>
      <c r="D23" s="2" t="s">
        <v>40</v>
      </c>
      <c r="E23" s="2" t="s">
        <v>39</v>
      </c>
    </row>
    <row r="24" customFormat="false" ht="15" hidden="false" customHeight="false" outlineLevel="0" collapsed="false">
      <c r="A24" s="2" t="s">
        <v>95</v>
      </c>
      <c r="B24" s="2" t="s">
        <v>110</v>
      </c>
      <c r="C24" s="2" t="s">
        <v>863</v>
      </c>
      <c r="D24" s="2" t="s">
        <v>40</v>
      </c>
      <c r="E24" s="2" t="s">
        <v>39</v>
      </c>
    </row>
    <row r="25" customFormat="false" ht="23.85" hidden="false" customHeight="false" outlineLevel="0" collapsed="false">
      <c r="A25" s="2" t="s">
        <v>95</v>
      </c>
      <c r="B25" s="2" t="s">
        <v>110</v>
      </c>
      <c r="C25" s="2" t="s">
        <v>862</v>
      </c>
      <c r="D25" s="2" t="s">
        <v>40</v>
      </c>
      <c r="E25" s="2" t="s">
        <v>39</v>
      </c>
    </row>
    <row r="26" customFormat="false" ht="15" hidden="false" customHeight="false" outlineLevel="0" collapsed="false">
      <c r="A26" s="2" t="s">
        <v>120</v>
      </c>
      <c r="B26" s="2" t="s">
        <v>122</v>
      </c>
      <c r="C26" s="2" t="s">
        <v>866</v>
      </c>
      <c r="D26" s="2" t="s">
        <v>40</v>
      </c>
      <c r="E26" s="2" t="s">
        <v>39</v>
      </c>
    </row>
    <row r="27" customFormat="false" ht="23.85" hidden="false" customHeight="false" outlineLevel="0" collapsed="false">
      <c r="A27" s="2" t="s">
        <v>120</v>
      </c>
      <c r="B27" s="2" t="s">
        <v>122</v>
      </c>
      <c r="C27" s="2" t="s">
        <v>867</v>
      </c>
      <c r="D27" s="2" t="s">
        <v>40</v>
      </c>
      <c r="E27" s="2" t="s">
        <v>39</v>
      </c>
    </row>
    <row r="28" customFormat="false" ht="23.85" hidden="false" customHeight="false" outlineLevel="0" collapsed="false">
      <c r="A28" s="2" t="s">
        <v>120</v>
      </c>
      <c r="B28" s="2" t="s">
        <v>122</v>
      </c>
      <c r="C28" s="2" t="s">
        <v>868</v>
      </c>
      <c r="D28" s="2" t="s">
        <v>40</v>
      </c>
      <c r="E28" s="2" t="s">
        <v>39</v>
      </c>
    </row>
    <row r="29" customFormat="false" ht="15" hidden="false" customHeight="false" outlineLevel="0" collapsed="false">
      <c r="A29" s="2" t="s">
        <v>120</v>
      </c>
      <c r="B29" s="2" t="s">
        <v>122</v>
      </c>
      <c r="C29" s="2" t="s">
        <v>869</v>
      </c>
      <c r="D29" s="2" t="s">
        <v>40</v>
      </c>
      <c r="E29" s="2" t="s">
        <v>39</v>
      </c>
    </row>
    <row r="30" customFormat="false" ht="23.85" hidden="false" customHeight="false" outlineLevel="0" collapsed="false">
      <c r="A30" s="2" t="s">
        <v>133</v>
      </c>
      <c r="B30" s="2" t="s">
        <v>135</v>
      </c>
      <c r="C30" s="2" t="s">
        <v>870</v>
      </c>
      <c r="D30" s="2" t="s">
        <v>40</v>
      </c>
      <c r="E30" s="2" t="s">
        <v>39</v>
      </c>
    </row>
    <row r="31" customFormat="false" ht="23.85" hidden="false" customHeight="false" outlineLevel="0" collapsed="false">
      <c r="A31" s="2" t="s">
        <v>133</v>
      </c>
      <c r="B31" s="2" t="s">
        <v>135</v>
      </c>
      <c r="C31" s="2" t="s">
        <v>871</v>
      </c>
      <c r="D31" s="2" t="s">
        <v>40</v>
      </c>
      <c r="E31" s="2" t="s">
        <v>39</v>
      </c>
    </row>
    <row r="32" customFormat="false" ht="15" hidden="false" customHeight="false" outlineLevel="0" collapsed="false">
      <c r="A32" s="2" t="s">
        <v>133</v>
      </c>
      <c r="B32" s="2" t="s">
        <v>135</v>
      </c>
      <c r="C32" s="2" t="s">
        <v>872</v>
      </c>
      <c r="D32" s="2" t="s">
        <v>40</v>
      </c>
      <c r="E32" s="2" t="s">
        <v>39</v>
      </c>
    </row>
    <row r="33" customFormat="false" ht="15" hidden="false" customHeight="false" outlineLevel="0" collapsed="false">
      <c r="A33" s="2" t="s">
        <v>145</v>
      </c>
      <c r="B33" s="2" t="s">
        <v>147</v>
      </c>
      <c r="C33" s="2" t="s">
        <v>873</v>
      </c>
      <c r="D33" s="2" t="s">
        <v>40</v>
      </c>
      <c r="E33" s="2" t="s">
        <v>39</v>
      </c>
    </row>
    <row r="34" customFormat="false" ht="23.85" hidden="false" customHeight="false" outlineLevel="0" collapsed="false">
      <c r="A34" s="2" t="s">
        <v>145</v>
      </c>
      <c r="B34" s="2" t="s">
        <v>147</v>
      </c>
      <c r="C34" s="2" t="s">
        <v>874</v>
      </c>
      <c r="D34" s="2" t="s">
        <v>40</v>
      </c>
      <c r="E34" s="2" t="s">
        <v>39</v>
      </c>
    </row>
    <row r="35" customFormat="false" ht="15" hidden="false" customHeight="false" outlineLevel="0" collapsed="false">
      <c r="A35" s="2" t="s">
        <v>145</v>
      </c>
      <c r="B35" s="2" t="s">
        <v>147</v>
      </c>
      <c r="C35" s="2" t="s">
        <v>875</v>
      </c>
      <c r="D35" s="2" t="s">
        <v>40</v>
      </c>
      <c r="E35" s="2" t="s">
        <v>39</v>
      </c>
    </row>
    <row r="36" customFormat="false" ht="23.85" hidden="false" customHeight="false" outlineLevel="0" collapsed="false">
      <c r="A36" s="2" t="s">
        <v>145</v>
      </c>
      <c r="B36" s="2" t="s">
        <v>147</v>
      </c>
      <c r="C36" s="2" t="s">
        <v>162</v>
      </c>
      <c r="D36" s="2" t="s">
        <v>40</v>
      </c>
      <c r="E36" s="2" t="s">
        <v>39</v>
      </c>
    </row>
    <row r="37" customFormat="false" ht="23.85" hidden="false" customHeight="false" outlineLevel="0" collapsed="false">
      <c r="A37" s="2" t="s">
        <v>145</v>
      </c>
      <c r="B37" s="2" t="s">
        <v>159</v>
      </c>
      <c r="C37" s="2" t="s">
        <v>162</v>
      </c>
      <c r="D37" s="2" t="s">
        <v>40</v>
      </c>
      <c r="E37" s="2" t="s">
        <v>39</v>
      </c>
    </row>
    <row r="38" customFormat="false" ht="23.85" hidden="false" customHeight="false" outlineLevel="0" collapsed="false">
      <c r="A38" s="2" t="s">
        <v>169</v>
      </c>
      <c r="B38" s="2" t="s">
        <v>171</v>
      </c>
      <c r="C38" s="2" t="s">
        <v>876</v>
      </c>
      <c r="D38" s="2" t="s">
        <v>40</v>
      </c>
      <c r="E38" s="2" t="s">
        <v>39</v>
      </c>
    </row>
    <row r="39" customFormat="false" ht="15" hidden="false" customHeight="false" outlineLevel="0" collapsed="false">
      <c r="A39" s="2" t="s">
        <v>169</v>
      </c>
      <c r="B39" s="2" t="s">
        <v>171</v>
      </c>
      <c r="C39" s="2" t="s">
        <v>877</v>
      </c>
      <c r="D39" s="2" t="s">
        <v>40</v>
      </c>
      <c r="E39" s="2" t="s">
        <v>39</v>
      </c>
    </row>
    <row r="40" customFormat="false" ht="23.85" hidden="false" customHeight="false" outlineLevel="0" collapsed="false">
      <c r="A40" s="2" t="s">
        <v>169</v>
      </c>
      <c r="B40" s="2" t="s">
        <v>171</v>
      </c>
      <c r="C40" s="2" t="s">
        <v>878</v>
      </c>
      <c r="D40" s="2" t="s">
        <v>40</v>
      </c>
      <c r="E40" s="2" t="s">
        <v>39</v>
      </c>
    </row>
    <row r="41" customFormat="false" ht="23.85" hidden="false" customHeight="false" outlineLevel="0" collapsed="false">
      <c r="A41" s="2" t="s">
        <v>169</v>
      </c>
      <c r="B41" s="2" t="s">
        <v>171</v>
      </c>
      <c r="C41" s="2" t="s">
        <v>834</v>
      </c>
      <c r="D41" s="2" t="s">
        <v>40</v>
      </c>
      <c r="E41" s="2" t="s">
        <v>39</v>
      </c>
    </row>
    <row r="42" customFormat="false" ht="23.85" hidden="false" customHeight="false" outlineLevel="0" collapsed="false">
      <c r="A42" s="2" t="s">
        <v>169</v>
      </c>
      <c r="B42" s="2" t="s">
        <v>171</v>
      </c>
      <c r="C42" s="2" t="s">
        <v>879</v>
      </c>
      <c r="D42" s="2" t="s">
        <v>40</v>
      </c>
      <c r="E42" s="2" t="s">
        <v>39</v>
      </c>
    </row>
    <row r="43" customFormat="false" ht="15" hidden="false" customHeight="false" outlineLevel="0" collapsed="false">
      <c r="A43" s="2" t="s">
        <v>169</v>
      </c>
      <c r="B43" s="2" t="s">
        <v>171</v>
      </c>
      <c r="C43" s="2" t="s">
        <v>880</v>
      </c>
      <c r="D43" s="2" t="s">
        <v>40</v>
      </c>
      <c r="E43" s="2" t="s">
        <v>39</v>
      </c>
    </row>
    <row r="44" customFormat="false" ht="15" hidden="false" customHeight="false" outlineLevel="0" collapsed="false">
      <c r="A44" s="2" t="s">
        <v>182</v>
      </c>
      <c r="B44" s="2" t="s">
        <v>184</v>
      </c>
      <c r="C44" s="2" t="s">
        <v>881</v>
      </c>
      <c r="D44" s="2" t="s">
        <v>40</v>
      </c>
      <c r="E44" s="2" t="s">
        <v>39</v>
      </c>
    </row>
    <row r="45" customFormat="false" ht="23.85" hidden="false" customHeight="false" outlineLevel="0" collapsed="false">
      <c r="A45" s="2" t="s">
        <v>182</v>
      </c>
      <c r="B45" s="2" t="s">
        <v>184</v>
      </c>
      <c r="C45" s="2" t="s">
        <v>882</v>
      </c>
      <c r="D45" s="2" t="s">
        <v>40</v>
      </c>
      <c r="E45" s="2" t="s">
        <v>39</v>
      </c>
    </row>
    <row r="46" customFormat="false" ht="23.85" hidden="false" customHeight="false" outlineLevel="0" collapsed="false">
      <c r="A46" s="2" t="s">
        <v>182</v>
      </c>
      <c r="B46" s="2" t="s">
        <v>184</v>
      </c>
      <c r="C46" s="2" t="s">
        <v>883</v>
      </c>
      <c r="D46" s="2" t="s">
        <v>40</v>
      </c>
      <c r="E46" s="2" t="s">
        <v>39</v>
      </c>
    </row>
    <row r="47" customFormat="false" ht="15" hidden="false" customHeight="false" outlineLevel="0" collapsed="false">
      <c r="A47" s="2" t="s">
        <v>182</v>
      </c>
      <c r="B47" s="2" t="s">
        <v>184</v>
      </c>
      <c r="C47" s="2" t="s">
        <v>884</v>
      </c>
      <c r="D47" s="2" t="s">
        <v>40</v>
      </c>
      <c r="E47" s="2" t="s">
        <v>39</v>
      </c>
    </row>
    <row r="48" customFormat="false" ht="23.85" hidden="false" customHeight="false" outlineLevel="0" collapsed="false">
      <c r="A48" s="2" t="s">
        <v>196</v>
      </c>
      <c r="B48" s="2" t="s">
        <v>199</v>
      </c>
      <c r="C48" s="2" t="s">
        <v>885</v>
      </c>
      <c r="D48" s="2" t="s">
        <v>40</v>
      </c>
      <c r="E48" s="2" t="s">
        <v>39</v>
      </c>
    </row>
    <row r="49" customFormat="false" ht="15" hidden="false" customHeight="false" outlineLevel="0" collapsed="false">
      <c r="A49" s="2" t="s">
        <v>196</v>
      </c>
      <c r="B49" s="2" t="s">
        <v>199</v>
      </c>
      <c r="C49" s="2" t="s">
        <v>886</v>
      </c>
      <c r="D49" s="2" t="s">
        <v>40</v>
      </c>
      <c r="E49" s="2" t="s">
        <v>39</v>
      </c>
    </row>
    <row r="50" customFormat="false" ht="23.85" hidden="false" customHeight="false" outlineLevel="0" collapsed="false">
      <c r="A50" s="2" t="s">
        <v>196</v>
      </c>
      <c r="B50" s="2" t="s">
        <v>199</v>
      </c>
      <c r="C50" s="2" t="s">
        <v>887</v>
      </c>
      <c r="D50" s="2" t="s">
        <v>40</v>
      </c>
      <c r="E50" s="2" t="s">
        <v>39</v>
      </c>
    </row>
    <row r="51" customFormat="false" ht="15" hidden="false" customHeight="false" outlineLevel="0" collapsed="false">
      <c r="A51" s="2" t="s">
        <v>196</v>
      </c>
      <c r="B51" s="2" t="s">
        <v>199</v>
      </c>
      <c r="C51" s="2" t="s">
        <v>888</v>
      </c>
      <c r="D51" s="2" t="s">
        <v>40</v>
      </c>
      <c r="E51" s="2" t="s">
        <v>39</v>
      </c>
    </row>
    <row r="52" customFormat="false" ht="23.85" hidden="false" customHeight="false" outlineLevel="0" collapsed="false">
      <c r="A52" s="2" t="s">
        <v>196</v>
      </c>
      <c r="B52" s="2" t="s">
        <v>209</v>
      </c>
      <c r="C52" s="2" t="s">
        <v>885</v>
      </c>
      <c r="D52" s="2" t="s">
        <v>40</v>
      </c>
      <c r="E52" s="2" t="s">
        <v>39</v>
      </c>
    </row>
    <row r="53" customFormat="false" ht="15" hidden="false" customHeight="false" outlineLevel="0" collapsed="false">
      <c r="A53" s="2" t="s">
        <v>196</v>
      </c>
      <c r="B53" s="2" t="s">
        <v>209</v>
      </c>
      <c r="C53" s="2" t="s">
        <v>889</v>
      </c>
      <c r="D53" s="2" t="s">
        <v>40</v>
      </c>
      <c r="E53" s="2" t="s">
        <v>39</v>
      </c>
    </row>
    <row r="54" customFormat="false" ht="23.85" hidden="false" customHeight="false" outlineLevel="0" collapsed="false">
      <c r="A54" s="2" t="s">
        <v>196</v>
      </c>
      <c r="B54" s="2" t="s">
        <v>209</v>
      </c>
      <c r="C54" s="2" t="s">
        <v>890</v>
      </c>
      <c r="D54" s="2" t="s">
        <v>40</v>
      </c>
      <c r="E54" s="2" t="s">
        <v>39</v>
      </c>
    </row>
    <row r="55" customFormat="false" ht="15" hidden="false" customHeight="false" outlineLevel="0" collapsed="false">
      <c r="A55" s="2" t="s">
        <v>196</v>
      </c>
      <c r="B55" s="2" t="s">
        <v>209</v>
      </c>
      <c r="C55" s="2" t="s">
        <v>891</v>
      </c>
      <c r="D55" s="2" t="s">
        <v>40</v>
      </c>
      <c r="E55" s="2" t="s">
        <v>39</v>
      </c>
    </row>
    <row r="56" customFormat="false" ht="23.85" hidden="false" customHeight="false" outlineLevel="0" collapsed="false">
      <c r="A56" s="2" t="s">
        <v>196</v>
      </c>
      <c r="B56" s="2" t="s">
        <v>220</v>
      </c>
      <c r="C56" s="2" t="s">
        <v>885</v>
      </c>
      <c r="D56" s="2" t="s">
        <v>40</v>
      </c>
      <c r="E56" s="2" t="s">
        <v>39</v>
      </c>
    </row>
    <row r="57" customFormat="false" ht="15" hidden="false" customHeight="false" outlineLevel="0" collapsed="false">
      <c r="A57" s="2" t="s">
        <v>196</v>
      </c>
      <c r="B57" s="2" t="s">
        <v>220</v>
      </c>
      <c r="C57" s="2" t="s">
        <v>889</v>
      </c>
      <c r="D57" s="2" t="s">
        <v>40</v>
      </c>
      <c r="E57" s="2" t="s">
        <v>39</v>
      </c>
    </row>
    <row r="58" customFormat="false" ht="23.85" hidden="false" customHeight="false" outlineLevel="0" collapsed="false">
      <c r="A58" s="2" t="s">
        <v>196</v>
      </c>
      <c r="B58" s="2" t="s">
        <v>220</v>
      </c>
      <c r="C58" s="2" t="s">
        <v>890</v>
      </c>
      <c r="D58" s="2" t="s">
        <v>40</v>
      </c>
      <c r="E58" s="2" t="s">
        <v>39</v>
      </c>
    </row>
    <row r="59" customFormat="false" ht="15" hidden="false" customHeight="false" outlineLevel="0" collapsed="false">
      <c r="A59" s="2" t="s">
        <v>196</v>
      </c>
      <c r="B59" s="2" t="s">
        <v>220</v>
      </c>
      <c r="C59" s="2" t="s">
        <v>891</v>
      </c>
      <c r="D59" s="2" t="s">
        <v>40</v>
      </c>
      <c r="E59" s="2" t="s">
        <v>39</v>
      </c>
    </row>
    <row r="60" customFormat="false" ht="23.85" hidden="false" customHeight="false" outlineLevel="0" collapsed="false">
      <c r="A60" s="2" t="s">
        <v>196</v>
      </c>
      <c r="B60" s="2" t="s">
        <v>222</v>
      </c>
      <c r="C60" s="2" t="s">
        <v>885</v>
      </c>
      <c r="D60" s="2" t="s">
        <v>40</v>
      </c>
      <c r="E60" s="2" t="s">
        <v>39</v>
      </c>
    </row>
    <row r="61" customFormat="false" ht="15" hidden="false" customHeight="false" outlineLevel="0" collapsed="false">
      <c r="A61" s="2" t="s">
        <v>196</v>
      </c>
      <c r="B61" s="2" t="s">
        <v>222</v>
      </c>
      <c r="C61" s="2" t="s">
        <v>889</v>
      </c>
      <c r="D61" s="2" t="s">
        <v>40</v>
      </c>
      <c r="E61" s="2" t="s">
        <v>39</v>
      </c>
    </row>
    <row r="62" customFormat="false" ht="23.85" hidden="false" customHeight="false" outlineLevel="0" collapsed="false">
      <c r="A62" s="2" t="s">
        <v>196</v>
      </c>
      <c r="B62" s="2" t="s">
        <v>222</v>
      </c>
      <c r="C62" s="2" t="s">
        <v>890</v>
      </c>
      <c r="D62" s="2" t="s">
        <v>40</v>
      </c>
      <c r="E62" s="2" t="s">
        <v>39</v>
      </c>
    </row>
    <row r="63" customFormat="false" ht="15" hidden="false" customHeight="false" outlineLevel="0" collapsed="false">
      <c r="A63" s="2" t="s">
        <v>196</v>
      </c>
      <c r="B63" s="2" t="s">
        <v>222</v>
      </c>
      <c r="C63" s="2" t="s">
        <v>891</v>
      </c>
      <c r="D63" s="2" t="s">
        <v>40</v>
      </c>
      <c r="E63" s="2" t="s">
        <v>39</v>
      </c>
    </row>
    <row r="64" customFormat="false" ht="23.85" hidden="false" customHeight="false" outlineLevel="0" collapsed="false">
      <c r="A64" s="2" t="s">
        <v>196</v>
      </c>
      <c r="B64" s="2" t="s">
        <v>224</v>
      </c>
      <c r="C64" s="2" t="s">
        <v>885</v>
      </c>
      <c r="D64" s="2" t="s">
        <v>40</v>
      </c>
      <c r="E64" s="2" t="s">
        <v>39</v>
      </c>
    </row>
    <row r="65" customFormat="false" ht="15" hidden="false" customHeight="false" outlineLevel="0" collapsed="false">
      <c r="A65" s="2" t="s">
        <v>196</v>
      </c>
      <c r="B65" s="2" t="s">
        <v>224</v>
      </c>
      <c r="C65" s="2" t="s">
        <v>889</v>
      </c>
      <c r="D65" s="2" t="s">
        <v>40</v>
      </c>
      <c r="E65" s="2" t="s">
        <v>39</v>
      </c>
    </row>
    <row r="66" customFormat="false" ht="23.85" hidden="false" customHeight="false" outlineLevel="0" collapsed="false">
      <c r="A66" s="2" t="s">
        <v>196</v>
      </c>
      <c r="B66" s="2" t="s">
        <v>224</v>
      </c>
      <c r="C66" s="2" t="s">
        <v>890</v>
      </c>
      <c r="D66" s="2" t="s">
        <v>40</v>
      </c>
      <c r="E66" s="2" t="s">
        <v>39</v>
      </c>
    </row>
    <row r="67" customFormat="false" ht="15" hidden="false" customHeight="false" outlineLevel="0" collapsed="false">
      <c r="A67" s="2" t="s">
        <v>196</v>
      </c>
      <c r="B67" s="2" t="s">
        <v>224</v>
      </c>
      <c r="C67" s="2" t="s">
        <v>891</v>
      </c>
      <c r="D67" s="2" t="s">
        <v>40</v>
      </c>
      <c r="E67" s="2" t="s">
        <v>39</v>
      </c>
    </row>
    <row r="68" customFormat="false" ht="23.85" hidden="false" customHeight="false" outlineLevel="0" collapsed="false">
      <c r="A68" s="2" t="s">
        <v>225</v>
      </c>
      <c r="B68" s="2" t="s">
        <v>227</v>
      </c>
      <c r="C68" s="2" t="s">
        <v>239</v>
      </c>
      <c r="D68" s="2" t="s">
        <v>40</v>
      </c>
      <c r="E68" s="2" t="s">
        <v>39</v>
      </c>
    </row>
    <row r="69" customFormat="false" ht="23.85" hidden="false" customHeight="false" outlineLevel="0" collapsed="false">
      <c r="A69" s="2" t="s">
        <v>225</v>
      </c>
      <c r="B69" s="2" t="s">
        <v>227</v>
      </c>
      <c r="C69" s="2" t="s">
        <v>892</v>
      </c>
      <c r="D69" s="2" t="s">
        <v>40</v>
      </c>
      <c r="E69" s="2" t="s">
        <v>39</v>
      </c>
    </row>
    <row r="70" customFormat="false" ht="15" hidden="false" customHeight="false" outlineLevel="0" collapsed="false">
      <c r="A70" s="2" t="s">
        <v>225</v>
      </c>
      <c r="B70" s="2" t="s">
        <v>227</v>
      </c>
      <c r="C70" s="2" t="s">
        <v>893</v>
      </c>
      <c r="D70" s="2" t="s">
        <v>40</v>
      </c>
      <c r="E70" s="2" t="s">
        <v>39</v>
      </c>
    </row>
    <row r="71" customFormat="false" ht="15" hidden="false" customHeight="false" outlineLevel="0" collapsed="false">
      <c r="A71" s="2" t="s">
        <v>225</v>
      </c>
      <c r="B71" s="2" t="s">
        <v>227</v>
      </c>
      <c r="C71" s="2" t="s">
        <v>894</v>
      </c>
      <c r="D71" s="2" t="s">
        <v>40</v>
      </c>
      <c r="E71" s="2" t="s">
        <v>39</v>
      </c>
    </row>
    <row r="72" customFormat="false" ht="46.25" hidden="false" customHeight="false" outlineLevel="0" collapsed="false">
      <c r="A72" s="2" t="s">
        <v>225</v>
      </c>
      <c r="B72" s="2" t="s">
        <v>236</v>
      </c>
      <c r="C72" s="2" t="s">
        <v>239</v>
      </c>
      <c r="D72" s="2" t="s">
        <v>40</v>
      </c>
      <c r="E72" s="2" t="s">
        <v>39</v>
      </c>
    </row>
    <row r="73" customFormat="false" ht="23.85" hidden="false" customHeight="false" outlineLevel="0" collapsed="false">
      <c r="A73" s="2" t="s">
        <v>246</v>
      </c>
      <c r="B73" s="2" t="s">
        <v>248</v>
      </c>
      <c r="C73" s="2" t="s">
        <v>895</v>
      </c>
      <c r="D73" s="2" t="s">
        <v>40</v>
      </c>
      <c r="E73" s="2" t="s">
        <v>39</v>
      </c>
    </row>
    <row r="74" customFormat="false" ht="23.85" hidden="false" customHeight="false" outlineLevel="0" collapsed="false">
      <c r="A74" s="2" t="s">
        <v>246</v>
      </c>
      <c r="B74" s="2" t="s">
        <v>248</v>
      </c>
      <c r="C74" s="2" t="s">
        <v>896</v>
      </c>
      <c r="D74" s="2" t="s">
        <v>40</v>
      </c>
      <c r="E74" s="2" t="s">
        <v>39</v>
      </c>
    </row>
    <row r="75" customFormat="false" ht="15" hidden="false" customHeight="false" outlineLevel="0" collapsed="false">
      <c r="A75" s="2" t="s">
        <v>246</v>
      </c>
      <c r="B75" s="2" t="s">
        <v>248</v>
      </c>
      <c r="C75" s="2" t="s">
        <v>897</v>
      </c>
      <c r="D75" s="2" t="s">
        <v>40</v>
      </c>
      <c r="E75" s="2" t="s">
        <v>39</v>
      </c>
    </row>
    <row r="76" customFormat="false" ht="15" hidden="false" customHeight="false" outlineLevel="0" collapsed="false">
      <c r="A76" s="2" t="s">
        <v>246</v>
      </c>
      <c r="B76" s="2" t="s">
        <v>258</v>
      </c>
      <c r="C76" s="2" t="s">
        <v>898</v>
      </c>
      <c r="D76" s="2" t="s">
        <v>40</v>
      </c>
      <c r="E76" s="2" t="s">
        <v>39</v>
      </c>
    </row>
    <row r="77" customFormat="false" ht="23.85" hidden="false" customHeight="false" outlineLevel="0" collapsed="false">
      <c r="A77" s="2" t="s">
        <v>246</v>
      </c>
      <c r="B77" s="2" t="s">
        <v>258</v>
      </c>
      <c r="C77" s="2" t="s">
        <v>899</v>
      </c>
      <c r="D77" s="2" t="s">
        <v>40</v>
      </c>
      <c r="E77" s="2" t="s">
        <v>39</v>
      </c>
    </row>
    <row r="78" customFormat="false" ht="23.85" hidden="false" customHeight="false" outlineLevel="0" collapsed="false">
      <c r="A78" s="2" t="s">
        <v>246</v>
      </c>
      <c r="B78" s="2" t="s">
        <v>258</v>
      </c>
      <c r="C78" s="2" t="s">
        <v>900</v>
      </c>
      <c r="D78" s="2" t="s">
        <v>40</v>
      </c>
      <c r="E78" s="2" t="s">
        <v>39</v>
      </c>
    </row>
    <row r="79" customFormat="false" ht="23.85" hidden="false" customHeight="false" outlineLevel="0" collapsed="false">
      <c r="A79" s="2" t="s">
        <v>246</v>
      </c>
      <c r="B79" s="2" t="s">
        <v>258</v>
      </c>
      <c r="C79" s="2" t="s">
        <v>901</v>
      </c>
      <c r="D79" s="2" t="s">
        <v>40</v>
      </c>
      <c r="E79" s="2" t="s">
        <v>39</v>
      </c>
    </row>
    <row r="80" customFormat="false" ht="23.85" hidden="false" customHeight="false" outlineLevel="0" collapsed="false">
      <c r="A80" s="2" t="s">
        <v>267</v>
      </c>
      <c r="B80" s="2" t="s">
        <v>270</v>
      </c>
      <c r="C80" s="2" t="s">
        <v>902</v>
      </c>
      <c r="D80" s="2" t="s">
        <v>40</v>
      </c>
      <c r="E80" s="2" t="s">
        <v>39</v>
      </c>
    </row>
    <row r="81" customFormat="false" ht="15" hidden="false" customHeight="false" outlineLevel="0" collapsed="false">
      <c r="A81" s="2" t="s">
        <v>267</v>
      </c>
      <c r="B81" s="2" t="s">
        <v>270</v>
      </c>
      <c r="C81" s="2" t="s">
        <v>903</v>
      </c>
      <c r="D81" s="2" t="s">
        <v>40</v>
      </c>
      <c r="E81" s="2" t="s">
        <v>39</v>
      </c>
    </row>
    <row r="82" customFormat="false" ht="15" hidden="false" customHeight="false" outlineLevel="0" collapsed="false">
      <c r="A82" s="2" t="s">
        <v>267</v>
      </c>
      <c r="B82" s="2" t="s">
        <v>270</v>
      </c>
      <c r="C82" s="2" t="s">
        <v>904</v>
      </c>
      <c r="D82" s="2" t="s">
        <v>40</v>
      </c>
      <c r="E82" s="2" t="s">
        <v>39</v>
      </c>
    </row>
    <row r="83" customFormat="false" ht="15" hidden="false" customHeight="false" outlineLevel="0" collapsed="false">
      <c r="A83" s="2" t="s">
        <v>267</v>
      </c>
      <c r="B83" s="2" t="s">
        <v>270</v>
      </c>
      <c r="C83" s="2" t="s">
        <v>905</v>
      </c>
      <c r="D83" s="2" t="s">
        <v>40</v>
      </c>
      <c r="E83" s="2" t="s">
        <v>39</v>
      </c>
    </row>
    <row r="84" customFormat="false" ht="23.85" hidden="false" customHeight="false" outlineLevel="0" collapsed="false">
      <c r="A84" s="2" t="s">
        <v>267</v>
      </c>
      <c r="B84" s="2" t="s">
        <v>270</v>
      </c>
      <c r="C84" s="2" t="s">
        <v>857</v>
      </c>
      <c r="D84" s="2" t="s">
        <v>40</v>
      </c>
      <c r="E84" s="2" t="s">
        <v>39</v>
      </c>
    </row>
    <row r="85" customFormat="false" ht="15" hidden="false" customHeight="false" outlineLevel="0" collapsed="false">
      <c r="A85" s="2" t="s">
        <v>267</v>
      </c>
      <c r="B85" s="2" t="s">
        <v>281</v>
      </c>
      <c r="C85" s="2" t="s">
        <v>906</v>
      </c>
      <c r="D85" s="2" t="s">
        <v>40</v>
      </c>
      <c r="E85" s="2" t="s">
        <v>39</v>
      </c>
    </row>
    <row r="86" customFormat="false" ht="23.85" hidden="false" customHeight="false" outlineLevel="0" collapsed="false">
      <c r="A86" s="2" t="s">
        <v>267</v>
      </c>
      <c r="B86" s="2" t="s">
        <v>281</v>
      </c>
      <c r="C86" s="2" t="s">
        <v>907</v>
      </c>
      <c r="D86" s="2" t="s">
        <v>40</v>
      </c>
      <c r="E86" s="2" t="s">
        <v>39</v>
      </c>
    </row>
    <row r="87" customFormat="false" ht="23.85" hidden="false" customHeight="false" outlineLevel="0" collapsed="false">
      <c r="A87" s="2" t="s">
        <v>267</v>
      </c>
      <c r="B87" s="2" t="s">
        <v>281</v>
      </c>
      <c r="C87" s="2" t="s">
        <v>902</v>
      </c>
      <c r="D87" s="2" t="s">
        <v>40</v>
      </c>
      <c r="E87" s="2" t="s">
        <v>39</v>
      </c>
    </row>
    <row r="88" customFormat="false" ht="35.05" hidden="false" customHeight="false" outlineLevel="0" collapsed="false">
      <c r="A88" s="2" t="s">
        <v>290</v>
      </c>
      <c r="B88" s="2" t="s">
        <v>292</v>
      </c>
      <c r="C88" s="2" t="s">
        <v>307</v>
      </c>
      <c r="D88" s="2" t="s">
        <v>40</v>
      </c>
      <c r="E88" s="2" t="s">
        <v>39</v>
      </c>
    </row>
    <row r="89" customFormat="false" ht="23.85" hidden="false" customHeight="false" outlineLevel="0" collapsed="false">
      <c r="A89" s="2" t="s">
        <v>290</v>
      </c>
      <c r="B89" s="2" t="s">
        <v>292</v>
      </c>
      <c r="C89" s="2" t="s">
        <v>908</v>
      </c>
      <c r="D89" s="2" t="s">
        <v>40</v>
      </c>
      <c r="E89" s="2" t="s">
        <v>39</v>
      </c>
    </row>
    <row r="90" customFormat="false" ht="23.85" hidden="false" customHeight="false" outlineLevel="0" collapsed="false">
      <c r="A90" s="2" t="s">
        <v>290</v>
      </c>
      <c r="B90" s="2" t="s">
        <v>292</v>
      </c>
      <c r="C90" s="2" t="s">
        <v>909</v>
      </c>
      <c r="D90" s="2" t="s">
        <v>40</v>
      </c>
      <c r="E90" s="2" t="s">
        <v>39</v>
      </c>
    </row>
    <row r="91" customFormat="false" ht="15" hidden="false" customHeight="false" outlineLevel="0" collapsed="false">
      <c r="A91" s="2" t="s">
        <v>290</v>
      </c>
      <c r="B91" s="2" t="s">
        <v>292</v>
      </c>
      <c r="C91" s="2" t="s">
        <v>910</v>
      </c>
      <c r="D91" s="2" t="s">
        <v>40</v>
      </c>
      <c r="E91" s="2" t="s">
        <v>39</v>
      </c>
    </row>
    <row r="92" customFormat="false" ht="35.05" hidden="false" customHeight="false" outlineLevel="0" collapsed="false">
      <c r="A92" s="2" t="s">
        <v>290</v>
      </c>
      <c r="B92" s="2" t="s">
        <v>304</v>
      </c>
      <c r="C92" s="2" t="s">
        <v>307</v>
      </c>
      <c r="D92" s="2" t="s">
        <v>40</v>
      </c>
      <c r="E92" s="2" t="s">
        <v>39</v>
      </c>
    </row>
    <row r="93" customFormat="false" ht="23.85" hidden="false" customHeight="false" outlineLevel="0" collapsed="false">
      <c r="A93" s="2" t="s">
        <v>312</v>
      </c>
      <c r="B93" s="2" t="s">
        <v>314</v>
      </c>
      <c r="C93" s="2" t="s">
        <v>911</v>
      </c>
      <c r="D93" s="2" t="s">
        <v>40</v>
      </c>
      <c r="E93" s="2" t="s">
        <v>80</v>
      </c>
    </row>
    <row r="94" customFormat="false" ht="23.85" hidden="false" customHeight="false" outlineLevel="0" collapsed="false">
      <c r="A94" s="2" t="s">
        <v>312</v>
      </c>
      <c r="B94" s="2" t="s">
        <v>314</v>
      </c>
      <c r="C94" s="2" t="s">
        <v>912</v>
      </c>
      <c r="D94" s="2" t="s">
        <v>40</v>
      </c>
      <c r="E94" s="2" t="s">
        <v>80</v>
      </c>
    </row>
    <row r="95" customFormat="false" ht="23.85" hidden="false" customHeight="false" outlineLevel="0" collapsed="false">
      <c r="A95" s="2" t="s">
        <v>312</v>
      </c>
      <c r="B95" s="2" t="s">
        <v>314</v>
      </c>
      <c r="C95" s="2" t="s">
        <v>913</v>
      </c>
      <c r="D95" s="2" t="s">
        <v>40</v>
      </c>
      <c r="E95" s="2" t="s">
        <v>80</v>
      </c>
    </row>
    <row r="96" customFormat="false" ht="23.85" hidden="false" customHeight="false" outlineLevel="0" collapsed="false">
      <c r="A96" s="2" t="s">
        <v>325</v>
      </c>
      <c r="B96" s="2" t="s">
        <v>327</v>
      </c>
      <c r="C96" s="2" t="s">
        <v>914</v>
      </c>
      <c r="D96" s="2" t="s">
        <v>40</v>
      </c>
      <c r="E96" s="2" t="s">
        <v>39</v>
      </c>
    </row>
    <row r="97" customFormat="false" ht="23.85" hidden="false" customHeight="false" outlineLevel="0" collapsed="false">
      <c r="A97" s="2" t="s">
        <v>325</v>
      </c>
      <c r="B97" s="2" t="s">
        <v>327</v>
      </c>
      <c r="C97" s="2" t="s">
        <v>915</v>
      </c>
      <c r="D97" s="2" t="s">
        <v>40</v>
      </c>
      <c r="E97" s="2" t="s">
        <v>39</v>
      </c>
    </row>
    <row r="98" customFormat="false" ht="15" hidden="false" customHeight="false" outlineLevel="0" collapsed="false">
      <c r="A98" s="2" t="s">
        <v>325</v>
      </c>
      <c r="B98" s="2" t="s">
        <v>327</v>
      </c>
      <c r="C98" s="2" t="s">
        <v>916</v>
      </c>
      <c r="D98" s="2" t="s">
        <v>40</v>
      </c>
      <c r="E98" s="2" t="s">
        <v>39</v>
      </c>
    </row>
    <row r="99" customFormat="false" ht="46.25" hidden="false" customHeight="false" outlineLevel="0" collapsed="false">
      <c r="A99" s="2" t="s">
        <v>339</v>
      </c>
      <c r="B99" s="2" t="s">
        <v>341</v>
      </c>
      <c r="C99" s="2" t="s">
        <v>917</v>
      </c>
      <c r="D99" s="2" t="s">
        <v>40</v>
      </c>
      <c r="E99" s="2" t="s">
        <v>39</v>
      </c>
    </row>
    <row r="100" customFormat="false" ht="46.25" hidden="false" customHeight="false" outlineLevel="0" collapsed="false">
      <c r="A100" s="2" t="s">
        <v>339</v>
      </c>
      <c r="B100" s="2" t="s">
        <v>341</v>
      </c>
      <c r="C100" s="2" t="s">
        <v>918</v>
      </c>
      <c r="D100" s="2" t="s">
        <v>40</v>
      </c>
      <c r="E100" s="2" t="s">
        <v>39</v>
      </c>
    </row>
    <row r="101" customFormat="false" ht="46.25" hidden="false" customHeight="false" outlineLevel="0" collapsed="false">
      <c r="A101" s="2" t="s">
        <v>339</v>
      </c>
      <c r="B101" s="2" t="s">
        <v>341</v>
      </c>
      <c r="C101" s="2" t="s">
        <v>919</v>
      </c>
      <c r="D101" s="2" t="s">
        <v>40</v>
      </c>
      <c r="E101" s="2" t="s">
        <v>39</v>
      </c>
    </row>
    <row r="102" customFormat="false" ht="46.25" hidden="false" customHeight="false" outlineLevel="0" collapsed="false">
      <c r="A102" s="2" t="s">
        <v>339</v>
      </c>
      <c r="B102" s="2" t="s">
        <v>341</v>
      </c>
      <c r="C102" s="2" t="s">
        <v>920</v>
      </c>
      <c r="D102" s="2" t="s">
        <v>40</v>
      </c>
      <c r="E102" s="2" t="s">
        <v>39</v>
      </c>
    </row>
    <row r="103" customFormat="false" ht="23.85" hidden="false" customHeight="false" outlineLevel="0" collapsed="false">
      <c r="A103" s="2" t="s">
        <v>351</v>
      </c>
      <c r="B103" s="2" t="s">
        <v>353</v>
      </c>
      <c r="C103" s="2" t="s">
        <v>921</v>
      </c>
      <c r="D103" s="2" t="s">
        <v>40</v>
      </c>
      <c r="E103" s="2" t="s">
        <v>39</v>
      </c>
    </row>
    <row r="104" customFormat="false" ht="15" hidden="false" customHeight="false" outlineLevel="0" collapsed="false">
      <c r="A104" s="2" t="s">
        <v>351</v>
      </c>
      <c r="B104" s="2" t="s">
        <v>353</v>
      </c>
      <c r="C104" s="2" t="s">
        <v>922</v>
      </c>
      <c r="D104" s="2" t="s">
        <v>40</v>
      </c>
      <c r="E104" s="2" t="s">
        <v>39</v>
      </c>
    </row>
    <row r="105" customFormat="false" ht="15" hidden="false" customHeight="false" outlineLevel="0" collapsed="false">
      <c r="A105" s="2" t="s">
        <v>351</v>
      </c>
      <c r="B105" s="2" t="s">
        <v>353</v>
      </c>
      <c r="C105" s="2" t="s">
        <v>923</v>
      </c>
      <c r="D105" s="2" t="s">
        <v>40</v>
      </c>
      <c r="E105" s="2" t="s">
        <v>39</v>
      </c>
    </row>
    <row r="106" customFormat="false" ht="15" hidden="false" customHeight="false" outlineLevel="0" collapsed="false">
      <c r="A106" s="2" t="s">
        <v>351</v>
      </c>
      <c r="B106" s="2" t="s">
        <v>353</v>
      </c>
      <c r="C106" s="2" t="s">
        <v>924</v>
      </c>
      <c r="D106" s="2" t="s">
        <v>40</v>
      </c>
      <c r="E106" s="2" t="s">
        <v>39</v>
      </c>
    </row>
    <row r="107" customFormat="false" ht="15" hidden="false" customHeight="false" outlineLevel="0" collapsed="false">
      <c r="A107" s="2" t="s">
        <v>365</v>
      </c>
      <c r="B107" s="2" t="s">
        <v>367</v>
      </c>
      <c r="C107" s="2" t="s">
        <v>925</v>
      </c>
      <c r="D107" s="2" t="s">
        <v>40</v>
      </c>
      <c r="E107" s="2" t="s">
        <v>39</v>
      </c>
    </row>
    <row r="108" customFormat="false" ht="15" hidden="false" customHeight="false" outlineLevel="0" collapsed="false">
      <c r="A108" s="2" t="s">
        <v>365</v>
      </c>
      <c r="B108" s="2" t="s">
        <v>367</v>
      </c>
      <c r="C108" s="2" t="s">
        <v>926</v>
      </c>
      <c r="D108" s="2" t="s">
        <v>40</v>
      </c>
      <c r="E108" s="2" t="s">
        <v>39</v>
      </c>
    </row>
    <row r="109" customFormat="false" ht="15" hidden="false" customHeight="false" outlineLevel="0" collapsed="false">
      <c r="A109" s="2" t="s">
        <v>365</v>
      </c>
      <c r="B109" s="2" t="s">
        <v>367</v>
      </c>
      <c r="C109" s="2" t="s">
        <v>927</v>
      </c>
      <c r="D109" s="2" t="s">
        <v>40</v>
      </c>
      <c r="E109" s="2" t="s">
        <v>39</v>
      </c>
    </row>
    <row r="110" customFormat="false" ht="23.85" hidden="false" customHeight="false" outlineLevel="0" collapsed="false">
      <c r="A110" s="2" t="s">
        <v>378</v>
      </c>
      <c r="B110" s="2" t="s">
        <v>380</v>
      </c>
      <c r="C110" s="2" t="s">
        <v>928</v>
      </c>
      <c r="D110" s="2" t="s">
        <v>40</v>
      </c>
      <c r="E110" s="2" t="s">
        <v>39</v>
      </c>
    </row>
    <row r="111" customFormat="false" ht="23.85" hidden="false" customHeight="false" outlineLevel="0" collapsed="false">
      <c r="A111" s="2" t="s">
        <v>378</v>
      </c>
      <c r="B111" s="2" t="s">
        <v>380</v>
      </c>
      <c r="C111" s="2" t="s">
        <v>929</v>
      </c>
      <c r="D111" s="2" t="s">
        <v>40</v>
      </c>
      <c r="E111" s="2" t="s">
        <v>39</v>
      </c>
    </row>
    <row r="112" customFormat="false" ht="23.85" hidden="false" customHeight="false" outlineLevel="0" collapsed="false">
      <c r="A112" s="2" t="s">
        <v>378</v>
      </c>
      <c r="B112" s="2" t="s">
        <v>380</v>
      </c>
      <c r="C112" s="2" t="s">
        <v>930</v>
      </c>
      <c r="D112" s="2" t="s">
        <v>40</v>
      </c>
      <c r="E112" s="2" t="s">
        <v>39</v>
      </c>
    </row>
    <row r="113" customFormat="false" ht="15" hidden="false" customHeight="false" outlineLevel="0" collapsed="false">
      <c r="A113" s="2" t="s">
        <v>388</v>
      </c>
      <c r="B113" s="2" t="s">
        <v>390</v>
      </c>
      <c r="C113" s="2" t="s">
        <v>931</v>
      </c>
      <c r="D113" s="2" t="s">
        <v>40</v>
      </c>
      <c r="E113" s="2" t="s">
        <v>39</v>
      </c>
    </row>
    <row r="114" customFormat="false" ht="23.85" hidden="false" customHeight="false" outlineLevel="0" collapsed="false">
      <c r="A114" s="2" t="s">
        <v>388</v>
      </c>
      <c r="B114" s="2" t="s">
        <v>390</v>
      </c>
      <c r="C114" s="2" t="s">
        <v>932</v>
      </c>
      <c r="D114" s="2" t="s">
        <v>40</v>
      </c>
      <c r="E114" s="2" t="s">
        <v>39</v>
      </c>
    </row>
    <row r="115" customFormat="false" ht="15" hidden="false" customHeight="false" outlineLevel="0" collapsed="false">
      <c r="A115" s="2" t="s">
        <v>388</v>
      </c>
      <c r="B115" s="2" t="s">
        <v>390</v>
      </c>
      <c r="C115" s="2" t="s">
        <v>933</v>
      </c>
      <c r="D115" s="2" t="s">
        <v>40</v>
      </c>
      <c r="E115" s="2" t="s">
        <v>39</v>
      </c>
    </row>
    <row r="116" customFormat="false" ht="35.05" hidden="false" customHeight="false" outlineLevel="0" collapsed="false">
      <c r="A116" s="2" t="s">
        <v>388</v>
      </c>
      <c r="B116" s="2" t="s">
        <v>400</v>
      </c>
      <c r="C116" s="2" t="s">
        <v>934</v>
      </c>
      <c r="D116" s="2" t="s">
        <v>40</v>
      </c>
      <c r="E116" s="2" t="s">
        <v>39</v>
      </c>
    </row>
    <row r="117" customFormat="false" ht="35.05" hidden="false" customHeight="false" outlineLevel="0" collapsed="false">
      <c r="A117" s="2" t="s">
        <v>388</v>
      </c>
      <c r="B117" s="2" t="s">
        <v>400</v>
      </c>
      <c r="C117" s="2" t="s">
        <v>935</v>
      </c>
      <c r="D117" s="2" t="s">
        <v>40</v>
      </c>
      <c r="E117" s="2" t="s">
        <v>39</v>
      </c>
    </row>
    <row r="118" customFormat="false" ht="35.05" hidden="false" customHeight="false" outlineLevel="0" collapsed="false">
      <c r="A118" s="2" t="s">
        <v>388</v>
      </c>
      <c r="B118" s="2" t="s">
        <v>400</v>
      </c>
      <c r="C118" s="2" t="s">
        <v>936</v>
      </c>
      <c r="D118" s="2" t="s">
        <v>40</v>
      </c>
      <c r="E118" s="2" t="s">
        <v>39</v>
      </c>
    </row>
    <row r="119" customFormat="false" ht="15" hidden="false" customHeight="false" outlineLevel="0" collapsed="false">
      <c r="A119" s="2" t="s">
        <v>408</v>
      </c>
      <c r="B119" s="2" t="s">
        <v>410</v>
      </c>
      <c r="C119" s="2" t="s">
        <v>937</v>
      </c>
      <c r="D119" s="2" t="s">
        <v>40</v>
      </c>
      <c r="E119" s="2" t="s">
        <v>39</v>
      </c>
    </row>
    <row r="120" customFormat="false" ht="15" hidden="false" customHeight="false" outlineLevel="0" collapsed="false">
      <c r="A120" s="2" t="s">
        <v>408</v>
      </c>
      <c r="B120" s="2" t="s">
        <v>410</v>
      </c>
      <c r="C120" s="2" t="s">
        <v>938</v>
      </c>
      <c r="D120" s="2" t="s">
        <v>40</v>
      </c>
      <c r="E120" s="2" t="s">
        <v>39</v>
      </c>
    </row>
    <row r="121" customFormat="false" ht="23.85" hidden="false" customHeight="false" outlineLevel="0" collapsed="false">
      <c r="A121" s="2" t="s">
        <v>408</v>
      </c>
      <c r="B121" s="2" t="s">
        <v>410</v>
      </c>
      <c r="C121" s="2" t="s">
        <v>939</v>
      </c>
      <c r="D121" s="2" t="s">
        <v>40</v>
      </c>
      <c r="E121" s="2" t="s">
        <v>39</v>
      </c>
    </row>
    <row r="122" customFormat="false" ht="23.85" hidden="false" customHeight="false" outlineLevel="0" collapsed="false">
      <c r="A122" s="2" t="s">
        <v>408</v>
      </c>
      <c r="B122" s="2" t="s">
        <v>410</v>
      </c>
      <c r="C122" s="2" t="s">
        <v>940</v>
      </c>
      <c r="D122" s="2" t="s">
        <v>40</v>
      </c>
      <c r="E122" s="2" t="s">
        <v>39</v>
      </c>
    </row>
    <row r="123" customFormat="false" ht="15" hidden="false" customHeight="false" outlineLevel="0" collapsed="false">
      <c r="A123" s="2" t="s">
        <v>421</v>
      </c>
      <c r="B123" s="2" t="s">
        <v>423</v>
      </c>
      <c r="C123" s="2" t="s">
        <v>941</v>
      </c>
      <c r="D123" s="2" t="s">
        <v>40</v>
      </c>
      <c r="E123" s="2" t="s">
        <v>65</v>
      </c>
    </row>
    <row r="124" customFormat="false" ht="15" hidden="false" customHeight="false" outlineLevel="0" collapsed="false">
      <c r="A124" s="2" t="s">
        <v>421</v>
      </c>
      <c r="B124" s="2" t="s">
        <v>423</v>
      </c>
      <c r="C124" s="2" t="s">
        <v>942</v>
      </c>
      <c r="D124" s="2" t="s">
        <v>40</v>
      </c>
      <c r="E124" s="2" t="s">
        <v>65</v>
      </c>
    </row>
    <row r="125" customFormat="false" ht="15" hidden="false" customHeight="false" outlineLevel="0" collapsed="false">
      <c r="A125" s="2" t="s">
        <v>421</v>
      </c>
      <c r="B125" s="2" t="s">
        <v>423</v>
      </c>
      <c r="C125" s="2" t="s">
        <v>943</v>
      </c>
      <c r="D125" s="2" t="s">
        <v>40</v>
      </c>
      <c r="E125" s="2" t="s">
        <v>65</v>
      </c>
    </row>
    <row r="126" customFormat="false" ht="23.85" hidden="false" customHeight="false" outlineLevel="0" collapsed="false">
      <c r="A126" s="2" t="s">
        <v>434</v>
      </c>
      <c r="B126" s="2" t="s">
        <v>436</v>
      </c>
      <c r="C126" s="2" t="s">
        <v>944</v>
      </c>
      <c r="D126" s="2" t="s">
        <v>40</v>
      </c>
      <c r="E126" s="2" t="s">
        <v>39</v>
      </c>
    </row>
    <row r="127" customFormat="false" ht="23.85" hidden="false" customHeight="false" outlineLevel="0" collapsed="false">
      <c r="A127" s="2" t="s">
        <v>434</v>
      </c>
      <c r="B127" s="2" t="s">
        <v>436</v>
      </c>
      <c r="C127" s="2" t="s">
        <v>945</v>
      </c>
      <c r="D127" s="2" t="s">
        <v>40</v>
      </c>
      <c r="E127" s="2" t="s">
        <v>39</v>
      </c>
    </row>
    <row r="128" customFormat="false" ht="15" hidden="false" customHeight="false" outlineLevel="0" collapsed="false">
      <c r="A128" s="2" t="s">
        <v>434</v>
      </c>
      <c r="B128" s="2" t="s">
        <v>436</v>
      </c>
      <c r="C128" s="2" t="s">
        <v>946</v>
      </c>
      <c r="D128" s="2" t="s">
        <v>40</v>
      </c>
      <c r="E128" s="2" t="s">
        <v>39</v>
      </c>
    </row>
    <row r="129" customFormat="false" ht="23.85" hidden="false" customHeight="false" outlineLevel="0" collapsed="false">
      <c r="A129" s="2" t="s">
        <v>434</v>
      </c>
      <c r="B129" s="2" t="s">
        <v>436</v>
      </c>
      <c r="C129" s="2" t="s">
        <v>854</v>
      </c>
      <c r="D129" s="2" t="s">
        <v>40</v>
      </c>
      <c r="E129" s="2" t="s">
        <v>39</v>
      </c>
    </row>
    <row r="130" customFormat="false" ht="15" hidden="false" customHeight="false" outlineLevel="0" collapsed="false">
      <c r="A130" s="2" t="s">
        <v>434</v>
      </c>
      <c r="B130" s="2" t="s">
        <v>436</v>
      </c>
      <c r="C130" s="2" t="s">
        <v>947</v>
      </c>
      <c r="D130" s="2" t="s">
        <v>40</v>
      </c>
      <c r="E130" s="2" t="s">
        <v>39</v>
      </c>
    </row>
    <row r="131" customFormat="false" ht="15" hidden="false" customHeight="false" outlineLevel="0" collapsed="false">
      <c r="A131" s="2" t="s">
        <v>448</v>
      </c>
      <c r="B131" s="2" t="s">
        <v>450</v>
      </c>
      <c r="C131" s="2" t="s">
        <v>948</v>
      </c>
      <c r="D131" s="2" t="s">
        <v>40</v>
      </c>
      <c r="E131" s="2" t="s">
        <v>39</v>
      </c>
    </row>
    <row r="132" customFormat="false" ht="15" hidden="false" customHeight="false" outlineLevel="0" collapsed="false">
      <c r="A132" s="2" t="s">
        <v>448</v>
      </c>
      <c r="B132" s="2" t="s">
        <v>450</v>
      </c>
      <c r="C132" s="2" t="s">
        <v>949</v>
      </c>
      <c r="D132" s="2" t="s">
        <v>40</v>
      </c>
      <c r="E132" s="2" t="s">
        <v>39</v>
      </c>
    </row>
    <row r="133" customFormat="false" ht="15" hidden="false" customHeight="false" outlineLevel="0" collapsed="false">
      <c r="A133" s="2" t="s">
        <v>448</v>
      </c>
      <c r="B133" s="2" t="s">
        <v>450</v>
      </c>
      <c r="C133" s="2" t="s">
        <v>950</v>
      </c>
      <c r="D133" s="2" t="s">
        <v>40</v>
      </c>
      <c r="E133" s="2" t="s">
        <v>39</v>
      </c>
    </row>
    <row r="134" customFormat="false" ht="15" hidden="false" customHeight="false" outlineLevel="0" collapsed="false">
      <c r="A134" s="2" t="s">
        <v>448</v>
      </c>
      <c r="B134" s="2" t="s">
        <v>450</v>
      </c>
      <c r="C134" s="2" t="s">
        <v>951</v>
      </c>
      <c r="D134" s="2" t="s">
        <v>40</v>
      </c>
      <c r="E134" s="2" t="s">
        <v>39</v>
      </c>
    </row>
    <row r="135" customFormat="false" ht="15" hidden="false" customHeight="false" outlineLevel="0" collapsed="false">
      <c r="A135" s="2" t="s">
        <v>448</v>
      </c>
      <c r="B135" s="2" t="s">
        <v>450</v>
      </c>
      <c r="C135" s="2" t="s">
        <v>952</v>
      </c>
      <c r="D135" s="2" t="s">
        <v>40</v>
      </c>
      <c r="E135" s="2" t="s">
        <v>39</v>
      </c>
    </row>
    <row r="136" customFormat="false" ht="23.85" hidden="false" customHeight="false" outlineLevel="0" collapsed="false">
      <c r="A136" s="2" t="s">
        <v>460</v>
      </c>
      <c r="B136" s="2" t="s">
        <v>258</v>
      </c>
      <c r="C136" s="2" t="s">
        <v>953</v>
      </c>
      <c r="D136" s="2" t="s">
        <v>40</v>
      </c>
      <c r="E136" s="2" t="s">
        <v>39</v>
      </c>
    </row>
    <row r="137" customFormat="false" ht="23.85" hidden="false" customHeight="false" outlineLevel="0" collapsed="false">
      <c r="A137" s="2" t="s">
        <v>460</v>
      </c>
      <c r="B137" s="2" t="s">
        <v>258</v>
      </c>
      <c r="C137" s="2" t="s">
        <v>954</v>
      </c>
      <c r="D137" s="2" t="s">
        <v>40</v>
      </c>
      <c r="E137" s="2" t="s">
        <v>39</v>
      </c>
    </row>
    <row r="138" customFormat="false" ht="15" hidden="false" customHeight="false" outlineLevel="0" collapsed="false">
      <c r="A138" s="2" t="s">
        <v>460</v>
      </c>
      <c r="B138" s="2" t="s">
        <v>258</v>
      </c>
      <c r="C138" s="2" t="s">
        <v>955</v>
      </c>
      <c r="D138" s="2" t="s">
        <v>40</v>
      </c>
      <c r="E138" s="2" t="s">
        <v>39</v>
      </c>
    </row>
    <row r="139" customFormat="false" ht="15" hidden="false" customHeight="false" outlineLevel="0" collapsed="false">
      <c r="A139" s="2" t="s">
        <v>460</v>
      </c>
      <c r="B139" s="2" t="s">
        <v>258</v>
      </c>
      <c r="C139" s="2" t="s">
        <v>956</v>
      </c>
      <c r="D139" s="2" t="s">
        <v>40</v>
      </c>
      <c r="E139" s="2" t="s">
        <v>39</v>
      </c>
    </row>
    <row r="140" customFormat="false" ht="23.85" hidden="false" customHeight="false" outlineLevel="0" collapsed="false">
      <c r="A140" s="2" t="s">
        <v>471</v>
      </c>
      <c r="B140" s="2" t="s">
        <v>473</v>
      </c>
      <c r="C140" s="2" t="s">
        <v>957</v>
      </c>
      <c r="D140" s="2" t="s">
        <v>40</v>
      </c>
      <c r="E140" s="2" t="s">
        <v>39</v>
      </c>
    </row>
    <row r="141" customFormat="false" ht="23.85" hidden="false" customHeight="false" outlineLevel="0" collapsed="false">
      <c r="A141" s="2" t="s">
        <v>471</v>
      </c>
      <c r="B141" s="2" t="s">
        <v>473</v>
      </c>
      <c r="C141" s="2" t="s">
        <v>958</v>
      </c>
      <c r="D141" s="2" t="s">
        <v>40</v>
      </c>
      <c r="E141" s="2" t="s">
        <v>39</v>
      </c>
    </row>
    <row r="142" customFormat="false" ht="23.85" hidden="false" customHeight="false" outlineLevel="0" collapsed="false">
      <c r="A142" s="2" t="s">
        <v>471</v>
      </c>
      <c r="B142" s="2" t="s">
        <v>473</v>
      </c>
      <c r="C142" s="2" t="s">
        <v>959</v>
      </c>
      <c r="D142" s="2" t="s">
        <v>40</v>
      </c>
      <c r="E142" s="2" t="s">
        <v>39</v>
      </c>
    </row>
    <row r="143" customFormat="false" ht="23.85" hidden="false" customHeight="false" outlineLevel="0" collapsed="false">
      <c r="A143" s="2" t="s">
        <v>484</v>
      </c>
      <c r="B143" s="2" t="s">
        <v>486</v>
      </c>
      <c r="C143" s="2" t="s">
        <v>960</v>
      </c>
      <c r="D143" s="2" t="s">
        <v>40</v>
      </c>
      <c r="E143" s="2" t="s">
        <v>65</v>
      </c>
    </row>
    <row r="144" customFormat="false" ht="15" hidden="false" customHeight="false" outlineLevel="0" collapsed="false">
      <c r="A144" s="2" t="s">
        <v>484</v>
      </c>
      <c r="B144" s="2" t="s">
        <v>486</v>
      </c>
      <c r="C144" s="2" t="s">
        <v>961</v>
      </c>
      <c r="D144" s="2" t="s">
        <v>40</v>
      </c>
      <c r="E144" s="2" t="s">
        <v>65</v>
      </c>
    </row>
    <row r="145" customFormat="false" ht="15" hidden="false" customHeight="false" outlineLevel="0" collapsed="false">
      <c r="A145" s="2" t="s">
        <v>484</v>
      </c>
      <c r="B145" s="2" t="s">
        <v>486</v>
      </c>
      <c r="C145" s="2" t="s">
        <v>962</v>
      </c>
      <c r="D145" s="2" t="s">
        <v>40</v>
      </c>
      <c r="E145" s="2" t="s">
        <v>65</v>
      </c>
    </row>
    <row r="146" customFormat="false" ht="15" hidden="false" customHeight="false" outlineLevel="0" collapsed="false">
      <c r="A146" s="2" t="s">
        <v>495</v>
      </c>
      <c r="B146" s="2" t="s">
        <v>497</v>
      </c>
      <c r="C146" s="2" t="s">
        <v>963</v>
      </c>
      <c r="D146" s="2" t="s">
        <v>40</v>
      </c>
      <c r="E146" s="2" t="s">
        <v>39</v>
      </c>
    </row>
    <row r="147" customFormat="false" ht="15" hidden="false" customHeight="false" outlineLevel="0" collapsed="false">
      <c r="A147" s="2" t="s">
        <v>495</v>
      </c>
      <c r="B147" s="2" t="s">
        <v>497</v>
      </c>
      <c r="C147" s="2" t="s">
        <v>964</v>
      </c>
      <c r="D147" s="2" t="s">
        <v>40</v>
      </c>
      <c r="E147" s="2" t="s">
        <v>39</v>
      </c>
    </row>
    <row r="148" customFormat="false" ht="15" hidden="false" customHeight="false" outlineLevel="0" collapsed="false">
      <c r="A148" s="2" t="s">
        <v>495</v>
      </c>
      <c r="B148" s="2" t="s">
        <v>497</v>
      </c>
      <c r="C148" s="2" t="s">
        <v>965</v>
      </c>
      <c r="D148" s="2" t="s">
        <v>40</v>
      </c>
      <c r="E148" s="2" t="s">
        <v>39</v>
      </c>
    </row>
    <row r="149" customFormat="false" ht="23.85" hidden="false" customHeight="false" outlineLevel="0" collapsed="false">
      <c r="A149" s="2" t="s">
        <v>495</v>
      </c>
      <c r="B149" s="2" t="s">
        <v>497</v>
      </c>
      <c r="C149" s="2" t="s">
        <v>966</v>
      </c>
      <c r="D149" s="2" t="s">
        <v>40</v>
      </c>
      <c r="E149" s="2" t="s">
        <v>39</v>
      </c>
    </row>
    <row r="150" customFormat="false" ht="23.85" hidden="false" customHeight="false" outlineLevel="0" collapsed="false">
      <c r="A150" s="2" t="s">
        <v>507</v>
      </c>
      <c r="B150" s="2" t="s">
        <v>510</v>
      </c>
      <c r="C150" s="2" t="s">
        <v>967</v>
      </c>
      <c r="D150" s="2" t="s">
        <v>40</v>
      </c>
      <c r="E150" s="2" t="s">
        <v>39</v>
      </c>
    </row>
    <row r="151" customFormat="false" ht="23.85" hidden="false" customHeight="false" outlineLevel="0" collapsed="false">
      <c r="A151" s="2" t="s">
        <v>507</v>
      </c>
      <c r="B151" s="2" t="s">
        <v>510</v>
      </c>
      <c r="C151" s="2" t="s">
        <v>968</v>
      </c>
      <c r="D151" s="2" t="s">
        <v>40</v>
      </c>
      <c r="E151" s="2" t="s">
        <v>39</v>
      </c>
    </row>
    <row r="152" customFormat="false" ht="23.85" hidden="false" customHeight="false" outlineLevel="0" collapsed="false">
      <c r="A152" s="2" t="s">
        <v>507</v>
      </c>
      <c r="B152" s="2" t="s">
        <v>510</v>
      </c>
      <c r="C152" s="2" t="s">
        <v>969</v>
      </c>
      <c r="D152" s="2" t="s">
        <v>40</v>
      </c>
      <c r="E152" s="2" t="s">
        <v>39</v>
      </c>
    </row>
    <row r="153" customFormat="false" ht="23.85" hidden="false" customHeight="false" outlineLevel="0" collapsed="false">
      <c r="A153" s="2" t="s">
        <v>507</v>
      </c>
      <c r="B153" s="2" t="s">
        <v>510</v>
      </c>
      <c r="C153" s="2" t="s">
        <v>970</v>
      </c>
      <c r="D153" s="2" t="s">
        <v>40</v>
      </c>
      <c r="E153" s="2" t="s">
        <v>39</v>
      </c>
    </row>
    <row r="154" customFormat="false" ht="23.85" hidden="false" customHeight="false" outlineLevel="0" collapsed="false">
      <c r="A154" s="2" t="s">
        <v>517</v>
      </c>
      <c r="B154" s="2" t="s">
        <v>519</v>
      </c>
      <c r="C154" s="2" t="s">
        <v>971</v>
      </c>
      <c r="D154" s="2" t="s">
        <v>40</v>
      </c>
      <c r="E154" s="2" t="s">
        <v>39</v>
      </c>
    </row>
    <row r="155" customFormat="false" ht="15" hidden="false" customHeight="false" outlineLevel="0" collapsed="false">
      <c r="A155" s="2" t="s">
        <v>517</v>
      </c>
      <c r="B155" s="2" t="s">
        <v>519</v>
      </c>
      <c r="C155" s="2" t="s">
        <v>972</v>
      </c>
      <c r="D155" s="2" t="s">
        <v>40</v>
      </c>
      <c r="E155" s="2" t="s">
        <v>39</v>
      </c>
    </row>
    <row r="156" customFormat="false" ht="15" hidden="false" customHeight="false" outlineLevel="0" collapsed="false">
      <c r="A156" s="2" t="s">
        <v>517</v>
      </c>
      <c r="B156" s="2" t="s">
        <v>519</v>
      </c>
      <c r="C156" s="2" t="s">
        <v>973</v>
      </c>
      <c r="D156" s="2" t="s">
        <v>40</v>
      </c>
      <c r="E156" s="2" t="s">
        <v>39</v>
      </c>
    </row>
    <row r="157" customFormat="false" ht="35.05" hidden="false" customHeight="false" outlineLevel="0" collapsed="false">
      <c r="A157" s="2" t="s">
        <v>527</v>
      </c>
      <c r="B157" s="2" t="s">
        <v>529</v>
      </c>
      <c r="C157" s="2" t="s">
        <v>974</v>
      </c>
      <c r="D157" s="2" t="s">
        <v>40</v>
      </c>
      <c r="E157" s="2" t="s">
        <v>39</v>
      </c>
    </row>
    <row r="158" customFormat="false" ht="23.85" hidden="false" customHeight="false" outlineLevel="0" collapsed="false">
      <c r="A158" s="2" t="s">
        <v>527</v>
      </c>
      <c r="B158" s="2" t="s">
        <v>529</v>
      </c>
      <c r="C158" s="2" t="s">
        <v>975</v>
      </c>
      <c r="D158" s="2" t="s">
        <v>40</v>
      </c>
      <c r="E158" s="2" t="s">
        <v>39</v>
      </c>
    </row>
    <row r="159" customFormat="false" ht="23.85" hidden="false" customHeight="false" outlineLevel="0" collapsed="false">
      <c r="A159" s="2" t="s">
        <v>537</v>
      </c>
      <c r="B159" s="2" t="s">
        <v>539</v>
      </c>
      <c r="C159" s="2" t="s">
        <v>976</v>
      </c>
      <c r="D159" s="2" t="s">
        <v>40</v>
      </c>
      <c r="E159" s="2" t="s">
        <v>39</v>
      </c>
    </row>
    <row r="160" customFormat="false" ht="23.85" hidden="false" customHeight="false" outlineLevel="0" collapsed="false">
      <c r="A160" s="2" t="s">
        <v>537</v>
      </c>
      <c r="B160" s="2" t="s">
        <v>539</v>
      </c>
      <c r="C160" s="2" t="s">
        <v>977</v>
      </c>
      <c r="D160" s="2" t="s">
        <v>40</v>
      </c>
      <c r="E160" s="2" t="s">
        <v>39</v>
      </c>
    </row>
    <row r="161" customFormat="false" ht="23.85" hidden="false" customHeight="false" outlineLevel="0" collapsed="false">
      <c r="A161" s="2" t="s">
        <v>547</v>
      </c>
      <c r="B161" s="2" t="s">
        <v>549</v>
      </c>
      <c r="C161" s="2" t="s">
        <v>978</v>
      </c>
      <c r="D161" s="2" t="s">
        <v>40</v>
      </c>
      <c r="E161" s="2" t="s">
        <v>39</v>
      </c>
    </row>
    <row r="162" customFormat="false" ht="23.85" hidden="false" customHeight="false" outlineLevel="0" collapsed="false">
      <c r="A162" s="2" t="s">
        <v>547</v>
      </c>
      <c r="B162" s="2" t="s">
        <v>549</v>
      </c>
      <c r="C162" s="2" t="s">
        <v>979</v>
      </c>
      <c r="D162" s="2" t="s">
        <v>40</v>
      </c>
      <c r="E162" s="2" t="s">
        <v>39</v>
      </c>
    </row>
    <row r="163" customFormat="false" ht="23.85" hidden="false" customHeight="false" outlineLevel="0" collapsed="false">
      <c r="A163" s="2" t="s">
        <v>558</v>
      </c>
      <c r="B163" s="2" t="s">
        <v>560</v>
      </c>
      <c r="C163" s="2" t="s">
        <v>980</v>
      </c>
      <c r="D163" s="2" t="s">
        <v>40</v>
      </c>
      <c r="E163" s="2" t="s">
        <v>39</v>
      </c>
    </row>
    <row r="164" customFormat="false" ht="15" hidden="false" customHeight="false" outlineLevel="0" collapsed="false">
      <c r="A164" s="2" t="s">
        <v>558</v>
      </c>
      <c r="B164" s="2" t="s">
        <v>560</v>
      </c>
      <c r="C164" s="2" t="s">
        <v>981</v>
      </c>
      <c r="D164" s="2" t="s">
        <v>40</v>
      </c>
      <c r="E164" s="2" t="s">
        <v>39</v>
      </c>
    </row>
    <row r="165" customFormat="false" ht="15" hidden="false" customHeight="false" outlineLevel="0" collapsed="false">
      <c r="A165" s="2" t="s">
        <v>558</v>
      </c>
      <c r="B165" s="2" t="s">
        <v>560</v>
      </c>
      <c r="C165" s="2" t="s">
        <v>982</v>
      </c>
      <c r="D165" s="2" t="s">
        <v>40</v>
      </c>
      <c r="E165" s="2" t="s">
        <v>39</v>
      </c>
    </row>
    <row r="166" customFormat="false" ht="23.85" hidden="false" customHeight="false" outlineLevel="0" collapsed="false">
      <c r="A166" s="2" t="s">
        <v>571</v>
      </c>
      <c r="B166" s="2" t="s">
        <v>573</v>
      </c>
      <c r="C166" s="2" t="s">
        <v>983</v>
      </c>
      <c r="D166" s="2" t="s">
        <v>40</v>
      </c>
      <c r="E166" s="2" t="s">
        <v>65</v>
      </c>
    </row>
    <row r="167" customFormat="false" ht="15" hidden="false" customHeight="false" outlineLevel="0" collapsed="false">
      <c r="A167" s="2" t="s">
        <v>571</v>
      </c>
      <c r="B167" s="2" t="s">
        <v>573</v>
      </c>
      <c r="C167" s="2" t="s">
        <v>984</v>
      </c>
      <c r="D167" s="2" t="s">
        <v>40</v>
      </c>
      <c r="E167" s="2" t="s">
        <v>65</v>
      </c>
    </row>
    <row r="168" customFormat="false" ht="23.85" hidden="false" customHeight="false" outlineLevel="0" collapsed="false">
      <c r="A168" s="2" t="s">
        <v>581</v>
      </c>
      <c r="B168" s="2" t="s">
        <v>583</v>
      </c>
      <c r="C168" s="2" t="s">
        <v>985</v>
      </c>
      <c r="D168" s="2" t="s">
        <v>40</v>
      </c>
      <c r="E168" s="2" t="s">
        <v>39</v>
      </c>
    </row>
    <row r="169" customFormat="false" ht="23.85" hidden="false" customHeight="false" outlineLevel="0" collapsed="false">
      <c r="A169" s="2" t="s">
        <v>581</v>
      </c>
      <c r="B169" s="2" t="s">
        <v>583</v>
      </c>
      <c r="C169" s="2" t="s">
        <v>986</v>
      </c>
      <c r="D169" s="2" t="s">
        <v>40</v>
      </c>
      <c r="E169" s="2" t="s">
        <v>39</v>
      </c>
    </row>
    <row r="170" customFormat="false" ht="15" hidden="false" customHeight="false" outlineLevel="0" collapsed="false">
      <c r="A170" s="2" t="s">
        <v>589</v>
      </c>
      <c r="B170" s="2" t="s">
        <v>591</v>
      </c>
      <c r="C170" s="2" t="s">
        <v>987</v>
      </c>
      <c r="D170" s="2" t="s">
        <v>40</v>
      </c>
      <c r="E170" s="2" t="s">
        <v>39</v>
      </c>
    </row>
    <row r="171" customFormat="false" ht="15" hidden="false" customHeight="false" outlineLevel="0" collapsed="false">
      <c r="A171" s="2" t="s">
        <v>589</v>
      </c>
      <c r="B171" s="2" t="s">
        <v>591</v>
      </c>
      <c r="C171" s="2" t="s">
        <v>988</v>
      </c>
      <c r="D171" s="2" t="s">
        <v>40</v>
      </c>
      <c r="E171" s="2" t="s">
        <v>39</v>
      </c>
    </row>
    <row r="172" customFormat="false" ht="23.85" hidden="false" customHeight="false" outlineLevel="0" collapsed="false">
      <c r="A172" s="2" t="s">
        <v>597</v>
      </c>
      <c r="B172" s="2" t="s">
        <v>599</v>
      </c>
      <c r="C172" s="2" t="s">
        <v>989</v>
      </c>
      <c r="D172" s="2" t="s">
        <v>40</v>
      </c>
      <c r="E172" s="2" t="s">
        <v>39</v>
      </c>
    </row>
    <row r="173" customFormat="false" ht="15" hidden="false" customHeight="false" outlineLevel="0" collapsed="false">
      <c r="A173" s="2" t="s">
        <v>597</v>
      </c>
      <c r="B173" s="2" t="s">
        <v>599</v>
      </c>
      <c r="C173" s="2" t="s">
        <v>990</v>
      </c>
      <c r="D173" s="2" t="s">
        <v>40</v>
      </c>
      <c r="E173" s="2" t="s">
        <v>39</v>
      </c>
    </row>
    <row r="174" customFormat="false" ht="15" hidden="false" customHeight="false" outlineLevel="0" collapsed="false">
      <c r="A174" s="2" t="s">
        <v>605</v>
      </c>
      <c r="B174" s="2" t="s">
        <v>607</v>
      </c>
      <c r="C174" s="2" t="s">
        <v>991</v>
      </c>
      <c r="D174" s="2" t="s">
        <v>40</v>
      </c>
      <c r="E174" s="2" t="s">
        <v>39</v>
      </c>
    </row>
    <row r="175" customFormat="false" ht="15" hidden="false" customHeight="false" outlineLevel="0" collapsed="false">
      <c r="A175" s="2" t="s">
        <v>605</v>
      </c>
      <c r="B175" s="2" t="s">
        <v>607</v>
      </c>
      <c r="C175" s="2" t="s">
        <v>992</v>
      </c>
      <c r="D175" s="2" t="s">
        <v>40</v>
      </c>
      <c r="E175" s="2" t="s">
        <v>39</v>
      </c>
    </row>
    <row r="176" customFormat="false" ht="15" hidden="false" customHeight="false" outlineLevel="0" collapsed="false">
      <c r="A176" s="2" t="s">
        <v>605</v>
      </c>
      <c r="B176" s="2" t="s">
        <v>607</v>
      </c>
      <c r="C176" s="2" t="s">
        <v>993</v>
      </c>
      <c r="D176" s="2" t="s">
        <v>40</v>
      </c>
      <c r="E176" s="2" t="s">
        <v>39</v>
      </c>
    </row>
    <row r="177" customFormat="false" ht="15" hidden="false" customHeight="false" outlineLevel="0" collapsed="false">
      <c r="A177" s="2" t="s">
        <v>619</v>
      </c>
      <c r="B177" s="2" t="s">
        <v>621</v>
      </c>
      <c r="C177" s="2" t="s">
        <v>994</v>
      </c>
      <c r="D177" s="2" t="s">
        <v>40</v>
      </c>
      <c r="E177" s="2" t="s">
        <v>39</v>
      </c>
    </row>
    <row r="178" customFormat="false" ht="15" hidden="false" customHeight="false" outlineLevel="0" collapsed="false">
      <c r="A178" s="2" t="s">
        <v>619</v>
      </c>
      <c r="B178" s="2" t="s">
        <v>621</v>
      </c>
      <c r="C178" s="2" t="s">
        <v>995</v>
      </c>
      <c r="D178" s="2" t="s">
        <v>40</v>
      </c>
      <c r="E178" s="2" t="s">
        <v>39</v>
      </c>
    </row>
    <row r="179" customFormat="false" ht="15" hidden="false" customHeight="false" outlineLevel="0" collapsed="false">
      <c r="A179" s="2" t="s">
        <v>619</v>
      </c>
      <c r="B179" s="2" t="s">
        <v>621</v>
      </c>
      <c r="C179" s="2" t="s">
        <v>996</v>
      </c>
      <c r="D179" s="2" t="s">
        <v>40</v>
      </c>
      <c r="E179" s="2" t="s">
        <v>39</v>
      </c>
    </row>
    <row r="180" customFormat="false" ht="15" hidden="false" customHeight="false" outlineLevel="0" collapsed="false">
      <c r="A180" s="2" t="s">
        <v>630</v>
      </c>
      <c r="B180" s="2" t="s">
        <v>632</v>
      </c>
      <c r="C180" s="2" t="s">
        <v>997</v>
      </c>
      <c r="D180" s="2" t="s">
        <v>40</v>
      </c>
      <c r="E180" s="2" t="s">
        <v>39</v>
      </c>
    </row>
    <row r="181" customFormat="false" ht="15" hidden="false" customHeight="false" outlineLevel="0" collapsed="false">
      <c r="A181" s="2" t="s">
        <v>630</v>
      </c>
      <c r="B181" s="2" t="s">
        <v>632</v>
      </c>
      <c r="C181" s="2" t="s">
        <v>998</v>
      </c>
      <c r="D181" s="2" t="s">
        <v>40</v>
      </c>
      <c r="E181" s="2" t="s">
        <v>39</v>
      </c>
    </row>
    <row r="182" customFormat="false" ht="23.85" hidden="false" customHeight="false" outlineLevel="0" collapsed="false">
      <c r="A182" s="2" t="s">
        <v>636</v>
      </c>
      <c r="B182" s="2" t="s">
        <v>638</v>
      </c>
      <c r="C182" s="2" t="s">
        <v>999</v>
      </c>
      <c r="D182" s="2" t="s">
        <v>40</v>
      </c>
      <c r="E182" s="2" t="s">
        <v>39</v>
      </c>
    </row>
    <row r="183" customFormat="false" ht="15" hidden="false" customHeight="false" outlineLevel="0" collapsed="false">
      <c r="A183" s="2" t="s">
        <v>636</v>
      </c>
      <c r="B183" s="2" t="s">
        <v>638</v>
      </c>
      <c r="C183" s="2" t="s">
        <v>1000</v>
      </c>
      <c r="D183" s="2" t="s">
        <v>40</v>
      </c>
      <c r="E183" s="2" t="s">
        <v>39</v>
      </c>
    </row>
    <row r="184" customFormat="false" ht="23.85" hidden="false" customHeight="false" outlineLevel="0" collapsed="false">
      <c r="A184" s="2" t="s">
        <v>643</v>
      </c>
      <c r="B184" s="2" t="s">
        <v>644</v>
      </c>
      <c r="C184" s="2" t="s">
        <v>730</v>
      </c>
      <c r="D184" s="2" t="s">
        <v>40</v>
      </c>
      <c r="E184" s="2" t="s">
        <v>39</v>
      </c>
    </row>
    <row r="185" customFormat="false" ht="23.85" hidden="false" customHeight="false" outlineLevel="0" collapsed="false">
      <c r="A185" s="2" t="s">
        <v>643</v>
      </c>
      <c r="B185" s="2" t="s">
        <v>644</v>
      </c>
      <c r="C185" s="2" t="s">
        <v>1001</v>
      </c>
      <c r="D185" s="2" t="s">
        <v>40</v>
      </c>
      <c r="E185" s="2" t="s">
        <v>39</v>
      </c>
    </row>
    <row r="186" customFormat="false" ht="15" hidden="false" customHeight="false" outlineLevel="0" collapsed="false">
      <c r="A186" s="2" t="s">
        <v>654</v>
      </c>
      <c r="B186" s="2" t="s">
        <v>655</v>
      </c>
      <c r="C186" s="2" t="s">
        <v>1002</v>
      </c>
      <c r="D186" s="2" t="s">
        <v>40</v>
      </c>
      <c r="E186" s="2" t="s">
        <v>658</v>
      </c>
    </row>
    <row r="187" customFormat="false" ht="15" hidden="false" customHeight="false" outlineLevel="0" collapsed="false">
      <c r="A187" s="2" t="s">
        <v>654</v>
      </c>
      <c r="B187" s="2" t="s">
        <v>655</v>
      </c>
      <c r="C187" s="2" t="s">
        <v>1003</v>
      </c>
      <c r="D187" s="2" t="s">
        <v>40</v>
      </c>
      <c r="E187" s="2" t="s">
        <v>658</v>
      </c>
    </row>
    <row r="188" customFormat="false" ht="15" hidden="false" customHeight="false" outlineLevel="0" collapsed="false">
      <c r="A188" s="2" t="s">
        <v>659</v>
      </c>
      <c r="B188" s="2" t="s">
        <v>660</v>
      </c>
      <c r="C188" s="2" t="s">
        <v>1004</v>
      </c>
      <c r="D188" s="2" t="s">
        <v>40</v>
      </c>
      <c r="E188" s="2" t="s">
        <v>39</v>
      </c>
    </row>
    <row r="189" customFormat="false" ht="15" hidden="false" customHeight="false" outlineLevel="0" collapsed="false">
      <c r="A189" s="2" t="s">
        <v>659</v>
      </c>
      <c r="B189" s="2" t="s">
        <v>660</v>
      </c>
      <c r="C189" s="2" t="s">
        <v>1005</v>
      </c>
      <c r="D189" s="2" t="s">
        <v>40</v>
      </c>
      <c r="E189" s="2" t="s">
        <v>39</v>
      </c>
    </row>
  </sheetData>
  <autoFilter ref="A1:E1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2026-09-02T05:22:23Z</dcterms:created>
  <dc:creator>openpyxl</dc:creator>
  <dc:description/>
  <dc:language>en-US</dc:language>
  <cp:lastModifiedBy/>
  <dcterms:modified xsi:type="dcterms:W3CDTF">2026-09-02T05:22:23Z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